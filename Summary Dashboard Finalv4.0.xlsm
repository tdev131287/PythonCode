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SC-Automation\Active Projects\2026\Alsaba Rao -Dashboard\"/>
    </mc:Choice>
  </mc:AlternateContent>
  <xr:revisionPtr revIDLastSave="0" documentId="8_{5CC9B9F4-516E-4A57-A8A3-B151074799CD}" xr6:coauthVersionLast="47" xr6:coauthVersionMax="47" xr10:uidLastSave="{00000000-0000-0000-0000-000000000000}"/>
  <bookViews>
    <workbookView xWindow="-108" yWindow="-108" windowWidth="23256" windowHeight="12456" xr2:uid="{4EC67B9F-E057-4EB7-852F-03AA265A4989}"/>
  </bookViews>
  <sheets>
    <sheet name="Dashboard" sheetId="5" r:id="rId1"/>
    <sheet name="Data" sheetId="3" r:id="rId2"/>
    <sheet name="Exceptions" sheetId="28" r:id="rId3"/>
    <sheet name="Backend" sheetId="23" r:id="rId4"/>
    <sheet name="Mapping" sheetId="2" r:id="rId5"/>
  </sheets>
  <functionGroups builtInGroupCount="19"/>
  <definedNames>
    <definedName name="_xlnm._FilterDatabase" localSheetId="3" hidden="1">Backend!$A$1:$R$325</definedName>
    <definedName name="_xlnm._FilterDatabase" localSheetId="1" hidden="1">Data!$A$1:$Y$1183</definedName>
    <definedName name="_xlnm._FilterDatabase" localSheetId="2" hidden="1">Exceptions!$A$1:$O$2656</definedName>
    <definedName name="_xlnm._FilterDatabase" localSheetId="4" hidden="1">Mapping!$A$1:$E$114</definedName>
    <definedName name="AF">Backend!$AB$2</definedName>
    <definedName name="CIQWBGuid" hidden="1">"9c5e6bc3-41b7-48b7-b56d-295eb973098c"</definedName>
    <definedName name="rngB_Curr">Backend!$G$2</definedName>
    <definedName name="rngB_Product">Backend!$D$2</definedName>
    <definedName name="rngB_TP">Backend!$F$2</definedName>
    <definedName name="rngL_FType">OFFSET(Backend!$I$1,1,0,COUNTA(Backend!$I:$I)-1,1)</definedName>
    <definedName name="rngL_MType">OFFSET(Backend!$H$1,1,0,COUNTA(Backend!$H:$H)-1,1)</definedName>
    <definedName name="rngL_NumUnit">OFFSET(Backend!$Q$2,0,0,COUNTA(Backend!$Q$2:$Q$15),1)</definedName>
    <definedName name="rngL_PETbottle">OFFSET(Backend!$N$2,0,0,COUNTA(Backend!$N$2:$N$15),1)</definedName>
    <definedName name="rngL_ProductCountry">OFFSET(Backend!$E$1,1,0,COUNTA(Backend!$E:$E)-1,1)</definedName>
    <definedName name="rngL_PRType">OFFSET(Backend!$P$2,0,0,COUNTA(Backend!$P$2:$P$15),1)</definedName>
    <definedName name="rngL_PType">OFFSET(Backend!$J$1,1,0,COUNTA(Backend!$J:$J)-1,1)</definedName>
    <definedName name="rngL_Rmaterial">OFFSET(Backend!$O$2,0,0,COUNTA(Backend!$O$2:$O$15),1)</definedName>
    <definedName name="rngL_SComp">OFFSET(Backend!$M$1,1,0,COUNTA(Backend!$M:$M)-1,1)</definedName>
    <definedName name="rngL_SProd">OFFSET(Backend!$L$1,1,0,COUNTA(Backend!$L:$L)-1,1)</definedName>
    <definedName name="rngL_SSize">OFFSET(Backend!$K$1,1,0,COUNTA(Backend!$K:$K)-1,1)</definedName>
    <definedName name="rngL_TrCombination">OFFSET(Backend!$R$2,0,0,COUNTA(Backend!$R$2:$R$15),1)</definedName>
    <definedName name="rngMargin">Dashboard!$H$28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82" i="3" l="1"/>
  <c r="A1181" i="3"/>
  <c r="A1180" i="3"/>
  <c r="A1179" i="3"/>
  <c r="A1178" i="3"/>
  <c r="A1177" i="3"/>
  <c r="A1176" i="3"/>
  <c r="A1175" i="3"/>
  <c r="A1174" i="3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H28" i="5" l="1"/>
  <c r="E19" i="2" a="1"/>
  <c r="E106" i="2" a="1"/>
  <c r="E105" i="2" a="1"/>
  <c r="E104" i="2" a="1"/>
  <c r="E103" i="2" a="1"/>
  <c r="E106" i="2" l="1"/>
  <c r="E105" i="2"/>
  <c r="E104" i="2"/>
  <c r="E103" i="2"/>
  <c r="E19" i="2"/>
  <c r="F33" i="5" l="1"/>
  <c r="F31" i="5"/>
  <c r="P21" i="5"/>
  <c r="L21" i="5"/>
  <c r="H21" i="5"/>
  <c r="V5" i="23" l="1"/>
  <c r="AE14" i="23" s="1"/>
  <c r="AE12" i="23" l="1"/>
  <c r="AA14" i="23"/>
  <c r="AE10" i="23"/>
  <c r="AE11" i="23"/>
  <c r="AA12" i="23"/>
  <c r="AA10" i="23"/>
  <c r="L22" i="5" s="1"/>
  <c r="AA11" i="23"/>
  <c r="W21" i="23"/>
  <c r="W16" i="23"/>
  <c r="P26" i="5" l="1"/>
  <c r="P24" i="5"/>
  <c r="P23" i="5"/>
  <c r="L26" i="5"/>
  <c r="L24" i="5"/>
  <c r="L23" i="5"/>
  <c r="H25" i="5" l="1"/>
  <c r="H23" i="5"/>
  <c r="H24" i="5"/>
  <c r="W10" i="23"/>
  <c r="P22" i="5"/>
  <c r="H22" i="5" s="1"/>
  <c r="W13" i="23"/>
  <c r="W12" i="23"/>
  <c r="W11" i="23"/>
  <c r="AE13" i="23"/>
  <c r="AE15" i="23" s="1"/>
  <c r="AA13" i="23"/>
  <c r="H26" i="5" l="1"/>
  <c r="H29" i="5" s="1"/>
  <c r="P25" i="5"/>
  <c r="Z11" i="23"/>
  <c r="AD12" i="23"/>
  <c r="AD11" i="23"/>
  <c r="AD10" i="23"/>
  <c r="W14" i="23"/>
  <c r="V13" i="23" s="1"/>
  <c r="Z12" i="23"/>
  <c r="AA15" i="23"/>
  <c r="Z10" i="23"/>
  <c r="P27" i="5" l="1"/>
  <c r="O23" i="5"/>
  <c r="O24" i="5"/>
  <c r="O22" i="5"/>
  <c r="V11" i="23"/>
  <c r="V12" i="23"/>
  <c r="W17" i="23"/>
  <c r="V10" i="23"/>
  <c r="AD13" i="23"/>
  <c r="Z13" i="23"/>
  <c r="O25" i="5" l="1"/>
  <c r="V14" i="23"/>
  <c r="L25" i="5" l="1"/>
  <c r="L27" i="5" s="1"/>
  <c r="K22" i="5" l="1"/>
  <c r="K23" i="5"/>
  <c r="K24" i="5"/>
  <c r="K25" i="5" l="1"/>
  <c r="G22" i="5"/>
  <c r="G24" i="5"/>
  <c r="G23" i="5"/>
  <c r="G25" i="5"/>
  <c r="H33" i="5"/>
  <c r="G26" i="5" l="1"/>
  <c r="E75" i="2" a="1"/>
  <c r="E70" i="2" a="1"/>
  <c r="E34" i="2" a="1"/>
  <c r="E91" i="2" a="1"/>
  <c r="E66" i="2" a="1"/>
  <c r="E54" i="2" a="1"/>
  <c r="E85" i="2" a="1"/>
  <c r="E102" i="2" a="1"/>
  <c r="E73" i="2" a="1"/>
  <c r="E112" i="2" a="1"/>
  <c r="E24" i="2" a="1"/>
  <c r="E64" i="2" a="1"/>
  <c r="E55" i="2" a="1"/>
  <c r="E88" i="2" a="1"/>
  <c r="E39" i="2" a="1"/>
  <c r="E62" i="2" a="1"/>
  <c r="E23" i="2" a="1"/>
  <c r="E100" i="2" a="1"/>
  <c r="E58" i="2" a="1"/>
  <c r="E38" i="2" a="1"/>
  <c r="E56" i="2" a="1"/>
  <c r="E31" i="2" a="1"/>
  <c r="E81" i="2" a="1"/>
  <c r="E35" i="2" a="1"/>
  <c r="E72" i="2" a="1"/>
  <c r="E108" i="2" a="1"/>
  <c r="E6" i="2" a="1"/>
  <c r="E109" i="2" a="1"/>
  <c r="E17" i="2" a="1"/>
  <c r="E49" i="2" a="1"/>
  <c r="E33" i="2" a="1"/>
  <c r="E94" i="2" a="1"/>
  <c r="E92" i="2" a="1"/>
  <c r="E74" i="2" a="1"/>
  <c r="E98" i="2" a="1"/>
  <c r="E42" i="2" a="1"/>
  <c r="E20" i="2" a="1"/>
  <c r="E8" i="2" a="1"/>
  <c r="E61" i="2" a="1"/>
  <c r="E96" i="2" a="1"/>
  <c r="E71" i="2" a="1"/>
  <c r="E87" i="2" a="1"/>
  <c r="E79" i="2" a="1"/>
  <c r="E4" i="2" a="1"/>
  <c r="E44" i="2" a="1"/>
  <c r="E25" i="2" a="1"/>
  <c r="E40" i="2" a="1"/>
  <c r="E59" i="2" a="1"/>
  <c r="E2" i="2" a="1"/>
  <c r="E10" i="2" a="1"/>
  <c r="E110" i="2" a="1"/>
  <c r="E57" i="2" a="1"/>
  <c r="E46" i="2" a="1"/>
  <c r="E68" i="2" a="1"/>
  <c r="E13" i="2" a="1"/>
  <c r="E77" i="2" a="1"/>
  <c r="E41" i="2" a="1"/>
  <c r="E89" i="2" a="1"/>
  <c r="E82" i="2" a="1"/>
  <c r="E3" i="2" a="1"/>
  <c r="E60" i="2" a="1"/>
  <c r="E67" i="2" a="1"/>
  <c r="E63" i="2" a="1"/>
  <c r="E36" i="2" a="1"/>
  <c r="E53" i="2" a="1"/>
  <c r="E101" i="2" a="1"/>
  <c r="E45" i="2" a="1"/>
  <c r="E111" i="2" a="1"/>
  <c r="E86" i="2" a="1"/>
  <c r="E99" i="2" a="1"/>
  <c r="E32" i="2" a="1"/>
  <c r="E12" i="2" a="1"/>
  <c r="E11" i="2" a="1"/>
  <c r="E90" i="2" a="1"/>
  <c r="E5" i="2" a="1"/>
  <c r="E28" i="2" a="1"/>
  <c r="E7" i="2" a="1"/>
  <c r="E48" i="2" a="1"/>
  <c r="E26" i="2" a="1"/>
  <c r="E80" i="2" a="1"/>
  <c r="E95" i="2" a="1"/>
  <c r="E114" i="2" a="1"/>
  <c r="E22" i="2" a="1"/>
  <c r="E15" i="2" a="1"/>
  <c r="E76" i="2" a="1"/>
  <c r="E78" i="2" a="1"/>
  <c r="E21" i="2" a="1"/>
  <c r="E93" i="2" a="1"/>
  <c r="E27" i="2" a="1"/>
  <c r="E18" i="2" a="1"/>
  <c r="E50" i="2" a="1"/>
  <c r="E69" i="2" a="1"/>
  <c r="E16" i="2" a="1"/>
  <c r="E52" i="2" a="1"/>
  <c r="E30" i="2" a="1"/>
  <c r="E113" i="2" a="1"/>
  <c r="E97" i="2" a="1"/>
  <c r="E9" i="2" a="1"/>
  <c r="E51" i="2" a="1"/>
  <c r="E43" i="2" a="1"/>
  <c r="E37" i="2" a="1"/>
  <c r="E14" i="2" a="1"/>
  <c r="E68" i="2" l="1"/>
  <c r="E82" i="2"/>
  <c r="E88" i="2"/>
  <c r="E61" i="2"/>
  <c r="E40" i="2"/>
  <c r="E70" i="2"/>
  <c r="E46" i="2"/>
  <c r="E114" i="2"/>
  <c r="E66" i="2"/>
  <c r="E51" i="2"/>
  <c r="E78" i="2"/>
  <c r="E111" i="2"/>
  <c r="E21" i="2"/>
  <c r="E50" i="2"/>
  <c r="E17" i="2"/>
  <c r="E74" i="2"/>
  <c r="E80" i="2"/>
  <c r="E93" i="2"/>
  <c r="E28" i="2"/>
  <c r="E81" i="2"/>
  <c r="E95" i="2"/>
  <c r="E99" i="2"/>
  <c r="E60" i="2"/>
  <c r="E55" i="2"/>
  <c r="E4" i="2"/>
  <c r="E25" i="2"/>
  <c r="E59" i="2"/>
  <c r="E94" i="2"/>
  <c r="E9" i="2"/>
  <c r="E15" i="2"/>
  <c r="E23" i="2"/>
  <c r="E48" i="2"/>
  <c r="E53" i="2"/>
  <c r="E109" i="2"/>
  <c r="E87" i="2"/>
  <c r="E6" i="2"/>
  <c r="E33" i="2"/>
  <c r="E2" i="2"/>
  <c r="E18" i="2"/>
  <c r="E12" i="2"/>
  <c r="E54" i="2"/>
  <c r="E34" i="2"/>
  <c r="E69" i="2"/>
  <c r="E112" i="2"/>
  <c r="E11" i="2"/>
  <c r="E36" i="2"/>
  <c r="E5" i="2"/>
  <c r="E43" i="2"/>
  <c r="E13" i="2"/>
  <c r="E76" i="2"/>
  <c r="E35" i="2"/>
  <c r="E20" i="2"/>
  <c r="E10" i="2"/>
  <c r="E38" i="2"/>
  <c r="E42" i="2"/>
  <c r="E3" i="2"/>
  <c r="E8" i="2"/>
  <c r="E110" i="2"/>
  <c r="E96" i="2"/>
  <c r="E62" i="2"/>
  <c r="E58" i="2"/>
  <c r="E64" i="2"/>
  <c r="E67" i="2"/>
  <c r="E37" i="2"/>
  <c r="E85" i="2"/>
  <c r="E101" i="2"/>
  <c r="E72" i="2"/>
  <c r="E41" i="2"/>
  <c r="E22" i="2"/>
  <c r="E44" i="2"/>
  <c r="E31" i="2"/>
  <c r="E113" i="2"/>
  <c r="E71" i="2"/>
  <c r="E27" i="2"/>
  <c r="E63" i="2"/>
  <c r="E77" i="2"/>
  <c r="E49" i="2"/>
  <c r="E79" i="2"/>
  <c r="E45" i="2"/>
  <c r="E97" i="2"/>
  <c r="E7" i="2"/>
  <c r="E73" i="2"/>
  <c r="E102" i="2"/>
  <c r="E39" i="2"/>
  <c r="E26" i="2"/>
  <c r="E56" i="2"/>
  <c r="E91" i="2"/>
  <c r="E100" i="2"/>
  <c r="E90" i="2"/>
  <c r="E108" i="2"/>
  <c r="E75" i="2"/>
  <c r="E32" i="2"/>
  <c r="E30" i="2"/>
  <c r="E57" i="2"/>
  <c r="E52" i="2"/>
  <c r="E16" i="2"/>
  <c r="E98" i="2"/>
  <c r="E24" i="2"/>
  <c r="E89" i="2"/>
  <c r="E14" i="2"/>
  <c r="E86" i="2"/>
  <c r="E9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<sst xmlns="http://schemas.openxmlformats.org/spreadsheetml/2006/main" count="40193" uniqueCount="206">
  <si>
    <t>Product Name</t>
  </si>
  <si>
    <t>Production Country</t>
  </si>
  <si>
    <t>Time Period</t>
  </si>
  <si>
    <t>Currency</t>
  </si>
  <si>
    <t>EUR</t>
  </si>
  <si>
    <t>Machinery Type</t>
  </si>
  <si>
    <t>Semi-Automated</t>
  </si>
  <si>
    <t>Facility Type</t>
  </si>
  <si>
    <t>New</t>
  </si>
  <si>
    <t>Scale of Production</t>
  </si>
  <si>
    <t>Site Complexity</t>
  </si>
  <si>
    <t>High</t>
  </si>
  <si>
    <t>Fully-Automated</t>
  </si>
  <si>
    <t>Low</t>
  </si>
  <si>
    <t>Italy</t>
  </si>
  <si>
    <t>France</t>
  </si>
  <si>
    <t>Intermediate</t>
  </si>
  <si>
    <t>Fruits and Vegetables in Liquid/Syrup</t>
  </si>
  <si>
    <t>Pack Type</t>
  </si>
  <si>
    <t>Cans</t>
  </si>
  <si>
    <t>Equipment Cost</t>
  </si>
  <si>
    <t>Utility Cost</t>
  </si>
  <si>
    <t>Labour Cost</t>
  </si>
  <si>
    <t>Overheads and Indirect Cost for the Process</t>
  </si>
  <si>
    <t>Overheads and Indirect Cost for the Packing</t>
  </si>
  <si>
    <t>Model</t>
  </si>
  <si>
    <t>Line of Items</t>
  </si>
  <si>
    <t>Cell reference in model</t>
  </si>
  <si>
    <t>Cell reference in Summary Data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</si>
  <si>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</si>
  <si>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</si>
  <si>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</si>
  <si>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</si>
  <si>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</si>
  <si>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</si>
  <si>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</si>
  <si>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</si>
  <si>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</si>
  <si>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</t>
  </si>
  <si>
    <t>D</t>
  </si>
  <si>
    <t>E</t>
  </si>
  <si>
    <t>F</t>
  </si>
  <si>
    <t>G</t>
  </si>
  <si>
    <t>H</t>
  </si>
  <si>
    <t>I</t>
  </si>
  <si>
    <t>J</t>
  </si>
  <si>
    <t>D40</t>
  </si>
  <si>
    <t>D41</t>
  </si>
  <si>
    <t>D42</t>
  </si>
  <si>
    <t>D44</t>
  </si>
  <si>
    <t>D72</t>
  </si>
  <si>
    <t>K</t>
  </si>
  <si>
    <t>L</t>
  </si>
  <si>
    <t>M</t>
  </si>
  <si>
    <t>O</t>
  </si>
  <si>
    <t>P</t>
  </si>
  <si>
    <t>Q</t>
  </si>
  <si>
    <t>R</t>
  </si>
  <si>
    <t>S</t>
  </si>
  <si>
    <t>T</t>
  </si>
  <si>
    <t>Small-scale</t>
  </si>
  <si>
    <t>Key</t>
  </si>
  <si>
    <t>Medium-scale</t>
  </si>
  <si>
    <t>Medium</t>
  </si>
  <si>
    <t>D73</t>
  </si>
  <si>
    <t>D74</t>
  </si>
  <si>
    <t>D43</t>
  </si>
  <si>
    <t>D45</t>
  </si>
  <si>
    <t>D46</t>
  </si>
  <si>
    <t>Glass_Jars</t>
  </si>
  <si>
    <t>C17</t>
  </si>
  <si>
    <t>D47</t>
  </si>
  <si>
    <t>Old</t>
  </si>
  <si>
    <t>Mustard Sauce</t>
  </si>
  <si>
    <t>SKU Size</t>
  </si>
  <si>
    <t>Salad Dressing</t>
  </si>
  <si>
    <t>SKU Packing Type</t>
  </si>
  <si>
    <t>Button</t>
  </si>
  <si>
    <t>Col Num</t>
  </si>
  <si>
    <t>800</t>
  </si>
  <si>
    <t>2000</t>
  </si>
  <si>
    <t>Parameters</t>
  </si>
  <si>
    <t>Cost Breakdown</t>
  </si>
  <si>
    <t>Cost Breakdown (EUR/MT)</t>
  </si>
  <si>
    <t>Total Equipment Cost</t>
  </si>
  <si>
    <t>Total Utility Cost</t>
  </si>
  <si>
    <t>Total Labour Cost</t>
  </si>
  <si>
    <t>Total Overhead and Indirect Cost</t>
  </si>
  <si>
    <t>Total Production Cost</t>
  </si>
  <si>
    <t>Average Margins Earned by Supplier</t>
  </si>
  <si>
    <t xml:space="preserve">Production Cost Including Margin Earned by Supplier </t>
  </si>
  <si>
    <t>Purchase Price (EUR/MT)</t>
  </si>
  <si>
    <t>Gap (EUR/MT)</t>
  </si>
  <si>
    <t>Cost Breakdown*</t>
  </si>
  <si>
    <t>Production Cost</t>
  </si>
  <si>
    <t>Total Production Cost (including overheads and indirect cost)</t>
  </si>
  <si>
    <t>Cost Breakdown – Packing – By Cost Type</t>
  </si>
  <si>
    <t>Packing Cost</t>
  </si>
  <si>
    <t>Total Packing Cost (including overheads and indirect cost)</t>
  </si>
  <si>
    <t>Summary Dashboard</t>
  </si>
  <si>
    <t>Cost Structure Summary – Breadcrumbs</t>
  </si>
  <si>
    <t xml:space="preserve">Production Cost including Margin Earned by Supplier </t>
  </si>
  <si>
    <t>Cost Breakdown – Processes – By Cost Type</t>
  </si>
  <si>
    <t>1700</t>
  </si>
  <si>
    <t>425</t>
  </si>
  <si>
    <t>100</t>
  </si>
  <si>
    <t>US</t>
  </si>
  <si>
    <t>High-scale</t>
  </si>
  <si>
    <t>The Netherlands</t>
  </si>
  <si>
    <t>October</t>
  </si>
  <si>
    <t>Jar</t>
  </si>
  <si>
    <t>7.5 Oz</t>
  </si>
  <si>
    <t>8.6 Oz</t>
  </si>
  <si>
    <t>13.4 Oz</t>
  </si>
  <si>
    <t>Pails</t>
  </si>
  <si>
    <t>Drum</t>
  </si>
  <si>
    <t>Jugs</t>
  </si>
  <si>
    <t>128</t>
  </si>
  <si>
    <t>Portion Cups</t>
  </si>
  <si>
    <t>1.5</t>
  </si>
  <si>
    <t>Bottles</t>
  </si>
  <si>
    <t>32</t>
  </si>
  <si>
    <t>Smoked Pork Sausage and Frankfurter</t>
  </si>
  <si>
    <t>Flow Wrap</t>
  </si>
  <si>
    <t>375</t>
  </si>
  <si>
    <t>Can</t>
  </si>
  <si>
    <t>1 Gal</t>
  </si>
  <si>
    <t>53 Gal</t>
  </si>
  <si>
    <t>400</t>
  </si>
  <si>
    <t>Formula</t>
  </si>
  <si>
    <t>RTD Ice Tea</t>
  </si>
  <si>
    <t>BBQ Sauce</t>
  </si>
  <si>
    <t>Ketchup</t>
  </si>
  <si>
    <t>Potato Granules</t>
  </si>
  <si>
    <t>Potato Flakes</t>
  </si>
  <si>
    <t>Primerba</t>
  </si>
  <si>
    <t>Potato Flakes Machinery</t>
  </si>
  <si>
    <t>SKU Size (in KG)</t>
  </si>
  <si>
    <t>D75</t>
  </si>
  <si>
    <t>D77</t>
  </si>
  <si>
    <t>Ketchup Machinery</t>
  </si>
  <si>
    <t>D76</t>
  </si>
  <si>
    <t>SKU Size (kg)</t>
  </si>
  <si>
    <t>Potato Granules Machinery</t>
  </si>
  <si>
    <t>Primerba Machinery</t>
  </si>
  <si>
    <t xml:space="preserve">SKU Size (kg) </t>
  </si>
  <si>
    <t>Raw Material Selection</t>
  </si>
  <si>
    <t>C18</t>
  </si>
  <si>
    <t>Product Type</t>
  </si>
  <si>
    <t>Number of Units in Multipacks</t>
  </si>
  <si>
    <t>Tray Combination</t>
  </si>
  <si>
    <t>PET Bottle Decontamination Process (For Can Packing, Select " – ")</t>
  </si>
  <si>
    <t>C19</t>
  </si>
  <si>
    <t>C20</t>
  </si>
  <si>
    <t>C21</t>
  </si>
  <si>
    <t>D49</t>
  </si>
  <si>
    <t>D78</t>
  </si>
  <si>
    <t>D79</t>
  </si>
  <si>
    <t>D81</t>
  </si>
  <si>
    <t>Machinery</t>
  </si>
  <si>
    <t>Type</t>
  </si>
  <si>
    <t>U</t>
  </si>
  <si>
    <t>V</t>
  </si>
  <si>
    <t>W</t>
  </si>
  <si>
    <t>X</t>
  </si>
  <si>
    <t>Y</t>
  </si>
  <si>
    <t>Squeezy Bottle</t>
  </si>
  <si>
    <t>Portugal</t>
  </si>
  <si>
    <t>Germany</t>
  </si>
  <si>
    <t>btn_B_RTD</t>
  </si>
  <si>
    <t>btn_bbqSauce</t>
  </si>
  <si>
    <t>btn_Katchup</t>
  </si>
  <si>
    <t>btn_PtoGranules</t>
  </si>
  <si>
    <t>btn_PtoFlakes</t>
  </si>
  <si>
    <t>btn_PmbGermany</t>
  </si>
  <si>
    <t>PET Bottle</t>
  </si>
  <si>
    <t>=IF(C30="High",20%,IF(C30="Medium",15%,10%))</t>
  </si>
  <si>
    <t>=IF(C35="High",20%,IF(C35="Medium",15%,10%))</t>
  </si>
  <si>
    <t>=IF(C31="High",20%,IF(C31="Medium",15%,10%))</t>
  </si>
  <si>
    <t>=IF(C31="High",25%,IF(C31="Medium",20%,15%))</t>
  </si>
  <si>
    <t>Bucket</t>
  </si>
  <si>
    <t>Sachet</t>
  </si>
  <si>
    <t>December</t>
  </si>
  <si>
    <t>Big Bag</t>
  </si>
  <si>
    <t>Carton</t>
  </si>
  <si>
    <t>Bag in Boxes</t>
  </si>
  <si>
    <t>Netherlands</t>
  </si>
  <si>
    <t>EUR (€)</t>
  </si>
  <si>
    <t>Jars</t>
  </si>
  <si>
    <t>Dried and Frozen Material</t>
  </si>
  <si>
    <t>Dried Material</t>
  </si>
  <si>
    <t>0.225</t>
  </si>
  <si>
    <t>0.43</t>
  </si>
  <si>
    <t>3</t>
  </si>
  <si>
    <t>5</t>
  </si>
  <si>
    <t>0.02</t>
  </si>
  <si>
    <t>0.05</t>
  </si>
  <si>
    <t>Carbonated</t>
  </si>
  <si>
    <t>4*6</t>
  </si>
  <si>
    <t>Dry Aseptic</t>
  </si>
  <si>
    <t>Wet Aseptic</t>
  </si>
  <si>
    <t>6*4</t>
  </si>
  <si>
    <t>8*3</t>
  </si>
  <si>
    <t>12*2</t>
  </si>
  <si>
    <t>24*1</t>
  </si>
  <si>
    <t>Non-Carbonated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</si>
</sst>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[$-409]mmmm\ d\,\ yyyy;@"/>
    <numFmt numFmtId="166" formatCode="0.0"/>
    <numFmt numFmtId="167" formatCode="_-* #,##0.00_-;\-* #,##0.00_-;_-* &quot;-&quot;??_-;_-@_-"/>
    <numFmt numFmtId="168" formatCode="#,##0.0"/>
    <numFmt numFmtId="169" formatCode="0.0%"/>
  </numFmts>
  <fonts count="22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theme="1"/>
      <name val="Calibri"/>
      <family val="2"/>
    </font>
    <font>
      <sz val="11"/>
      <color indexed="8"/>
      <name val="Calibri"/>
      <family val="2"/>
    </font>
    <font>
      <sz val="10"/>
      <color rgb="FF003A62"/>
      <name val="Arial"/>
      <family val="2"/>
      <scheme val="minor"/>
    </font>
    <font>
      <sz val="8"/>
      <name val="Arial"/>
      <family val="2"/>
      <scheme val="minor"/>
    </font>
    <font>
      <sz val="11"/>
      <color rgb="FFFF0000"/>
      <name val="Arial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theme="1"/>
      <name val="Arial"/>
      <family val="2"/>
      <scheme val="minor"/>
    </font>
    <font>
      <sz val="11"/>
      <name val="Arial"/>
      <family val="2"/>
      <scheme val="minor"/>
    </font>
    <font>
      <sz val="10"/>
      <name val="Arial"/>
      <family val="2"/>
      <scheme val="minor"/>
    </font>
    <font>
      <b/>
      <sz val="12"/>
      <color theme="4"/>
      <name val="Arial"/>
      <family val="2"/>
      <scheme val="major"/>
    </font>
    <font>
      <i/>
      <sz val="10"/>
      <color rgb="FF1E2A39"/>
      <name val="Arial"/>
      <family val="2"/>
      <scheme val="minor"/>
    </font>
    <font>
      <b/>
      <sz val="10"/>
      <color rgb="FF003A62"/>
      <name val="Arial"/>
      <family val="2"/>
      <scheme val="minor"/>
    </font>
    <font>
      <sz val="10"/>
      <color rgb="FF1E2A39"/>
      <name val="Arial"/>
      <family val="2"/>
      <scheme val="minor"/>
    </font>
    <font>
      <sz val="10"/>
      <color theme="1"/>
      <name val="Arial"/>
      <family val="2"/>
      <scheme val="major"/>
    </font>
    <font>
      <b/>
      <sz val="18"/>
      <color theme="0"/>
      <name val="Arial"/>
      <family val="2"/>
      <scheme val="minor"/>
    </font>
    <font>
      <b/>
      <sz val="10"/>
      <color theme="1" tint="9.9978637043366805E-2"/>
      <name val="Arial"/>
      <family val="2"/>
      <scheme val="minor"/>
    </font>
    <font>
      <b/>
      <sz val="10"/>
      <color rgb="FF1E2A39"/>
      <name val="Arial"/>
      <family val="2"/>
      <scheme val="minor"/>
    </font>
    <font>
      <b/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9DFD7"/>
        <bgColor indexed="64"/>
      </patternFill>
    </fill>
    <fill>
      <patternFill patternType="solid">
        <fgColor rgb="FF989FA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49992370372631"/>
        <bgColor indexed="64"/>
      </patternFill>
    </fill>
  </fills>
  <borders count="3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8"/>
      </top>
      <bottom style="thin">
        <color theme="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8"/>
      </bottom>
      <diagonal/>
    </border>
    <border>
      <left style="thin">
        <color theme="0"/>
      </left>
      <right style="thin">
        <color theme="0"/>
      </right>
      <top/>
      <bottom style="thin">
        <color theme="8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theme="0"/>
      </left>
      <right style="thin">
        <color theme="0"/>
      </right>
      <top/>
      <bottom style="medium">
        <color rgb="FF00AE9B"/>
      </bottom>
      <diagonal/>
    </border>
    <border>
      <left style="thin">
        <color theme="0"/>
      </left>
      <right style="thin">
        <color theme="0"/>
      </right>
      <top style="thin">
        <color theme="8"/>
      </top>
      <bottom/>
      <diagonal/>
    </border>
    <border>
      <left style="thin">
        <color theme="0"/>
      </left>
      <right/>
      <top style="thin">
        <color theme="8"/>
      </top>
      <bottom style="medium">
        <color rgb="FF00AE9B"/>
      </bottom>
      <diagonal/>
    </border>
    <border>
      <left/>
      <right style="thin">
        <color theme="0"/>
      </right>
      <top style="thin">
        <color theme="8"/>
      </top>
      <bottom style="medium">
        <color rgb="FF00AE9B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0"/>
      </left>
      <right style="thin">
        <color theme="0"/>
      </right>
      <top style="thin">
        <color theme="8"/>
      </top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/>
      <right style="thin">
        <color theme="0"/>
      </right>
      <top/>
      <bottom style="medium">
        <color theme="5"/>
      </bottom>
      <diagonal/>
    </border>
    <border>
      <left/>
      <right/>
      <top style="medium">
        <color theme="5"/>
      </top>
      <bottom/>
      <diagonal/>
    </border>
    <border>
      <left/>
      <right/>
      <top/>
      <bottom style="medium">
        <color rgb="FF00AE9B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8"/>
      </bottom>
      <diagonal/>
    </border>
    <border>
      <left/>
      <right style="thin">
        <color theme="0"/>
      </right>
      <top/>
      <bottom style="thin">
        <color theme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11">
    <xf numFmtId="0" fontId="0" fillId="0" borderId="0"/>
    <xf numFmtId="0" fontId="3" fillId="0" borderId="0"/>
    <xf numFmtId="165" fontId="4" fillId="0" borderId="0"/>
    <xf numFmtId="0" fontId="8" fillId="0" borderId="0"/>
    <xf numFmtId="165" fontId="9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8" fillId="0" borderId="0"/>
    <xf numFmtId="9" fontId="3" fillId="0" borderId="0" applyFont="0" applyFill="0" applyBorder="0" applyAlignment="0" applyProtection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3">
    <xf numFmtId="0" fontId="0" fillId="0" borderId="0" xfId="0"/>
    <xf numFmtId="4" fontId="2" fillId="2" borderId="1" xfId="2" applyNumberFormat="1" applyFont="1" applyFill="1" applyBorder="1" applyAlignment="1" applyProtection="1">
      <alignment horizontal="left" vertical="center" wrapText="1"/>
      <protection locked="0"/>
    </xf>
    <xf numFmtId="4" fontId="2" fillId="2" borderId="0" xfId="2" applyNumberFormat="1" applyFont="1" applyFill="1" applyAlignment="1" applyProtection="1">
      <alignment horizontal="left" vertical="center" wrapText="1"/>
      <protection locked="0"/>
    </xf>
    <xf numFmtId="4" fontId="2" fillId="2" borderId="1" xfId="2" applyNumberFormat="1" applyFont="1" applyFill="1" applyBorder="1" applyAlignment="1" applyProtection="1">
      <alignment horizontal="center" vertical="center" wrapText="1"/>
      <protection locked="0"/>
    </xf>
    <xf numFmtId="2" fontId="5" fillId="0" borderId="2" xfId="1" applyNumberFormat="1" applyFont="1" applyBorder="1" applyAlignment="1" applyProtection="1">
      <alignment horizontal="left" vertical="center"/>
      <protection locked="0"/>
    </xf>
    <xf numFmtId="2" fontId="5" fillId="0" borderId="3" xfId="1" applyNumberFormat="1" applyFont="1" applyBorder="1" applyAlignment="1" applyProtection="1">
      <alignment horizontal="left" vertical="center"/>
      <protection locked="0"/>
    </xf>
    <xf numFmtId="166" fontId="0" fillId="0" borderId="0" xfId="0" applyNumberForma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4" borderId="0" xfId="0" applyFill="1"/>
    <xf numFmtId="0" fontId="0" fillId="8" borderId="0" xfId="0" applyFill="1"/>
    <xf numFmtId="49" fontId="0" fillId="0" borderId="0" xfId="0" applyNumberFormat="1"/>
    <xf numFmtId="0" fontId="11" fillId="0" borderId="0" xfId="0" applyFont="1"/>
    <xf numFmtId="0" fontId="12" fillId="7" borderId="6" xfId="0" applyFont="1" applyFill="1" applyBorder="1"/>
    <xf numFmtId="0" fontId="2" fillId="9" borderId="6" xfId="0" applyFont="1" applyFill="1" applyBorder="1" applyAlignment="1">
      <alignment horizontal="center" vertical="center"/>
    </xf>
    <xf numFmtId="0" fontId="0" fillId="0" borderId="0" xfId="0" applyFill="1"/>
    <xf numFmtId="0" fontId="0" fillId="0" borderId="2" xfId="0" applyBorder="1"/>
    <xf numFmtId="49" fontId="2" fillId="2" borderId="1" xfId="2" applyNumberFormat="1" applyFont="1" applyFill="1" applyBorder="1" applyAlignment="1" applyProtection="1">
      <alignment horizontal="left" vertical="center" wrapText="1"/>
      <protection locked="0"/>
    </xf>
    <xf numFmtId="0" fontId="7" fillId="0" borderId="0" xfId="0" applyFont="1" applyProtection="1">
      <protection locked="0"/>
    </xf>
    <xf numFmtId="0" fontId="13" fillId="0" borderId="0" xfId="0" applyFont="1" applyAlignment="1" applyProtection="1">
      <alignment vertical="center"/>
      <protection locked="0"/>
    </xf>
    <xf numFmtId="0" fontId="14" fillId="0" borderId="0" xfId="0" applyFont="1" applyAlignment="1" applyProtection="1">
      <alignment horizontal="left" vertical="top" wrapText="1"/>
      <protection locked="0"/>
    </xf>
    <xf numFmtId="165" fontId="2" fillId="2" borderId="1" xfId="7" applyFont="1" applyFill="1" applyBorder="1" applyAlignment="1" applyProtection="1">
      <alignment horizontal="center" vertical="center" wrapText="1"/>
      <protection locked="0"/>
    </xf>
    <xf numFmtId="2" fontId="2" fillId="2" borderId="1" xfId="7" applyNumberFormat="1" applyFont="1" applyFill="1" applyBorder="1" applyAlignment="1">
      <alignment horizontal="center" vertical="center" wrapText="1"/>
    </xf>
    <xf numFmtId="10" fontId="5" fillId="0" borderId="3" xfId="8" applyNumberFormat="1" applyFont="1" applyFill="1" applyBorder="1" applyAlignment="1" applyProtection="1">
      <alignment horizontal="center" vertical="center" wrapText="1"/>
    </xf>
    <xf numFmtId="165" fontId="15" fillId="10" borderId="8" xfId="1" applyNumberFormat="1" applyFont="1" applyFill="1" applyBorder="1" applyAlignment="1" applyProtection="1">
      <alignment horizontal="left" vertical="center"/>
      <protection locked="0"/>
    </xf>
    <xf numFmtId="10" fontId="15" fillId="10" borderId="8" xfId="8" applyNumberFormat="1" applyFont="1" applyFill="1" applyBorder="1" applyAlignment="1" applyProtection="1">
      <alignment horizontal="center" vertical="center" wrapText="1"/>
    </xf>
    <xf numFmtId="9" fontId="15" fillId="0" borderId="2" xfId="1" applyNumberFormat="1" applyFont="1" applyBorder="1" applyAlignment="1" applyProtection="1">
      <alignment horizontal="center" vertical="center"/>
      <protection locked="0"/>
    </xf>
    <xf numFmtId="166" fontId="15" fillId="0" borderId="2" xfId="1" applyNumberFormat="1" applyFont="1" applyBorder="1" applyAlignment="1" applyProtection="1">
      <alignment horizontal="center" vertical="center"/>
      <protection locked="0"/>
    </xf>
    <xf numFmtId="165" fontId="15" fillId="10" borderId="10" xfId="1" applyNumberFormat="1" applyFont="1" applyFill="1" applyBorder="1" applyAlignment="1" applyProtection="1">
      <alignment vertical="center"/>
      <protection locked="0"/>
    </xf>
    <xf numFmtId="165" fontId="15" fillId="10" borderId="11" xfId="1" applyNumberFormat="1" applyFont="1" applyFill="1" applyBorder="1" applyAlignment="1" applyProtection="1">
      <alignment vertical="center"/>
      <protection locked="0"/>
    </xf>
    <xf numFmtId="166" fontId="15" fillId="12" borderId="12" xfId="1" applyNumberFormat="1" applyFont="1" applyFill="1" applyBorder="1" applyAlignment="1" applyProtection="1">
      <alignment horizontal="center" vertical="center"/>
      <protection locked="0"/>
    </xf>
    <xf numFmtId="168" fontId="15" fillId="10" borderId="8" xfId="8" applyNumberFormat="1" applyFont="1" applyFill="1" applyBorder="1" applyAlignment="1" applyProtection="1">
      <alignment horizontal="center" vertical="center" wrapText="1"/>
    </xf>
    <xf numFmtId="165" fontId="15" fillId="10" borderId="8" xfId="1" applyNumberFormat="1" applyFont="1" applyFill="1" applyBorder="1" applyAlignment="1" applyProtection="1">
      <alignment horizontal="left" vertical="center" wrapText="1"/>
      <protection locked="0"/>
    </xf>
    <xf numFmtId="2" fontId="2" fillId="2" borderId="1" xfId="7" applyNumberFormat="1" applyFont="1" applyFill="1" applyBorder="1" applyAlignment="1" applyProtection="1">
      <alignment horizontal="center" vertical="center" wrapText="1"/>
      <protection locked="0"/>
    </xf>
    <xf numFmtId="4" fontId="17" fillId="3" borderId="2" xfId="7" applyNumberFormat="1" applyFont="1" applyFill="1" applyBorder="1" applyAlignment="1">
      <alignment horizontal="center" vertical="center"/>
    </xf>
    <xf numFmtId="2" fontId="15" fillId="10" borderId="8" xfId="1" applyNumberFormat="1" applyFont="1" applyFill="1" applyBorder="1" applyAlignment="1" applyProtection="1">
      <alignment horizontal="left" vertical="center"/>
      <protection locked="0"/>
    </xf>
    <xf numFmtId="10" fontId="15" fillId="10" borderId="13" xfId="10" applyNumberFormat="1" applyFont="1" applyFill="1" applyBorder="1" applyAlignment="1" applyProtection="1">
      <alignment horizontal="center" vertical="center" wrapText="1"/>
    </xf>
    <xf numFmtId="4" fontId="15" fillId="10" borderId="8" xfId="1" applyNumberFormat="1" applyFont="1" applyFill="1" applyBorder="1" applyAlignment="1" applyProtection="1">
      <alignment horizontal="center" vertical="center"/>
      <protection locked="0"/>
    </xf>
    <xf numFmtId="2" fontId="13" fillId="0" borderId="0" xfId="0" applyNumberFormat="1" applyFont="1" applyAlignment="1">
      <alignment horizontal="center" vertical="center"/>
    </xf>
    <xf numFmtId="169" fontId="5" fillId="0" borderId="3" xfId="10" applyNumberFormat="1" applyFont="1" applyFill="1" applyBorder="1" applyAlignment="1" applyProtection="1">
      <alignment horizontal="center" vertical="center" wrapText="1"/>
    </xf>
    <xf numFmtId="2" fontId="5" fillId="3" borderId="3" xfId="0" applyNumberFormat="1" applyFont="1" applyFill="1" applyBorder="1" applyAlignment="1">
      <alignment horizontal="center" vertical="center"/>
    </xf>
    <xf numFmtId="169" fontId="15" fillId="10" borderId="13" xfId="10" applyNumberFormat="1" applyFont="1" applyFill="1" applyBorder="1" applyAlignment="1" applyProtection="1">
      <alignment horizontal="center" vertical="center" wrapText="1"/>
    </xf>
    <xf numFmtId="2" fontId="15" fillId="10" borderId="13" xfId="8" applyNumberFormat="1" applyFont="1" applyFill="1" applyBorder="1" applyAlignment="1" applyProtection="1">
      <alignment horizontal="center" vertical="center" wrapText="1"/>
    </xf>
    <xf numFmtId="168" fontId="15" fillId="4" borderId="8" xfId="1" applyNumberFormat="1" applyFont="1" applyFill="1" applyBorder="1" applyAlignment="1" applyProtection="1">
      <alignment horizontal="center" vertical="center"/>
      <protection locked="0"/>
    </xf>
    <xf numFmtId="168" fontId="15" fillId="10" borderId="0" xfId="1" applyNumberFormat="1" applyFont="1" applyFill="1" applyAlignment="1" applyProtection="1">
      <alignment horizontal="center" vertical="center"/>
      <protection locked="0"/>
    </xf>
    <xf numFmtId="168" fontId="10" fillId="3" borderId="2" xfId="7" applyNumberFormat="1" applyFont="1" applyFill="1" applyBorder="1" applyAlignment="1">
      <alignment horizontal="center" vertical="center"/>
    </xf>
    <xf numFmtId="169" fontId="15" fillId="10" borderId="8" xfId="8" applyNumberFormat="1" applyFont="1" applyFill="1" applyBorder="1" applyAlignment="1" applyProtection="1">
      <alignment horizontal="center" vertical="center" wrapText="1"/>
    </xf>
    <xf numFmtId="2" fontId="13" fillId="0" borderId="0" xfId="0" applyNumberFormat="1" applyFont="1" applyAlignment="1">
      <alignment vertical="center"/>
    </xf>
    <xf numFmtId="169" fontId="16" fillId="0" borderId="3" xfId="10" applyNumberFormat="1" applyFont="1" applyBorder="1" applyAlignment="1">
      <alignment horizontal="center" vertical="center"/>
    </xf>
    <xf numFmtId="168" fontId="17" fillId="3" borderId="2" xfId="7" applyNumberFormat="1" applyFont="1" applyFill="1" applyBorder="1" applyAlignment="1">
      <alignment horizontal="center" vertical="center"/>
    </xf>
    <xf numFmtId="168" fontId="15" fillId="10" borderId="8" xfId="1" applyNumberFormat="1" applyFont="1" applyFill="1" applyBorder="1" applyAlignment="1" applyProtection="1">
      <alignment horizontal="center" vertical="center"/>
      <protection locked="0"/>
    </xf>
    <xf numFmtId="165" fontId="15" fillId="5" borderId="8" xfId="1" applyNumberFormat="1" applyFont="1" applyFill="1" applyBorder="1" applyAlignment="1" applyProtection="1">
      <alignment horizontal="left" vertical="center"/>
      <protection locked="0"/>
    </xf>
    <xf numFmtId="169" fontId="5" fillId="5" borderId="2" xfId="1" applyNumberFormat="1" applyFont="1" applyFill="1" applyBorder="1" applyAlignment="1" applyProtection="1">
      <alignment horizontal="center" vertical="center"/>
      <protection locked="0"/>
    </xf>
    <xf numFmtId="166" fontId="5" fillId="5" borderId="2" xfId="1" applyNumberFormat="1" applyFont="1" applyFill="1" applyBorder="1" applyAlignment="1" applyProtection="1">
      <alignment horizontal="center" vertical="center"/>
      <protection locked="0"/>
    </xf>
    <xf numFmtId="2" fontId="5" fillId="5" borderId="0" xfId="1" applyNumberFormat="1" applyFont="1" applyFill="1" applyAlignment="1" applyProtection="1">
      <alignment vertical="center"/>
      <protection locked="0"/>
    </xf>
    <xf numFmtId="166" fontId="5" fillId="5" borderId="18" xfId="1" applyNumberFormat="1" applyFont="1" applyFill="1" applyBorder="1" applyAlignment="1" applyProtection="1">
      <alignment horizontal="center" vertical="center"/>
      <protection locked="0"/>
    </xf>
    <xf numFmtId="165" fontId="15" fillId="5" borderId="10" xfId="1" applyNumberFormat="1" applyFont="1" applyFill="1" applyBorder="1" applyAlignment="1" applyProtection="1">
      <alignment vertical="center"/>
      <protection locked="0"/>
    </xf>
    <xf numFmtId="165" fontId="15" fillId="5" borderId="11" xfId="1" applyNumberFormat="1" applyFont="1" applyFill="1" applyBorder="1" applyAlignment="1" applyProtection="1">
      <alignment vertical="center"/>
      <protection locked="0"/>
    </xf>
    <xf numFmtId="166" fontId="15" fillId="5" borderId="12" xfId="1" applyNumberFormat="1" applyFont="1" applyFill="1" applyBorder="1" applyAlignment="1" applyProtection="1">
      <alignment horizontal="center" vertical="center"/>
      <protection locked="0"/>
    </xf>
    <xf numFmtId="2" fontId="5" fillId="5" borderId="19" xfId="1" applyNumberFormat="1" applyFont="1" applyFill="1" applyBorder="1" applyAlignment="1" applyProtection="1">
      <alignment horizontal="left" vertical="center"/>
      <protection locked="0"/>
    </xf>
    <xf numFmtId="2" fontId="5" fillId="5" borderId="20" xfId="1" applyNumberFormat="1" applyFont="1" applyFill="1" applyBorder="1" applyAlignment="1" applyProtection="1">
      <alignment horizontal="left" vertical="center"/>
      <protection locked="0"/>
    </xf>
    <xf numFmtId="166" fontId="15" fillId="5" borderId="5" xfId="1" applyNumberFormat="1" applyFont="1" applyFill="1" applyBorder="1" applyAlignment="1" applyProtection="1">
      <alignment horizontal="center" vertical="center"/>
      <protection locked="0"/>
    </xf>
    <xf numFmtId="168" fontId="15" fillId="5" borderId="8" xfId="8" applyNumberFormat="1" applyFont="1" applyFill="1" applyBorder="1" applyAlignment="1" applyProtection="1">
      <alignment horizontal="center" vertical="center" wrapText="1"/>
    </xf>
    <xf numFmtId="168" fontId="15" fillId="10" borderId="17" xfId="8" applyNumberFormat="1" applyFont="1" applyFill="1" applyBorder="1" applyAlignment="1" applyProtection="1">
      <alignment horizontal="center" vertical="center" wrapText="1"/>
    </xf>
    <xf numFmtId="0" fontId="0" fillId="15" borderId="0" xfId="0" applyFill="1"/>
    <xf numFmtId="166" fontId="5" fillId="16" borderId="2" xfId="1" applyNumberFormat="1" applyFont="1" applyFill="1" applyBorder="1" applyAlignment="1" applyProtection="1">
      <alignment horizontal="left" vertical="center"/>
      <protection locked="0"/>
    </xf>
    <xf numFmtId="166" fontId="5" fillId="14" borderId="2" xfId="1" applyNumberFormat="1" applyFont="1" applyFill="1" applyBorder="1" applyAlignment="1" applyProtection="1">
      <alignment horizontal="left" vertical="center"/>
      <protection locked="0"/>
    </xf>
    <xf numFmtId="49" fontId="19" fillId="0" borderId="2" xfId="2" applyNumberFormat="1" applyFont="1" applyBorder="1" applyAlignment="1" applyProtection="1">
      <alignment horizontal="center" vertical="center" wrapText="1"/>
      <protection locked="0"/>
    </xf>
    <xf numFmtId="0" fontId="0" fillId="0" borderId="0" xfId="0" quotePrefix="1"/>
    <xf numFmtId="4" fontId="19" fillId="0" borderId="1" xfId="1" applyNumberFormat="1" applyFont="1" applyBorder="1" applyAlignment="1" applyProtection="1">
      <alignment horizontal="center" vertical="center"/>
      <protection locked="0"/>
    </xf>
    <xf numFmtId="49" fontId="2" fillId="2" borderId="1" xfId="2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168" fontId="10" fillId="0" borderId="0" xfId="5" quotePrefix="1" applyNumberFormat="1" applyFont="1" applyBorder="1" applyAlignment="1" applyProtection="1">
      <alignment vertical="top"/>
      <protection locked="0"/>
    </xf>
    <xf numFmtId="0" fontId="0" fillId="0" borderId="24" xfId="0" applyBorder="1"/>
    <xf numFmtId="22" fontId="0" fillId="0" borderId="0" xfId="0" applyNumberFormat="1" applyBorder="1"/>
    <xf numFmtId="22" fontId="0" fillId="0" borderId="25" xfId="0" applyNumberFormat="1" applyBorder="1"/>
    <xf numFmtId="0" fontId="0" fillId="0" borderId="25" xfId="0" applyBorder="1"/>
    <xf numFmtId="0" fontId="10" fillId="0" borderId="0" xfId="0" applyFont="1" applyBorder="1" applyAlignment="1">
      <alignment horizontal="center" vertical="center"/>
    </xf>
    <xf numFmtId="0" fontId="10" fillId="0" borderId="0" xfId="0" applyFont="1" applyBorder="1"/>
    <xf numFmtId="0" fontId="7" fillId="0" borderId="0" xfId="0" applyFont="1" applyBorder="1" applyProtection="1">
      <protection locked="0"/>
    </xf>
    <xf numFmtId="0" fontId="14" fillId="0" borderId="0" xfId="0" applyFont="1" applyBorder="1" applyAlignment="1" applyProtection="1">
      <alignment horizontal="left" vertical="top" wrapText="1"/>
      <protection locked="0"/>
    </xf>
    <xf numFmtId="4" fontId="15" fillId="10" borderId="0" xfId="1" applyNumberFormat="1" applyFont="1" applyFill="1" applyBorder="1" applyAlignment="1" applyProtection="1">
      <alignment horizontal="center" vertical="center"/>
      <protection locked="0"/>
    </xf>
    <xf numFmtId="168" fontId="15" fillId="10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0" applyNumberFormat="1" applyFont="1" applyBorder="1" applyAlignment="1" applyProtection="1">
      <alignment horizontal="left" vertical="top" wrapText="1"/>
      <protection locked="0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7" fillId="0" borderId="27" xfId="0" applyFont="1" applyBorder="1" applyProtection="1">
      <protection locked="0"/>
    </xf>
    <xf numFmtId="0" fontId="20" fillId="0" borderId="0" xfId="0" applyFont="1" applyAlignment="1" applyProtection="1">
      <alignment horizontal="left" vertical="top" wrapText="1"/>
      <protection locked="0"/>
    </xf>
    <xf numFmtId="0" fontId="0" fillId="0" borderId="0" xfId="0" quotePrefix="1" applyFill="1"/>
    <xf numFmtId="2" fontId="5" fillId="0" borderId="5" xfId="1" applyNumberFormat="1" applyFont="1" applyBorder="1" applyAlignment="1" applyProtection="1">
      <alignment horizontal="left" vertical="center"/>
      <protection locked="0"/>
    </xf>
    <xf numFmtId="4" fontId="21" fillId="2" borderId="1" xfId="2" applyNumberFormat="1" applyFont="1" applyFill="1" applyBorder="1" applyAlignment="1" applyProtection="1">
      <alignment horizontal="left" vertical="center" wrapText="1"/>
      <protection locked="0"/>
    </xf>
    <xf numFmtId="4" fontId="21" fillId="2" borderId="0" xfId="2" applyNumberFormat="1" applyFont="1" applyFill="1" applyAlignment="1" applyProtection="1">
      <alignment horizontal="left" vertical="center" wrapText="1"/>
      <protection locked="0"/>
    </xf>
    <xf numFmtId="2" fontId="0" fillId="0" borderId="0" xfId="0" applyNumberFormat="1"/>
    <xf numFmtId="2" fontId="0" fillId="5" borderId="0" xfId="0" applyNumberFormat="1" applyFill="1"/>
    <xf numFmtId="165" fontId="15" fillId="10" borderId="29" xfId="1" applyNumberFormat="1" applyFont="1" applyFill="1" applyBorder="1" applyAlignment="1" applyProtection="1">
      <alignment horizontal="center" vertical="center"/>
      <protection locked="0"/>
    </xf>
    <xf numFmtId="165" fontId="15" fillId="10" borderId="0" xfId="1" applyNumberFormat="1" applyFont="1" applyFill="1" applyBorder="1" applyAlignment="1" applyProtection="1">
      <alignment horizontal="center" vertical="center"/>
      <protection locked="0"/>
    </xf>
    <xf numFmtId="0" fontId="18" fillId="13" borderId="21" xfId="0" applyFont="1" applyFill="1" applyBorder="1" applyAlignment="1">
      <alignment horizontal="center" vertical="center"/>
    </xf>
    <xf numFmtId="0" fontId="18" fillId="13" borderId="22" xfId="0" applyFont="1" applyFill="1" applyBorder="1" applyAlignment="1">
      <alignment horizontal="center" vertical="center"/>
    </xf>
    <xf numFmtId="0" fontId="18" fillId="13" borderId="23" xfId="0" applyFont="1" applyFill="1" applyBorder="1" applyAlignment="1">
      <alignment horizontal="center" vertical="center"/>
    </xf>
    <xf numFmtId="2" fontId="13" fillId="0" borderId="7" xfId="0" applyNumberFormat="1" applyFont="1" applyBorder="1" applyAlignment="1">
      <alignment horizontal="center" vertical="center" wrapText="1"/>
    </xf>
    <xf numFmtId="0" fontId="2" fillId="11" borderId="9" xfId="2" applyNumberFormat="1" applyFont="1" applyFill="1" applyBorder="1" applyAlignment="1" applyProtection="1">
      <alignment horizontal="center" vertical="center" wrapText="1"/>
      <protection locked="0"/>
    </xf>
    <xf numFmtId="0" fontId="2" fillId="11" borderId="4" xfId="2" applyNumberFormat="1" applyFont="1" applyFill="1" applyBorder="1" applyAlignment="1" applyProtection="1">
      <alignment horizontal="center" vertical="center" wrapText="1"/>
      <protection locked="0"/>
    </xf>
    <xf numFmtId="2" fontId="15" fillId="4" borderId="14" xfId="1" applyNumberFormat="1" applyFont="1" applyFill="1" applyBorder="1" applyAlignment="1" applyProtection="1">
      <alignment horizontal="center" vertical="center"/>
      <protection locked="0"/>
    </xf>
    <xf numFmtId="2" fontId="15" fillId="4" borderId="15" xfId="1" applyNumberFormat="1" applyFont="1" applyFill="1" applyBorder="1" applyAlignment="1" applyProtection="1">
      <alignment horizontal="center" vertical="center"/>
      <protection locked="0"/>
    </xf>
    <xf numFmtId="2" fontId="15" fillId="10" borderId="16" xfId="1" applyNumberFormat="1" applyFont="1" applyFill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>
      <alignment horizontal="center" vertical="center" wrapText="1"/>
    </xf>
    <xf numFmtId="165" fontId="15" fillId="5" borderId="10" xfId="1" applyNumberFormat="1" applyFont="1" applyFill="1" applyBorder="1" applyAlignment="1" applyProtection="1">
      <alignment horizontal="center" vertical="center"/>
      <protection locked="0"/>
    </xf>
    <xf numFmtId="165" fontId="15" fillId="5" borderId="11" xfId="1" applyNumberFormat="1" applyFont="1" applyFill="1" applyBorder="1" applyAlignment="1" applyProtection="1">
      <alignment horizontal="center" vertical="center"/>
      <protection locked="0"/>
    </xf>
    <xf numFmtId="2" fontId="13" fillId="0" borderId="7" xfId="0" applyNumberFormat="1" applyFont="1" applyBorder="1" applyAlignment="1">
      <alignment horizontal="center" vertical="center"/>
    </xf>
    <xf numFmtId="0" fontId="2" fillId="5" borderId="9" xfId="2" applyNumberFormat="1" applyFont="1" applyFill="1" applyBorder="1" applyAlignment="1" applyProtection="1">
      <alignment horizontal="center" vertical="center" wrapText="1"/>
      <protection locked="0"/>
    </xf>
    <xf numFmtId="0" fontId="2" fillId="5" borderId="4" xfId="2" applyNumberFormat="1" applyFont="1" applyFill="1" applyBorder="1" applyAlignment="1" applyProtection="1">
      <alignment horizontal="center" vertical="center" wrapText="1"/>
      <protection locked="0"/>
    </xf>
  </cellXfs>
  <cellStyles count="11">
    <cellStyle name="Comma 2" xfId="9" xr:uid="{F7E07FA9-784D-4964-AF8D-610F9DAA8FD9}"/>
    <cellStyle name="Comma 5" xfId="5" xr:uid="{722F61CA-03A8-4A5C-A050-E362034E9F97}"/>
    <cellStyle name="Comma 5 2" xfId="6" xr:uid="{B25AEEC7-07EA-449C-A590-B156895BEB1A}"/>
    <cellStyle name="Hyperlink 2" xfId="4" xr:uid="{8510D79B-F3B0-49B0-BFAE-3C541D6E4A30}"/>
    <cellStyle name="Normal" xfId="0" builtinId="0"/>
    <cellStyle name="Normal 15 2 3" xfId="7" xr:uid="{82179B06-0F49-4E88-A46F-F5B927BA0EEE}"/>
    <cellStyle name="Normal 17" xfId="3" xr:uid="{0F53E2AE-91C4-451F-A7A2-DE8DB9782886}"/>
    <cellStyle name="Normal 2" xfId="1" xr:uid="{0B0A482B-3C7A-4FC0-99AD-8DAC5DE8446F}"/>
    <cellStyle name="Normal_Sheet1" xfId="2" xr:uid="{1ADC7DFB-F374-4110-9CE6-A12CB25E5ACC}"/>
    <cellStyle name="Percent" xfId="10" builtinId="5"/>
    <cellStyle name="Percent 2" xfId="8" xr:uid="{6FC923B3-FB86-4D66-AB2C-19CC7B7BB63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278675171675844"/>
          <c:y val="0.22626964300431399"/>
          <c:w val="0.25242806962316611"/>
          <c:h val="0.63405024769087337"/>
        </c:manualLayout>
      </c:layout>
      <c:pieChart>
        <c:varyColors val="1"/>
        <c:ser>
          <c:idx val="0"/>
          <c:order val="0"/>
          <c:tx>
            <c:strRef>
              <c:f>Dashboard!$O$21</c:f>
              <c:strCache>
                <c:ptCount val="1"/>
                <c:pt idx="0">
                  <c:v>Cost Breakdown*</c:v>
                </c:pt>
              </c:strCache>
            </c:strRef>
          </c:tx>
          <c:dLbls>
            <c:dLbl>
              <c:idx val="0"/>
              <c:layout>
                <c:manualLayout>
                  <c:x val="1.461514663622321E-2"/>
                  <c:y val="4.5845059124151426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275-4581-BDB2-A4CA2648FE62}"/>
                </c:ext>
              </c:extLst>
            </c:dLbl>
            <c:dLbl>
              <c:idx val="1"/>
              <c:layout>
                <c:manualLayout>
                  <c:x val="3.9430993500990212E-2"/>
                  <c:y val="-7.085946747293751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75-4581-BDB2-A4CA2648FE62}"/>
                </c:ext>
              </c:extLst>
            </c:dLbl>
            <c:dLbl>
              <c:idx val="2"/>
              <c:layout>
                <c:manualLayout>
                  <c:x val="-5.5672744464512529E-2"/>
                  <c:y val="-1.37321720353401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275-4581-BDB2-A4CA2648FE62}"/>
                </c:ext>
              </c:extLst>
            </c:dLbl>
            <c:spPr>
              <a:noFill/>
              <a:ln>
                <a:noFill/>
              </a:ln>
              <a:effectLst/>
            </c:sp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Dashboard!$N$22:$N$24</c:f>
              <c:strCache>
                <c:ptCount val="3"/>
                <c:pt idx="0">
                  <c:v>Equipment Cost</c:v>
                </c:pt>
                <c:pt idx="1">
                  <c:v>Utility Cost</c:v>
                </c:pt>
                <c:pt idx="2">
                  <c:v>Labour Cost</c:v>
                </c:pt>
              </c:strCache>
            </c:strRef>
          </c:cat>
          <c:val>
            <c:numRef>
              <c:f>Dashboard!$O$22:$O$24</c:f>
              <c:numCache>
                <c:formatCode>0.0%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6F-47DA-AFB3-5FC32937101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txPr>
    <a:bodyPr/>
    <a:lstStyle/>
    <a:p>
      <a:pPr marL="0" marR="0" lvl="0" indent="0" algn="ctr" defTabSz="914400" rtl="0" eaLnBrk="1" fontAlgn="auto" latinLnBrk="0" hangingPunct="1">
        <a:lnSpc>
          <a:spcPct val="100000"/>
        </a:lnSpc>
        <a:spcBef>
          <a:spcPts val="0"/>
        </a:spcBef>
        <a:spcAft>
          <a:spcPts val="0"/>
        </a:spcAft>
        <a:buClrTx/>
        <a:buSzTx/>
        <a:buFontTx/>
        <a:buNone/>
        <a:tabLst/>
        <a:defRPr lang="en-US" sz="1000" b="0" i="0" u="none" strike="noStrike" kern="1200" baseline="0">
          <a:solidFill>
            <a:srgbClr val="231F20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767789492812304"/>
          <c:y val="0.1909301622493198"/>
          <c:w val="0.35415934202677557"/>
          <c:h val="0.62308916588767993"/>
        </c:manualLayout>
      </c:layout>
      <c:pieChart>
        <c:varyColors val="1"/>
        <c:ser>
          <c:idx val="0"/>
          <c:order val="0"/>
          <c:tx>
            <c:strRef>
              <c:f>Dashboard!$G$21</c:f>
              <c:strCache>
                <c:ptCount val="1"/>
                <c:pt idx="0">
                  <c:v>Cost Breakdown</c:v>
                </c:pt>
              </c:strCache>
            </c:strRef>
          </c:tx>
          <c:dLbls>
            <c:dLbl>
              <c:idx val="2"/>
              <c:layout>
                <c:manualLayout>
                  <c:x val="-5.6178059716823206E-3"/>
                  <c:y val="-8.3333740020761164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CA-45EE-90D9-FB643A4DD99C}"/>
                </c:ext>
              </c:extLst>
            </c:dLbl>
            <c:dLbl>
              <c:idx val="3"/>
              <c:layout>
                <c:manualLayout>
                  <c:x val="-1.6025636981214168E-2"/>
                  <c:y val="4.5317296369861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435891773699834"/>
                      <c:h val="0.4847656051195207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FCA-45EE-90D9-FB643A4DD99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Dashboard!$F$22:$F$25</c:f>
              <c:strCache>
                <c:ptCount val="4"/>
                <c:pt idx="0">
                  <c:v>Total Equipment Cost</c:v>
                </c:pt>
                <c:pt idx="1">
                  <c:v>Total Utility Cost</c:v>
                </c:pt>
                <c:pt idx="2">
                  <c:v>Total Labour Cost</c:v>
                </c:pt>
                <c:pt idx="3">
                  <c:v>Total Overhead and Indirect Cost</c:v>
                </c:pt>
              </c:strCache>
            </c:strRef>
          </c:cat>
          <c:val>
            <c:numRef>
              <c:f>Dashboard!$G$22:$G$25</c:f>
              <c:numCache>
                <c:formatCode>0.00%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CA-45EE-90D9-FB643A4DD99C}"/>
            </c:ext>
          </c:extLst>
        </c:ser>
        <c:ser>
          <c:idx val="1"/>
          <c:order val="1"/>
          <c:tx>
            <c:strRef>
              <c:f>Dashboard!$H$21</c:f>
              <c:strCache>
                <c:ptCount val="1"/>
                <c:pt idx="0">
                  <c:v>Cost Breakdown (EUR/MT)</c:v>
                </c:pt>
              </c:strCache>
            </c:strRef>
          </c:tx>
          <c:cat>
            <c:strRef>
              <c:f>Dashboard!$F$22:$F$25</c:f>
              <c:strCache>
                <c:ptCount val="4"/>
                <c:pt idx="0">
                  <c:v>Total Equipment Cost</c:v>
                </c:pt>
                <c:pt idx="1">
                  <c:v>Total Utility Cost</c:v>
                </c:pt>
                <c:pt idx="2">
                  <c:v>Total Labour Cost</c:v>
                </c:pt>
                <c:pt idx="3">
                  <c:v>Total Overhead and Indirect Cost</c:v>
                </c:pt>
              </c:strCache>
            </c:strRef>
          </c:cat>
          <c:val>
            <c:numRef>
              <c:f>Dashboard!$H$22:$H$25</c:f>
              <c:numCache>
                <c:formatCode>#,##0.0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CA-45EE-90D9-FB643A4DD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278675171675844"/>
          <c:y val="0.22626964300431399"/>
          <c:w val="0.33493788950795123"/>
          <c:h val="0.6172388937903045"/>
        </c:manualLayout>
      </c:layout>
      <c:pieChart>
        <c:varyColors val="1"/>
        <c:ser>
          <c:idx val="0"/>
          <c:order val="0"/>
          <c:tx>
            <c:strRef>
              <c:f>Dashboard!$K$21</c:f>
              <c:strCache>
                <c:ptCount val="1"/>
                <c:pt idx="0">
                  <c:v>Cost Breakdown*</c:v>
                </c:pt>
              </c:strCache>
            </c:strRef>
          </c:tx>
          <c:dLbls>
            <c:dLbl>
              <c:idx val="0"/>
              <c:layout>
                <c:manualLayout>
                  <c:x val="5.4382594829114374E-2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FC-4891-A57C-86C1B735C4F4}"/>
                </c:ext>
              </c:extLst>
            </c:dLbl>
            <c:dLbl>
              <c:idx val="1"/>
              <c:layout>
                <c:manualLayout>
                  <c:x val="3.5348686638924404E-2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FC-4891-A57C-86C1B735C4F4}"/>
                </c:ext>
              </c:extLst>
            </c:dLbl>
            <c:dLbl>
              <c:idx val="2"/>
              <c:layout>
                <c:manualLayout>
                  <c:x val="-4.0786946121835879E-2"/>
                  <c:y val="-2.689874423106656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FC-4891-A57C-86C1B735C4F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Dashboard!$J$22:$J$24</c:f>
              <c:strCache>
                <c:ptCount val="3"/>
                <c:pt idx="0">
                  <c:v>Equipment Cost</c:v>
                </c:pt>
                <c:pt idx="1">
                  <c:v>Utility Cost</c:v>
                </c:pt>
                <c:pt idx="2">
                  <c:v>Labour Cost</c:v>
                </c:pt>
              </c:strCache>
            </c:strRef>
          </c:cat>
          <c:val>
            <c:numRef>
              <c:f>Dashboard!$K$22:$K$24</c:f>
              <c:numCache>
                <c:formatCode>0.0%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FC-4891-A57C-86C1B735C4F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12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11" Type="http://schemas.openxmlformats.org/officeDocument/2006/relationships/image" Target="../media/image5.emf"/><Relationship Id="rId5" Type="http://schemas.openxmlformats.org/officeDocument/2006/relationships/image" Target="../media/image10.emf"/><Relationship Id="rId15" Type="http://schemas.openxmlformats.org/officeDocument/2006/relationships/image" Target="../media/image1.emf"/><Relationship Id="rId10" Type="http://schemas.openxmlformats.org/officeDocument/2006/relationships/image" Target="../media/image15.emf"/><Relationship Id="rId4" Type="http://schemas.openxmlformats.org/officeDocument/2006/relationships/image" Target="../media/image9.emf"/><Relationship Id="rId9" Type="http://schemas.openxmlformats.org/officeDocument/2006/relationships/image" Target="../media/image14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91440</xdr:colOff>
      <xdr:row>2</xdr:row>
      <xdr:rowOff>8964</xdr:rowOff>
    </xdr:from>
    <xdr:to>
      <xdr:col>4</xdr:col>
      <xdr:colOff>259080</xdr:colOff>
      <xdr:row>3</xdr:row>
      <xdr:rowOff>80084</xdr:rowOff>
    </xdr:to>
    <xdr:sp macro="[0]!modelButton_Click" textlink="">
      <xdr:nvSpPr>
        <xdr:cNvPr id="2" name="btn_B_RTD">
          <a:extLst>
            <a:ext uri="{FF2B5EF4-FFF2-40B4-BE49-F238E27FC236}">
              <a16:creationId xmlns:a16="http://schemas.microsoft.com/office/drawing/2014/main" id="{D65A04E7-4A23-FBA5-D83D-4C03FC814599}"/>
            </a:ext>
          </a:extLst>
        </xdr:cNvPr>
        <xdr:cNvSpPr/>
      </xdr:nvSpPr>
      <xdr:spPr>
        <a:xfrm>
          <a:off x="228600" y="525780"/>
          <a:ext cx="2179320" cy="24638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lvl="0"/>
          <a:r>
            <a:rPr lang="en-I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RTD Ice Tea</a:t>
          </a:r>
        </a:p>
      </xdr:txBody>
    </xdr:sp>
    <xdr:clientData/>
  </xdr:twoCellAnchor>
  <xdr:twoCellAnchor editAs="absolute">
    <xdr:from>
      <xdr:col>1</xdr:col>
      <xdr:colOff>91440</xdr:colOff>
      <xdr:row>3</xdr:row>
      <xdr:rowOff>87704</xdr:rowOff>
    </xdr:from>
    <xdr:to>
      <xdr:col>4</xdr:col>
      <xdr:colOff>259080</xdr:colOff>
      <xdr:row>4</xdr:row>
      <xdr:rowOff>158825</xdr:rowOff>
    </xdr:to>
    <xdr:sp macro="[0]!modelButton_Click" textlink="">
      <xdr:nvSpPr>
        <xdr:cNvPr id="3" name="btn_bbqSauce">
          <a:extLst>
            <a:ext uri="{FF2B5EF4-FFF2-40B4-BE49-F238E27FC236}">
              <a16:creationId xmlns:a16="http://schemas.microsoft.com/office/drawing/2014/main" id="{67254A33-0663-4769-B2B1-D55D041D1D53}"/>
            </a:ext>
          </a:extLst>
        </xdr:cNvPr>
        <xdr:cNvSpPr/>
      </xdr:nvSpPr>
      <xdr:spPr>
        <a:xfrm>
          <a:off x="228600" y="779780"/>
          <a:ext cx="2179320" cy="24638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I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BBQ Sauce</a:t>
          </a:r>
          <a:endParaRPr lang="en-GB" sz="1100"/>
        </a:p>
      </xdr:txBody>
    </xdr:sp>
    <xdr:clientData/>
  </xdr:twoCellAnchor>
  <xdr:twoCellAnchor editAs="absolute">
    <xdr:from>
      <xdr:col>1</xdr:col>
      <xdr:colOff>91440</xdr:colOff>
      <xdr:row>4</xdr:row>
      <xdr:rowOff>166445</xdr:rowOff>
    </xdr:from>
    <xdr:to>
      <xdr:col>4</xdr:col>
      <xdr:colOff>259080</xdr:colOff>
      <xdr:row>6</xdr:row>
      <xdr:rowOff>58719</xdr:rowOff>
    </xdr:to>
    <xdr:sp macro="[0]!modelButton_Click" textlink="">
      <xdr:nvSpPr>
        <xdr:cNvPr id="4" name="btn_Katchup">
          <a:extLst>
            <a:ext uri="{FF2B5EF4-FFF2-40B4-BE49-F238E27FC236}">
              <a16:creationId xmlns:a16="http://schemas.microsoft.com/office/drawing/2014/main" id="{8ECB8D99-B534-4DB2-B583-46C8784BC618}"/>
            </a:ext>
          </a:extLst>
        </xdr:cNvPr>
        <xdr:cNvSpPr/>
      </xdr:nvSpPr>
      <xdr:spPr>
        <a:xfrm>
          <a:off x="228600" y="1033780"/>
          <a:ext cx="2179320" cy="24638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I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Ketchup</a:t>
          </a:r>
          <a:endParaRPr lang="en-GB" sz="1100"/>
        </a:p>
      </xdr:txBody>
    </xdr:sp>
    <xdr:clientData/>
  </xdr:twoCellAnchor>
  <xdr:twoCellAnchor editAs="absolute">
    <xdr:from>
      <xdr:col>1</xdr:col>
      <xdr:colOff>91440</xdr:colOff>
      <xdr:row>6</xdr:row>
      <xdr:rowOff>66339</xdr:rowOff>
    </xdr:from>
    <xdr:to>
      <xdr:col>4</xdr:col>
      <xdr:colOff>259080</xdr:colOff>
      <xdr:row>7</xdr:row>
      <xdr:rowOff>141045</xdr:rowOff>
    </xdr:to>
    <xdr:sp macro="[0]!modelButton_Click" textlink="">
      <xdr:nvSpPr>
        <xdr:cNvPr id="5" name="btn_PtoGranules">
          <a:extLst>
            <a:ext uri="{FF2B5EF4-FFF2-40B4-BE49-F238E27FC236}">
              <a16:creationId xmlns:a16="http://schemas.microsoft.com/office/drawing/2014/main" id="{698AF292-BE1A-44C1-8342-7D7B6C910007}"/>
            </a:ext>
          </a:extLst>
        </xdr:cNvPr>
        <xdr:cNvSpPr/>
      </xdr:nvSpPr>
      <xdr:spPr>
        <a:xfrm>
          <a:off x="228600" y="1287780"/>
          <a:ext cx="2179320" cy="24638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lvl="0"/>
          <a:r>
            <a:rPr lang="en-I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Potato Granules</a:t>
          </a:r>
        </a:p>
      </xdr:txBody>
    </xdr:sp>
    <xdr:clientData/>
  </xdr:twoCellAnchor>
  <xdr:twoCellAnchor editAs="absolute">
    <xdr:from>
      <xdr:col>1</xdr:col>
      <xdr:colOff>91440</xdr:colOff>
      <xdr:row>7</xdr:row>
      <xdr:rowOff>148665</xdr:rowOff>
    </xdr:from>
    <xdr:to>
      <xdr:col>4</xdr:col>
      <xdr:colOff>259080</xdr:colOff>
      <xdr:row>9</xdr:row>
      <xdr:rowOff>54050</xdr:rowOff>
    </xdr:to>
    <xdr:sp macro="[0]!modelButton_Click" textlink="">
      <xdr:nvSpPr>
        <xdr:cNvPr id="6" name="btn_PtoFlakes">
          <a:extLst>
            <a:ext uri="{FF2B5EF4-FFF2-40B4-BE49-F238E27FC236}">
              <a16:creationId xmlns:a16="http://schemas.microsoft.com/office/drawing/2014/main" id="{26BA1475-D751-4195-A7BB-79F4755B4C37}"/>
            </a:ext>
          </a:extLst>
        </xdr:cNvPr>
        <xdr:cNvSpPr/>
      </xdr:nvSpPr>
      <xdr:spPr>
        <a:xfrm>
          <a:off x="228600" y="1541780"/>
          <a:ext cx="2179320" cy="24638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lvl="0"/>
          <a:r>
            <a:rPr lang="en-I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Potato Flakes</a:t>
          </a:r>
        </a:p>
      </xdr:txBody>
    </xdr:sp>
    <xdr:clientData/>
  </xdr:twoCellAnchor>
  <xdr:twoCellAnchor editAs="absolute">
    <xdr:from>
      <xdr:col>1</xdr:col>
      <xdr:colOff>91440</xdr:colOff>
      <xdr:row>9</xdr:row>
      <xdr:rowOff>61670</xdr:rowOff>
    </xdr:from>
    <xdr:to>
      <xdr:col>4</xdr:col>
      <xdr:colOff>259080</xdr:colOff>
      <xdr:row>10</xdr:row>
      <xdr:rowOff>132789</xdr:rowOff>
    </xdr:to>
    <xdr:sp macro="[0]!modelButton_Click" textlink="">
      <xdr:nvSpPr>
        <xdr:cNvPr id="7" name="btn_PmbGermany">
          <a:extLst>
            <a:ext uri="{FF2B5EF4-FFF2-40B4-BE49-F238E27FC236}">
              <a16:creationId xmlns:a16="http://schemas.microsoft.com/office/drawing/2014/main" id="{2165290D-E4FA-4656-AD96-ECEC74EABAF7}"/>
            </a:ext>
          </a:extLst>
        </xdr:cNvPr>
        <xdr:cNvSpPr/>
      </xdr:nvSpPr>
      <xdr:spPr>
        <a:xfrm>
          <a:off x="228600" y="1795780"/>
          <a:ext cx="2179320" cy="24638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lvl="0"/>
          <a:r>
            <a:rPr lang="en-I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Primerba - Germany</a:t>
          </a:r>
        </a:p>
      </xdr:txBody>
    </xdr:sp>
    <xdr:clientData/>
  </xdr:twoCellAnchor>
  <xdr:twoCellAnchor editAs="absolute">
    <xdr:from>
      <xdr:col>1</xdr:col>
      <xdr:colOff>91440</xdr:colOff>
      <xdr:row>10</xdr:row>
      <xdr:rowOff>140409</xdr:rowOff>
    </xdr:from>
    <xdr:to>
      <xdr:col>4</xdr:col>
      <xdr:colOff>259080</xdr:colOff>
      <xdr:row>11</xdr:row>
      <xdr:rowOff>173430</xdr:rowOff>
    </xdr:to>
    <xdr:sp macro="[0]!modelButton_Click" textlink="">
      <xdr:nvSpPr>
        <xdr:cNvPr id="8" name="btn_LB_US">
          <a:extLst>
            <a:ext uri="{FF2B5EF4-FFF2-40B4-BE49-F238E27FC236}">
              <a16:creationId xmlns:a16="http://schemas.microsoft.com/office/drawing/2014/main" id="{DCCE9975-72BD-4331-BA9C-D08DBC0B0C90}"/>
            </a:ext>
          </a:extLst>
        </xdr:cNvPr>
        <xdr:cNvSpPr/>
      </xdr:nvSpPr>
      <xdr:spPr>
        <a:xfrm>
          <a:off x="228600" y="2049780"/>
          <a:ext cx="2179320" cy="24638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GB" sz="1100"/>
            <a:t>Working 1</a:t>
          </a:r>
        </a:p>
      </xdr:txBody>
    </xdr:sp>
    <xdr:clientData/>
  </xdr:twoCellAnchor>
  <xdr:twoCellAnchor editAs="absolute">
    <xdr:from>
      <xdr:col>1</xdr:col>
      <xdr:colOff>91440</xdr:colOff>
      <xdr:row>12</xdr:row>
      <xdr:rowOff>75</xdr:rowOff>
    </xdr:from>
    <xdr:to>
      <xdr:col>4</xdr:col>
      <xdr:colOff>259080</xdr:colOff>
      <xdr:row>13</xdr:row>
      <xdr:rowOff>67385</xdr:rowOff>
    </xdr:to>
    <xdr:sp macro="[0]!modelButton_Click" textlink="">
      <xdr:nvSpPr>
        <xdr:cNvPr id="9" name="btn_LS_Netherlands">
          <a:extLst>
            <a:ext uri="{FF2B5EF4-FFF2-40B4-BE49-F238E27FC236}">
              <a16:creationId xmlns:a16="http://schemas.microsoft.com/office/drawing/2014/main" id="{7C71CE39-EB63-42C1-837E-41C1F8970D71}"/>
            </a:ext>
          </a:extLst>
        </xdr:cNvPr>
        <xdr:cNvSpPr/>
      </xdr:nvSpPr>
      <xdr:spPr>
        <a:xfrm>
          <a:off x="228600" y="2303780"/>
          <a:ext cx="2179320" cy="24638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GB" sz="1100"/>
            <a:t>Working</a:t>
          </a:r>
          <a:r>
            <a:rPr lang="en-GB" sz="1100" baseline="0"/>
            <a:t> 2</a:t>
          </a:r>
          <a:endParaRPr lang="en-GB" sz="1100"/>
        </a:p>
      </xdr:txBody>
    </xdr:sp>
    <xdr:clientData/>
  </xdr:twoCellAnchor>
  <xdr:twoCellAnchor editAs="absolute">
    <xdr:from>
      <xdr:col>13</xdr:col>
      <xdr:colOff>35859</xdr:colOff>
      <xdr:row>11</xdr:row>
      <xdr:rowOff>108136</xdr:rowOff>
    </xdr:from>
    <xdr:to>
      <xdr:col>16</xdr:col>
      <xdr:colOff>26894</xdr:colOff>
      <xdr:row>19</xdr:row>
      <xdr:rowOff>126066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2E6DD86-E4E0-4CA5-8142-0D488F8A6F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3242</xdr:colOff>
      <xdr:row>2</xdr:row>
      <xdr:rowOff>1860</xdr:rowOff>
    </xdr:from>
    <xdr:to>
      <xdr:col>6</xdr:col>
      <xdr:colOff>439269</xdr:colOff>
      <xdr:row>3</xdr:row>
      <xdr:rowOff>19565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EAAE295A-8710-4D85-B53B-CDB4E4CA8572}"/>
            </a:ext>
          </a:extLst>
        </xdr:cNvPr>
        <xdr:cNvSpPr/>
      </xdr:nvSpPr>
      <xdr:spPr>
        <a:xfrm>
          <a:off x="2608728" y="522934"/>
          <a:ext cx="2447365" cy="204843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000"/>
            <a:t>Product Name</a:t>
          </a:r>
        </a:p>
      </xdr:txBody>
    </xdr:sp>
    <xdr:clientData/>
  </xdr:twoCellAnchor>
  <xdr:twoCellAnchor editAs="absolute">
    <xdr:from>
      <xdr:col>6</xdr:col>
      <xdr:colOff>505204</xdr:colOff>
      <xdr:row>2</xdr:row>
      <xdr:rowOff>5883</xdr:rowOff>
    </xdr:from>
    <xdr:to>
      <xdr:col>7</xdr:col>
      <xdr:colOff>751287</xdr:colOff>
      <xdr:row>3</xdr:row>
      <xdr:rowOff>23945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5DF23C73-B048-4C6C-9748-80C2B1367149}"/>
            </a:ext>
          </a:extLst>
        </xdr:cNvPr>
        <xdr:cNvSpPr/>
      </xdr:nvSpPr>
      <xdr:spPr>
        <a:xfrm>
          <a:off x="5122028" y="526957"/>
          <a:ext cx="1348741" cy="2052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000"/>
            <a:t>Production</a:t>
          </a:r>
          <a:r>
            <a:rPr lang="en-GB" sz="1000" baseline="0"/>
            <a:t> Country</a:t>
          </a:r>
          <a:endParaRPr lang="en-GB" sz="1000"/>
        </a:p>
      </xdr:txBody>
    </xdr:sp>
    <xdr:clientData/>
  </xdr:twoCellAnchor>
  <xdr:twoCellAnchor editAs="absolute">
    <xdr:from>
      <xdr:col>7</xdr:col>
      <xdr:colOff>817222</xdr:colOff>
      <xdr:row>1</xdr:row>
      <xdr:rowOff>168930</xdr:rowOff>
    </xdr:from>
    <xdr:to>
      <xdr:col>9</xdr:col>
      <xdr:colOff>389809</xdr:colOff>
      <xdr:row>3</xdr:row>
      <xdr:rowOff>15542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65ACA1E5-79F5-4B83-8B39-3BB3D4059470}"/>
            </a:ext>
          </a:extLst>
        </xdr:cNvPr>
        <xdr:cNvSpPr/>
      </xdr:nvSpPr>
      <xdr:spPr>
        <a:xfrm>
          <a:off x="6536704" y="518554"/>
          <a:ext cx="1195199" cy="2052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000"/>
            <a:t>Time Period</a:t>
          </a:r>
        </a:p>
      </xdr:txBody>
    </xdr:sp>
    <xdr:clientData/>
  </xdr:twoCellAnchor>
  <xdr:twoCellAnchor editAs="absolute">
    <xdr:from>
      <xdr:col>9</xdr:col>
      <xdr:colOff>455744</xdr:colOff>
      <xdr:row>1</xdr:row>
      <xdr:rowOff>166010</xdr:rowOff>
    </xdr:from>
    <xdr:to>
      <xdr:col>9</xdr:col>
      <xdr:colOff>1215056</xdr:colOff>
      <xdr:row>3</xdr:row>
      <xdr:rowOff>12622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FFA4F7CF-3E33-4293-BA7F-F7FBEE675241}"/>
            </a:ext>
          </a:extLst>
        </xdr:cNvPr>
        <xdr:cNvSpPr/>
      </xdr:nvSpPr>
      <xdr:spPr>
        <a:xfrm>
          <a:off x="7797838" y="515634"/>
          <a:ext cx="759312" cy="2052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000"/>
            <a:t>Currency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3</xdr:row>
          <xdr:rowOff>53340</xdr:rowOff>
        </xdr:from>
        <xdr:to>
          <xdr:col>6</xdr:col>
          <xdr:colOff>472440</xdr:colOff>
          <xdr:row>4</xdr:row>
          <xdr:rowOff>129540</xdr:rowOff>
        </xdr:to>
        <xdr:sp macro="" textlink="">
          <xdr:nvSpPr>
            <xdr:cNvPr id="1038" name="cb_Produc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518160</xdr:colOff>
          <xdr:row>3</xdr:row>
          <xdr:rowOff>60960</xdr:rowOff>
        </xdr:from>
        <xdr:to>
          <xdr:col>7</xdr:col>
          <xdr:colOff>769620</xdr:colOff>
          <xdr:row>4</xdr:row>
          <xdr:rowOff>129540</xdr:rowOff>
        </xdr:to>
        <xdr:sp macro="" textlink="">
          <xdr:nvSpPr>
            <xdr:cNvPr id="1039" name="cb_PCountry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815340</xdr:colOff>
          <xdr:row>3</xdr:row>
          <xdr:rowOff>53340</xdr:rowOff>
        </xdr:from>
        <xdr:to>
          <xdr:col>9</xdr:col>
          <xdr:colOff>403860</xdr:colOff>
          <xdr:row>4</xdr:row>
          <xdr:rowOff>129540</xdr:rowOff>
        </xdr:to>
        <xdr:sp macro="" textlink="">
          <xdr:nvSpPr>
            <xdr:cNvPr id="1040" name="cb_TP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449580</xdr:colOff>
          <xdr:row>3</xdr:row>
          <xdr:rowOff>45720</xdr:rowOff>
        </xdr:from>
        <xdr:to>
          <xdr:col>9</xdr:col>
          <xdr:colOff>1226820</xdr:colOff>
          <xdr:row>4</xdr:row>
          <xdr:rowOff>114300</xdr:rowOff>
        </xdr:to>
        <xdr:sp macro="" textlink="">
          <xdr:nvSpPr>
            <xdr:cNvPr id="1041" name="cb_Cur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1280991</xdr:colOff>
      <xdr:row>1</xdr:row>
      <xdr:rowOff>166908</xdr:rowOff>
    </xdr:from>
    <xdr:to>
      <xdr:col>10</xdr:col>
      <xdr:colOff>124545</xdr:colOff>
      <xdr:row>3</xdr:row>
      <xdr:rowOff>13520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3A253381-8621-430B-A9D4-34FCB1D9FA0D}"/>
            </a:ext>
          </a:extLst>
        </xdr:cNvPr>
        <xdr:cNvSpPr/>
      </xdr:nvSpPr>
      <xdr:spPr>
        <a:xfrm>
          <a:off x="8623085" y="516532"/>
          <a:ext cx="1371601" cy="2052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000"/>
            <a:t>Machinery Type</a:t>
          </a:r>
        </a:p>
      </xdr:txBody>
    </xdr:sp>
    <xdr:clientData/>
  </xdr:twoCellAnchor>
  <xdr:twoCellAnchor editAs="absolute">
    <xdr:from>
      <xdr:col>10</xdr:col>
      <xdr:colOff>190480</xdr:colOff>
      <xdr:row>1</xdr:row>
      <xdr:rowOff>167470</xdr:rowOff>
    </xdr:from>
    <xdr:to>
      <xdr:col>10</xdr:col>
      <xdr:colOff>1264244</xdr:colOff>
      <xdr:row>3</xdr:row>
      <xdr:rowOff>14082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8C702B9C-8564-4EC5-A408-3C36B213D7F0}"/>
            </a:ext>
          </a:extLst>
        </xdr:cNvPr>
        <xdr:cNvSpPr/>
      </xdr:nvSpPr>
      <xdr:spPr>
        <a:xfrm>
          <a:off x="10060621" y="517094"/>
          <a:ext cx="1073764" cy="2052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000"/>
            <a:t>Facility Type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1272540</xdr:colOff>
          <xdr:row>3</xdr:row>
          <xdr:rowOff>60960</xdr:rowOff>
        </xdr:from>
        <xdr:to>
          <xdr:col>10</xdr:col>
          <xdr:colOff>137160</xdr:colOff>
          <xdr:row>4</xdr:row>
          <xdr:rowOff>129540</xdr:rowOff>
        </xdr:to>
        <xdr:sp macro="" textlink="">
          <xdr:nvSpPr>
            <xdr:cNvPr id="1042" name="cb_MTyp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175260</xdr:colOff>
          <xdr:row>3</xdr:row>
          <xdr:rowOff>45720</xdr:rowOff>
        </xdr:from>
        <xdr:to>
          <xdr:col>10</xdr:col>
          <xdr:colOff>1264920</xdr:colOff>
          <xdr:row>4</xdr:row>
          <xdr:rowOff>114300</xdr:rowOff>
        </xdr:to>
        <xdr:sp macro="" textlink="">
          <xdr:nvSpPr>
            <xdr:cNvPr id="1043" name="cb_FType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10</xdr:col>
      <xdr:colOff>1330179</xdr:colOff>
      <xdr:row>1</xdr:row>
      <xdr:rowOff>170390</xdr:rowOff>
    </xdr:from>
    <xdr:to>
      <xdr:col>13</xdr:col>
      <xdr:colOff>12368</xdr:colOff>
      <xdr:row>3</xdr:row>
      <xdr:rowOff>17002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A4ADC611-3508-47D4-AE16-4EB9CD072FEA}"/>
            </a:ext>
          </a:extLst>
        </xdr:cNvPr>
        <xdr:cNvSpPr/>
      </xdr:nvSpPr>
      <xdr:spPr>
        <a:xfrm>
          <a:off x="11200320" y="520014"/>
          <a:ext cx="1057836" cy="2052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000"/>
            <a:t>Pack Type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1310640</xdr:colOff>
          <xdr:row>3</xdr:row>
          <xdr:rowOff>38100</xdr:rowOff>
        </xdr:from>
        <xdr:to>
          <xdr:col>13</xdr:col>
          <xdr:colOff>30480</xdr:colOff>
          <xdr:row>4</xdr:row>
          <xdr:rowOff>114300</xdr:rowOff>
        </xdr:to>
        <xdr:sp macro="" textlink="">
          <xdr:nvSpPr>
            <xdr:cNvPr id="1044" name="cb_PTyp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13</xdr:col>
      <xdr:colOff>78303</xdr:colOff>
      <xdr:row>2</xdr:row>
      <xdr:rowOff>2963</xdr:rowOff>
    </xdr:from>
    <xdr:to>
      <xdr:col>13</xdr:col>
      <xdr:colOff>823602</xdr:colOff>
      <xdr:row>3</xdr:row>
      <xdr:rowOff>21025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33BB71F1-5D97-49F7-97AA-2426E8D366A4}"/>
            </a:ext>
          </a:extLst>
        </xdr:cNvPr>
        <xdr:cNvSpPr/>
      </xdr:nvSpPr>
      <xdr:spPr>
        <a:xfrm>
          <a:off x="12324091" y="524037"/>
          <a:ext cx="745299" cy="2052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000"/>
            <a:t>SKU Size</a:t>
          </a:r>
        </a:p>
      </xdr:txBody>
    </xdr:sp>
    <xdr:clientData/>
  </xdr:twoCellAnchor>
  <xdr:twoCellAnchor editAs="absolute">
    <xdr:from>
      <xdr:col>13</xdr:col>
      <xdr:colOff>889537</xdr:colOff>
      <xdr:row>2</xdr:row>
      <xdr:rowOff>400</xdr:rowOff>
    </xdr:from>
    <xdr:to>
      <xdr:col>14</xdr:col>
      <xdr:colOff>643176</xdr:colOff>
      <xdr:row>3</xdr:row>
      <xdr:rowOff>18462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EC04B9F4-1F53-46FC-B7AF-7810DA303CFE}"/>
            </a:ext>
          </a:extLst>
        </xdr:cNvPr>
        <xdr:cNvSpPr/>
      </xdr:nvSpPr>
      <xdr:spPr>
        <a:xfrm>
          <a:off x="13135325" y="521474"/>
          <a:ext cx="1286604" cy="2052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000"/>
            <a:t>Scale of Production</a:t>
          </a:r>
        </a:p>
      </xdr:txBody>
    </xdr:sp>
    <xdr:clientData/>
  </xdr:twoCellAnchor>
  <xdr:twoCellAnchor editAs="absolute">
    <xdr:from>
      <xdr:col>14</xdr:col>
      <xdr:colOff>709111</xdr:colOff>
      <xdr:row>2</xdr:row>
      <xdr:rowOff>454</xdr:rowOff>
    </xdr:from>
    <xdr:to>
      <xdr:col>14</xdr:col>
      <xdr:colOff>1790255</xdr:colOff>
      <xdr:row>3</xdr:row>
      <xdr:rowOff>25407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2768188F-CA63-4863-89CB-E10B1FB47225}"/>
            </a:ext>
          </a:extLst>
        </xdr:cNvPr>
        <xdr:cNvSpPr/>
      </xdr:nvSpPr>
      <xdr:spPr>
        <a:xfrm>
          <a:off x="14487864" y="528419"/>
          <a:ext cx="1081144" cy="2052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000"/>
            <a:t>Site Complexity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76200</xdr:colOff>
          <xdr:row>3</xdr:row>
          <xdr:rowOff>45720</xdr:rowOff>
        </xdr:from>
        <xdr:to>
          <xdr:col>13</xdr:col>
          <xdr:colOff>838200</xdr:colOff>
          <xdr:row>4</xdr:row>
          <xdr:rowOff>114300</xdr:rowOff>
        </xdr:to>
        <xdr:sp macro="" textlink="">
          <xdr:nvSpPr>
            <xdr:cNvPr id="1045" name="cb_SSiz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876300</xdr:colOff>
          <xdr:row>3</xdr:row>
          <xdr:rowOff>60960</xdr:rowOff>
        </xdr:from>
        <xdr:to>
          <xdr:col>14</xdr:col>
          <xdr:colOff>655320</xdr:colOff>
          <xdr:row>4</xdr:row>
          <xdr:rowOff>99060</xdr:rowOff>
        </xdr:to>
        <xdr:sp macro="" textlink="">
          <xdr:nvSpPr>
            <xdr:cNvPr id="1046" name="cb_SP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693420</xdr:colOff>
          <xdr:row>3</xdr:row>
          <xdr:rowOff>53340</xdr:rowOff>
        </xdr:from>
        <xdr:to>
          <xdr:col>14</xdr:col>
          <xdr:colOff>1798320</xdr:colOff>
          <xdr:row>4</xdr:row>
          <xdr:rowOff>129540</xdr:rowOff>
        </xdr:to>
        <xdr:sp macro="" textlink="">
          <xdr:nvSpPr>
            <xdr:cNvPr id="1047" name="cb_SComp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215153</xdr:colOff>
      <xdr:row>0</xdr:row>
      <xdr:rowOff>35859</xdr:rowOff>
    </xdr:from>
    <xdr:to>
      <xdr:col>3</xdr:col>
      <xdr:colOff>165848</xdr:colOff>
      <xdr:row>0</xdr:row>
      <xdr:rowOff>325419</xdr:rowOff>
    </xdr:to>
    <xdr:sp macro="[0]!getData" textlink="">
      <xdr:nvSpPr>
        <xdr:cNvPr id="48" name="btnRefresh">
          <a:extLst>
            <a:ext uri="{FF2B5EF4-FFF2-40B4-BE49-F238E27FC236}">
              <a16:creationId xmlns:a16="http://schemas.microsoft.com/office/drawing/2014/main" id="{BDE31329-41E0-4996-9991-D3A318DCB94B}"/>
            </a:ext>
          </a:extLst>
        </xdr:cNvPr>
        <xdr:cNvSpPr/>
      </xdr:nvSpPr>
      <xdr:spPr>
        <a:xfrm>
          <a:off x="349624" y="35859"/>
          <a:ext cx="1295400" cy="289560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GB" sz="1000">
              <a:solidFill>
                <a:schemeClr val="bg1"/>
              </a:solidFill>
            </a:rPr>
            <a:t>Refresh</a:t>
          </a:r>
          <a:r>
            <a:rPr lang="en-GB" sz="1000" baseline="0">
              <a:solidFill>
                <a:schemeClr val="bg1"/>
              </a:solidFill>
            </a:rPr>
            <a:t> Data</a:t>
          </a:r>
          <a:endParaRPr lang="en-GB" sz="10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457199</xdr:colOff>
      <xdr:row>11</xdr:row>
      <xdr:rowOff>107578</xdr:rowOff>
    </xdr:from>
    <xdr:to>
      <xdr:col>7</xdr:col>
      <xdr:colOff>1488142</xdr:colOff>
      <xdr:row>19</xdr:row>
      <xdr:rowOff>107578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D8204B97-A9F1-4102-97EA-AE9D2EDC87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8</xdr:col>
      <xdr:colOff>65555</xdr:colOff>
      <xdr:row>11</xdr:row>
      <xdr:rowOff>67796</xdr:rowOff>
    </xdr:from>
    <xdr:to>
      <xdr:col>11</xdr:col>
      <xdr:colOff>779930</xdr:colOff>
      <xdr:row>19</xdr:row>
      <xdr:rowOff>49866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24775859-8E6A-4F1B-9CF0-5FF5CDA2F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</xdr:col>
      <xdr:colOff>445773</xdr:colOff>
      <xdr:row>6</xdr:row>
      <xdr:rowOff>86178</xdr:rowOff>
    </xdr:from>
    <xdr:to>
      <xdr:col>5</xdr:col>
      <xdr:colOff>1558738</xdr:colOff>
      <xdr:row>7</xdr:row>
      <xdr:rowOff>139512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CB6F222E-AACC-634F-0B2A-7551A7208C3D}"/>
            </a:ext>
          </a:extLst>
        </xdr:cNvPr>
        <xdr:cNvSpPr/>
      </xdr:nvSpPr>
      <xdr:spPr>
        <a:xfrm>
          <a:off x="2579373" y="1295853"/>
          <a:ext cx="1570165" cy="224784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000"/>
            <a:t>Raw Material Selection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426720</xdr:colOff>
          <xdr:row>7</xdr:row>
          <xdr:rowOff>137160</xdr:rowOff>
        </xdr:from>
        <xdr:to>
          <xdr:col>5</xdr:col>
          <xdr:colOff>1569720</xdr:colOff>
          <xdr:row>9</xdr:row>
          <xdr:rowOff>30480</xdr:rowOff>
        </xdr:to>
        <xdr:sp macro="" textlink="">
          <xdr:nvSpPr>
            <xdr:cNvPr id="1048" name="cb_Rmaterial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1644242</xdr:colOff>
      <xdr:row>6</xdr:row>
      <xdr:rowOff>103156</xdr:rowOff>
    </xdr:from>
    <xdr:to>
      <xdr:col>6</xdr:col>
      <xdr:colOff>719533</xdr:colOff>
      <xdr:row>7</xdr:row>
      <xdr:rowOff>129062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E06E495B-020A-6792-6FCD-56F42D3F32BF}"/>
            </a:ext>
          </a:extLst>
        </xdr:cNvPr>
        <xdr:cNvSpPr/>
      </xdr:nvSpPr>
      <xdr:spPr>
        <a:xfrm>
          <a:off x="4235042" y="1312831"/>
          <a:ext cx="1075541" cy="197356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000"/>
            <a:t>PET Bottle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1630680</xdr:colOff>
          <xdr:row>7</xdr:row>
          <xdr:rowOff>160020</xdr:rowOff>
        </xdr:from>
        <xdr:to>
          <xdr:col>6</xdr:col>
          <xdr:colOff>723900</xdr:colOff>
          <xdr:row>9</xdr:row>
          <xdr:rowOff>60960</xdr:rowOff>
        </xdr:to>
        <xdr:sp macro="" textlink="">
          <xdr:nvSpPr>
            <xdr:cNvPr id="1049" name="cb_PETbottle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812765</xdr:colOff>
      <xdr:row>6</xdr:row>
      <xdr:rowOff>103156</xdr:rowOff>
    </xdr:from>
    <xdr:to>
      <xdr:col>7</xdr:col>
      <xdr:colOff>777803</xdr:colOff>
      <xdr:row>7</xdr:row>
      <xdr:rowOff>129062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E969065E-7D5D-21B5-7525-692B3D67879E}"/>
            </a:ext>
          </a:extLst>
        </xdr:cNvPr>
        <xdr:cNvSpPr/>
      </xdr:nvSpPr>
      <xdr:spPr>
        <a:xfrm>
          <a:off x="5403815" y="1312831"/>
          <a:ext cx="1069938" cy="197356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000"/>
            <a:t>Product Type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800100</xdr:colOff>
          <xdr:row>7</xdr:row>
          <xdr:rowOff>160020</xdr:rowOff>
        </xdr:from>
        <xdr:to>
          <xdr:col>7</xdr:col>
          <xdr:colOff>784860</xdr:colOff>
          <xdr:row>9</xdr:row>
          <xdr:rowOff>60960</xdr:rowOff>
        </xdr:to>
        <xdr:sp macro="" textlink="">
          <xdr:nvSpPr>
            <xdr:cNvPr id="1050" name="cb_PRTyp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844142</xdr:colOff>
      <xdr:row>6</xdr:row>
      <xdr:rowOff>103156</xdr:rowOff>
    </xdr:from>
    <xdr:to>
      <xdr:col>9</xdr:col>
      <xdr:colOff>300433</xdr:colOff>
      <xdr:row>7</xdr:row>
      <xdr:rowOff>129062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912FC18B-0674-C477-82F2-D3C4DBC98129}"/>
            </a:ext>
          </a:extLst>
        </xdr:cNvPr>
        <xdr:cNvSpPr/>
      </xdr:nvSpPr>
      <xdr:spPr>
        <a:xfrm>
          <a:off x="6540092" y="1312831"/>
          <a:ext cx="1075541" cy="197356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000"/>
            <a:t>Num of Units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830580</xdr:colOff>
          <xdr:row>7</xdr:row>
          <xdr:rowOff>160020</xdr:rowOff>
        </xdr:from>
        <xdr:to>
          <xdr:col>9</xdr:col>
          <xdr:colOff>304800</xdr:colOff>
          <xdr:row>9</xdr:row>
          <xdr:rowOff>60960</xdr:rowOff>
        </xdr:to>
        <xdr:sp macro="" textlink="">
          <xdr:nvSpPr>
            <xdr:cNvPr id="1051" name="cb_NumUnit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425042</xdr:colOff>
      <xdr:row>6</xdr:row>
      <xdr:rowOff>103156</xdr:rowOff>
    </xdr:from>
    <xdr:to>
      <xdr:col>9</xdr:col>
      <xdr:colOff>1657350</xdr:colOff>
      <xdr:row>7</xdr:row>
      <xdr:rowOff>123825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D2790742-BA22-3780-46AE-4DFAE4340951}"/>
            </a:ext>
          </a:extLst>
        </xdr:cNvPr>
        <xdr:cNvSpPr/>
      </xdr:nvSpPr>
      <xdr:spPr>
        <a:xfrm>
          <a:off x="7740242" y="1312831"/>
          <a:ext cx="1232308" cy="192119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000"/>
            <a:t>Tray Combination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411480</xdr:colOff>
          <xdr:row>7</xdr:row>
          <xdr:rowOff>160020</xdr:rowOff>
        </xdr:from>
        <xdr:to>
          <xdr:col>9</xdr:col>
          <xdr:colOff>1661160</xdr:colOff>
          <xdr:row>9</xdr:row>
          <xdr:rowOff>45720</xdr:rowOff>
        </xdr:to>
        <xdr:sp macro="" textlink="">
          <xdr:nvSpPr>
            <xdr:cNvPr id="1052" name="cb_TrCombination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WNS Procurement">
      <a:dk1>
        <a:srgbClr val="231F20"/>
      </a:dk1>
      <a:lt1>
        <a:sysClr val="window" lastClr="FFFFFF"/>
      </a:lt1>
      <a:dk2>
        <a:srgbClr val="8DBAC4"/>
      </a:dk2>
      <a:lt2>
        <a:srgbClr val="E8F2F4"/>
      </a:lt2>
      <a:accent1>
        <a:srgbClr val="007365"/>
      </a:accent1>
      <a:accent2>
        <a:srgbClr val="00B19C"/>
      </a:accent2>
      <a:accent3>
        <a:srgbClr val="02104F"/>
      </a:accent3>
      <a:accent4>
        <a:srgbClr val="02104F"/>
      </a:accent4>
      <a:accent5>
        <a:srgbClr val="8DBAC4"/>
      </a:accent5>
      <a:accent6>
        <a:srgbClr val="3BCD3F"/>
      </a:accent6>
      <a:hlink>
        <a:srgbClr val="3BCD3F"/>
      </a:hlink>
      <a:folHlink>
        <a:srgbClr val="3BCD3F"/>
      </a:folHlink>
    </a:clrScheme>
    <a:fontScheme name="WNS Procurement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>
          <a:noFill/>
        </a:ln>
      </a:spPr>
      <a:bodyPr rtlCol="0" anchor="ctr"/>
      <a:lstStyle>
        <a:defPPr algn="ctr"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custClrLst>
    <a:custClr name="Custom Color 1">
      <a:srgbClr val="007365"/>
    </a:custClr>
    <a:custClr name="Custom Color 2">
      <a:srgbClr val="338F84"/>
    </a:custClr>
    <a:custClr name="Custom Color 3">
      <a:srgbClr val="65ABA3"/>
    </a:custClr>
    <a:custClr name="Custom Color 4">
      <a:srgbClr val="99C8C2"/>
    </a:custClr>
    <a:custClr name="Custom Color 5">
      <a:srgbClr val="CDE3E0"/>
    </a:custClr>
    <a:custClr name="Custom Color 6">
      <a:srgbClr val="02104F"/>
    </a:custClr>
    <a:custClr name="Custom Color 7">
      <a:srgbClr val="373F6F"/>
    </a:custClr>
    <a:custClr name="Custom Color 8">
      <a:srgbClr val="696F92"/>
    </a:custClr>
    <a:custClr name="Custom Color 9">
      <a:srgbClr val="9B9FB6"/>
    </a:custClr>
    <a:custClr name="Custom Color 10">
      <a:srgbClr val="CDCFDB"/>
    </a:custClr>
    <a:custClr name="Custom Color 11">
      <a:srgbClr val="00B19C"/>
    </a:custClr>
    <a:custClr name="Custom Color 12">
      <a:srgbClr val="33C2B0"/>
    </a:custClr>
    <a:custClr name="Custom Color 13">
      <a:srgbClr val="66D0C4"/>
    </a:custClr>
    <a:custClr name="Custom Color 14">
      <a:srgbClr val="99E1D6"/>
    </a:custClr>
    <a:custClr name="Custom Color 15">
      <a:srgbClr val="CCEFEB"/>
    </a:custClr>
    <a:custClr name="Custom Color 16">
      <a:srgbClr val="8DBAC4"/>
    </a:custClr>
    <a:custClr name="Custom Color 17">
      <a:srgbClr val="A3C8D0"/>
    </a:custClr>
    <a:custClr name="Custom Color 18">
      <a:srgbClr val="BBD6DD"/>
    </a:custClr>
    <a:custClr name="Custom Color 19">
      <a:srgbClr val="D1E3E7"/>
    </a:custClr>
    <a:custClr name="Custom Color 20">
      <a:srgbClr val="E8F2F4"/>
    </a:custClr>
    <a:custClr name="Custom Color 21">
      <a:srgbClr val="3BCD3F"/>
    </a:custClr>
    <a:custClr name="Custom Color 22">
      <a:srgbClr val="62D765"/>
    </a:custClr>
    <a:custClr name="Custom Color 23">
      <a:srgbClr val="89E18B"/>
    </a:custClr>
    <a:custClr name="Custom Color 24">
      <a:srgbClr val="B1EBB1"/>
    </a:custClr>
    <a:custClr name="Custom Color 25">
      <a:srgbClr val="D8F5D9"/>
    </a:custClr>
    <a:custClr name="Custom Color 26">
      <a:srgbClr val="231F20"/>
    </a:custClr>
    <a:custClr name="Custom Color 27">
      <a:srgbClr val="4E4C4D"/>
    </a:custClr>
    <a:custClr name="Custom Color 28">
      <a:srgbClr val="7B7979"/>
    </a:custClr>
    <a:custClr name="Custom Color 29">
      <a:srgbClr val="A7A5A6"/>
    </a:custClr>
    <a:custClr name="Custom Color 30">
      <a:srgbClr val="D3D2D2"/>
    </a:custClr>
  </a:custClrLst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32" Type="http://schemas.openxmlformats.org/officeDocument/2006/relationships/image" Target="../media/image15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CEEA2-9CD9-44DF-B07F-A7E556E0E305}">
  <sheetPr codeName="shtDashboard"/>
  <dimension ref="B1:X41"/>
  <sheetViews>
    <sheetView showGridLines="0" tabSelected="1" topLeftCell="B1" zoomScale="80" zoomScaleNormal="80" workbookViewId="0">
      <selection activeCell="D26" sqref="D26"/>
    </sheetView>
  </sheetViews>
  <sheetFormatPr defaultColWidth="8.796875" defaultRowHeight="13.8" zeroHeight="1" x14ac:dyDescent="0.25"/>
  <cols>
    <col min="1" max="1" width="1.796875" customWidth="1"/>
    <col min="2" max="4" width="8.796875" customWidth="1"/>
    <col min="5" max="5" width="6" customWidth="1"/>
    <col min="6" max="6" width="26.296875" customWidth="1"/>
    <col min="7" max="7" width="14.5" customWidth="1"/>
    <col min="8" max="8" width="19.796875" customWidth="1"/>
    <col min="9" max="9" width="1.5" customWidth="1"/>
    <col min="10" max="10" width="33.19921875" customWidth="1"/>
    <col min="11" max="11" width="18.19921875" customWidth="1"/>
    <col min="12" max="12" width="10.8984375" customWidth="1"/>
    <col min="13" max="13" width="2" customWidth="1"/>
    <col min="14" max="14" width="20.09765625" customWidth="1"/>
    <col min="15" max="15" width="29.8984375" customWidth="1"/>
    <col min="16" max="16" width="10.59765625" customWidth="1"/>
    <col min="17" max="17" width="4.8984375" customWidth="1"/>
    <col min="18" max="23" width="8.796875" customWidth="1"/>
    <col min="24" max="24" width="16" customWidth="1"/>
  </cols>
  <sheetData>
    <row r="1" spans="2:24" ht="27.6" customHeight="1" x14ac:dyDescent="0.25">
      <c r="B1" s="98" t="s">
        <v>99</v>
      </c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100"/>
    </row>
    <row r="2" spans="2:24" x14ac:dyDescent="0.25">
      <c r="B2" s="74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5">
        <v>46106.77716435185</v>
      </c>
      <c r="R2" s="72"/>
      <c r="S2" s="75">
        <v>46106.777511574073</v>
      </c>
      <c r="T2" s="72"/>
      <c r="U2" s="72"/>
      <c r="V2" s="72"/>
      <c r="W2" s="72"/>
      <c r="X2" s="76"/>
    </row>
    <row r="3" spans="2:24" x14ac:dyDescent="0.25">
      <c r="B3" s="74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77"/>
    </row>
    <row r="4" spans="2:24" x14ac:dyDescent="0.25">
      <c r="B4" s="74"/>
      <c r="C4" s="72"/>
      <c r="D4" s="72"/>
      <c r="E4" s="72"/>
      <c r="F4" s="78"/>
      <c r="G4" s="79"/>
      <c r="H4" s="79"/>
      <c r="I4" s="79"/>
      <c r="J4" s="72"/>
      <c r="K4" s="75"/>
      <c r="L4" s="72"/>
      <c r="M4" s="75"/>
      <c r="N4" s="72"/>
      <c r="O4" s="72"/>
      <c r="P4" s="72"/>
      <c r="Q4" s="72"/>
      <c r="R4" s="72"/>
      <c r="S4" s="72"/>
      <c r="T4" s="72"/>
      <c r="U4" s="72"/>
      <c r="V4" s="72"/>
      <c r="W4" s="72"/>
      <c r="X4" s="77"/>
    </row>
    <row r="5" spans="2:24" x14ac:dyDescent="0.25">
      <c r="B5" s="74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7"/>
    </row>
    <row r="6" spans="2:24" x14ac:dyDescent="0.25">
      <c r="B6" s="74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7"/>
    </row>
    <row r="7" spans="2:24" x14ac:dyDescent="0.25">
      <c r="B7" s="74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7"/>
    </row>
    <row r="8" spans="2:24" x14ac:dyDescent="0.25">
      <c r="B8" s="74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7"/>
    </row>
    <row r="9" spans="2:24" x14ac:dyDescent="0.25">
      <c r="B9" s="74"/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7"/>
    </row>
    <row r="10" spans="2:24" x14ac:dyDescent="0.25">
      <c r="B10" s="74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7"/>
    </row>
    <row r="11" spans="2:24" ht="16.2" customHeight="1" thickBot="1" x14ac:dyDescent="0.3">
      <c r="B11" s="74"/>
      <c r="C11" s="72"/>
      <c r="D11" s="72"/>
      <c r="E11" s="72"/>
      <c r="F11" s="101" t="s">
        <v>100</v>
      </c>
      <c r="G11" s="101"/>
      <c r="H11" s="101"/>
      <c r="I11" s="72"/>
      <c r="J11" s="101" t="s">
        <v>102</v>
      </c>
      <c r="K11" s="101"/>
      <c r="L11" s="101"/>
      <c r="M11" s="72"/>
      <c r="N11" s="107" t="s">
        <v>96</v>
      </c>
      <c r="O11" s="107"/>
      <c r="P11" s="107"/>
      <c r="Q11" s="72"/>
      <c r="R11" s="72"/>
      <c r="S11" s="72"/>
      <c r="T11" s="72"/>
      <c r="U11" s="72"/>
      <c r="V11" s="72"/>
      <c r="W11" s="72"/>
      <c r="X11" s="77"/>
    </row>
    <row r="12" spans="2:24" ht="14.4" thickTop="1" x14ac:dyDescent="0.25">
      <c r="B12" s="74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7"/>
    </row>
    <row r="13" spans="2:24" x14ac:dyDescent="0.25">
      <c r="B13" s="74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7"/>
    </row>
    <row r="14" spans="2:24" x14ac:dyDescent="0.25">
      <c r="B14" s="74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7"/>
    </row>
    <row r="15" spans="2:24" x14ac:dyDescent="0.25">
      <c r="B15" s="74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7"/>
    </row>
    <row r="16" spans="2:24" x14ac:dyDescent="0.25">
      <c r="B16" s="74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7"/>
    </row>
    <row r="17" spans="2:24" x14ac:dyDescent="0.25">
      <c r="B17" s="74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7"/>
    </row>
    <row r="18" spans="2:24" x14ac:dyDescent="0.25">
      <c r="B18" s="74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7"/>
    </row>
    <row r="19" spans="2:24" x14ac:dyDescent="0.25">
      <c r="B19" s="74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7"/>
    </row>
    <row r="20" spans="2:24" x14ac:dyDescent="0.25">
      <c r="B20" s="74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7"/>
    </row>
    <row r="21" spans="2:24" ht="39.6" x14ac:dyDescent="0.25">
      <c r="B21" s="74"/>
      <c r="C21" s="72"/>
      <c r="D21" s="72"/>
      <c r="E21" s="72"/>
      <c r="F21" s="22" t="s">
        <v>81</v>
      </c>
      <c r="G21" s="22" t="s">
        <v>82</v>
      </c>
      <c r="H21" s="23" t="str">
        <f>"Cost Breakdown ("&amp;IF(Backend!X2="EUR","EUR","$")&amp;"/MT)"</f>
        <v>Cost Breakdown (EUR/MT)</v>
      </c>
      <c r="I21" s="72"/>
      <c r="J21" s="34" t="s">
        <v>81</v>
      </c>
      <c r="K21" s="34" t="s">
        <v>93</v>
      </c>
      <c r="L21" s="23" t="str">
        <f>"Cost Breakdown ("&amp;IF(Backend!X2="EUR","EUR","$")&amp;"/MT)"</f>
        <v>Cost Breakdown (EUR/MT)</v>
      </c>
      <c r="M21" s="72"/>
      <c r="N21" s="34" t="s">
        <v>81</v>
      </c>
      <c r="O21" s="34" t="s">
        <v>93</v>
      </c>
      <c r="P21" s="23" t="str">
        <f>"Cost Breakdown ("&amp;IF(Backend!X2="EUR","EUR","$")&amp;"/MT)"</f>
        <v>Cost Breakdown (EUR/MT)</v>
      </c>
      <c r="Q21" s="72"/>
      <c r="R21" s="72"/>
      <c r="S21" s="72"/>
      <c r="T21" s="72"/>
      <c r="U21" s="72"/>
      <c r="V21" s="72"/>
      <c r="W21" s="72"/>
      <c r="X21" s="77"/>
    </row>
    <row r="22" spans="2:24" x14ac:dyDescent="0.25">
      <c r="B22" s="74"/>
      <c r="C22" s="72"/>
      <c r="D22" s="72"/>
      <c r="E22" s="72"/>
      <c r="F22" s="5" t="s">
        <v>84</v>
      </c>
      <c r="G22" s="24" t="e">
        <f>H22/$H$26</f>
        <v>#N/A</v>
      </c>
      <c r="H22" s="46" t="e">
        <f>L22+P22</f>
        <v>#N/A</v>
      </c>
      <c r="I22" s="72"/>
      <c r="J22" s="5" t="s">
        <v>20</v>
      </c>
      <c r="K22" s="40" t="e">
        <f>L22/$L$25</f>
        <v>#N/A</v>
      </c>
      <c r="L22" s="35" t="e">
        <f>Backend!AA10</f>
        <v>#N/A</v>
      </c>
      <c r="M22" s="72"/>
      <c r="N22" s="5" t="s">
        <v>20</v>
      </c>
      <c r="O22" s="40" t="e">
        <f>P22/$P$25</f>
        <v>#N/A</v>
      </c>
      <c r="P22" s="41" t="e">
        <f>Backend!AE10</f>
        <v>#N/A</v>
      </c>
      <c r="Q22" s="72"/>
      <c r="R22" s="72"/>
      <c r="S22" s="72"/>
      <c r="T22" s="72"/>
      <c r="U22" s="72"/>
      <c r="V22" s="72"/>
      <c r="W22" s="72"/>
      <c r="X22" s="77"/>
    </row>
    <row r="23" spans="2:24" x14ac:dyDescent="0.25">
      <c r="B23" s="74"/>
      <c r="C23" s="72"/>
      <c r="D23" s="72"/>
      <c r="E23" s="72"/>
      <c r="F23" s="4" t="s">
        <v>85</v>
      </c>
      <c r="G23" s="24" t="e">
        <f>H23/$H$26</f>
        <v>#N/A</v>
      </c>
      <c r="H23" s="46" t="e">
        <f>L23+P23</f>
        <v>#N/A</v>
      </c>
      <c r="I23" s="80"/>
      <c r="J23" s="4" t="s">
        <v>21</v>
      </c>
      <c r="K23" s="40" t="e">
        <f>L23/$L$25</f>
        <v>#N/A</v>
      </c>
      <c r="L23" s="35" t="e">
        <f>Backend!AA11</f>
        <v>#N/A</v>
      </c>
      <c r="M23" s="72"/>
      <c r="N23" s="4" t="s">
        <v>21</v>
      </c>
      <c r="O23" s="40" t="e">
        <f>P23/$P$25</f>
        <v>#N/A</v>
      </c>
      <c r="P23" s="41" t="e">
        <f>Backend!AE11</f>
        <v>#N/A</v>
      </c>
      <c r="Q23" s="72"/>
      <c r="R23" s="72"/>
      <c r="S23" s="72"/>
      <c r="T23" s="72"/>
      <c r="U23" s="72"/>
      <c r="V23" s="72"/>
      <c r="W23" s="72"/>
      <c r="X23" s="77"/>
    </row>
    <row r="24" spans="2:24" x14ac:dyDescent="0.25">
      <c r="B24" s="74"/>
      <c r="C24" s="72"/>
      <c r="D24" s="72"/>
      <c r="E24" s="72"/>
      <c r="F24" s="4" t="s">
        <v>86</v>
      </c>
      <c r="G24" s="24" t="e">
        <f>H24/$H$26</f>
        <v>#N/A</v>
      </c>
      <c r="H24" s="46" t="e">
        <f>L24+P24</f>
        <v>#N/A</v>
      </c>
      <c r="I24" s="80"/>
      <c r="J24" s="4" t="s">
        <v>22</v>
      </c>
      <c r="K24" s="40" t="e">
        <f>L24/$L$25</f>
        <v>#N/A</v>
      </c>
      <c r="L24" s="35" t="e">
        <f>Backend!AA12</f>
        <v>#N/A</v>
      </c>
      <c r="M24" s="72"/>
      <c r="N24" s="4" t="s">
        <v>22</v>
      </c>
      <c r="O24" s="40" t="e">
        <f>P24/$P$25</f>
        <v>#N/A</v>
      </c>
      <c r="P24" s="41" t="e">
        <f>Backend!AE12</f>
        <v>#N/A</v>
      </c>
      <c r="Q24" s="72"/>
      <c r="R24" s="72"/>
      <c r="S24" s="72"/>
      <c r="T24" s="72"/>
      <c r="U24" s="72"/>
      <c r="V24" s="72"/>
      <c r="W24" s="72"/>
      <c r="X24" s="77"/>
    </row>
    <row r="25" spans="2:24" ht="14.4" thickBot="1" x14ac:dyDescent="0.3">
      <c r="B25" s="74"/>
      <c r="C25" s="72"/>
      <c r="D25" s="72"/>
      <c r="E25" s="72"/>
      <c r="F25" s="4" t="s">
        <v>87</v>
      </c>
      <c r="G25" s="24" t="e">
        <f>H25/$H$26</f>
        <v>#N/A</v>
      </c>
      <c r="H25" s="46" t="e">
        <f>L26+P26</f>
        <v>#N/A</v>
      </c>
      <c r="I25" s="72"/>
      <c r="J25" s="36" t="s">
        <v>94</v>
      </c>
      <c r="K25" s="37" t="e">
        <f>SUM(K22:K24)</f>
        <v>#N/A</v>
      </c>
      <c r="L25" s="38" t="e">
        <f>SUM(L22:L24)</f>
        <v>#N/A</v>
      </c>
      <c r="M25" s="72"/>
      <c r="N25" s="36" t="s">
        <v>97</v>
      </c>
      <c r="O25" s="42" t="e">
        <f>SUM(O22:O24)</f>
        <v>#N/A</v>
      </c>
      <c r="P25" s="43" t="e">
        <f>SUM(P22:P24)</f>
        <v>#N/A</v>
      </c>
      <c r="Q25" s="72"/>
      <c r="R25" s="72"/>
      <c r="S25" s="72"/>
      <c r="T25" s="72"/>
      <c r="U25" s="72"/>
      <c r="V25" s="72"/>
      <c r="W25" s="72"/>
      <c r="X25" s="77"/>
    </row>
    <row r="26" spans="2:24" ht="14.4" customHeight="1" thickBot="1" x14ac:dyDescent="0.3">
      <c r="B26" s="74"/>
      <c r="C26" s="72"/>
      <c r="D26" s="72"/>
      <c r="E26" s="72"/>
      <c r="F26" s="25" t="s">
        <v>88</v>
      </c>
      <c r="G26" s="26" t="e">
        <f>SUM(G22:G25)</f>
        <v>#N/A</v>
      </c>
      <c r="H26" s="32" t="e">
        <f>SUM(H22:H25)</f>
        <v>#N/A</v>
      </c>
      <c r="I26" s="72"/>
      <c r="J26" s="104" t="s">
        <v>23</v>
      </c>
      <c r="K26" s="105"/>
      <c r="L26" s="44" t="e">
        <f>Backend!AA14</f>
        <v>#N/A</v>
      </c>
      <c r="M26" s="72"/>
      <c r="N26" s="104" t="s">
        <v>24</v>
      </c>
      <c r="O26" s="105"/>
      <c r="P26" s="44" t="e">
        <f>Backend!AE14</f>
        <v>#N/A</v>
      </c>
      <c r="Q26" s="72"/>
      <c r="R26" s="72"/>
      <c r="S26" s="72"/>
      <c r="T26" s="72"/>
      <c r="U26" s="72"/>
      <c r="V26" s="72"/>
      <c r="W26" s="72"/>
      <c r="X26" s="77"/>
    </row>
    <row r="27" spans="2:24" x14ac:dyDescent="0.25">
      <c r="B27" s="74"/>
      <c r="C27" s="72"/>
      <c r="D27" s="72"/>
      <c r="E27" s="72"/>
      <c r="F27" s="81"/>
      <c r="G27" s="81"/>
      <c r="H27" s="81"/>
      <c r="I27" s="72"/>
      <c r="J27" s="106" t="s">
        <v>95</v>
      </c>
      <c r="K27" s="106"/>
      <c r="L27" s="82" t="e">
        <f>L26+L25</f>
        <v>#N/A</v>
      </c>
      <c r="M27" s="72"/>
      <c r="N27" s="106" t="s">
        <v>98</v>
      </c>
      <c r="O27" s="106"/>
      <c r="P27" s="83" t="e">
        <f>P26+P25</f>
        <v>#N/A</v>
      </c>
      <c r="Q27" s="72"/>
      <c r="R27" s="72"/>
      <c r="S27" s="72"/>
      <c r="T27" s="72"/>
      <c r="U27" s="72"/>
      <c r="V27" s="72"/>
      <c r="W27" s="72"/>
      <c r="X27" s="77"/>
    </row>
    <row r="28" spans="2:24" ht="27" thickBot="1" x14ac:dyDescent="0.3">
      <c r="B28" s="74"/>
      <c r="C28" s="72"/>
      <c r="D28" s="72"/>
      <c r="E28" s="72"/>
      <c r="F28" s="33" t="s">
        <v>89</v>
      </c>
      <c r="G28" s="102" t="s">
        <v>11</v>
      </c>
      <c r="H28" s="27">
        <f>IF(C30="High",20%,IF(C30="Medium",15%,10%))</f>
        <v>0.1</v>
      </c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7"/>
    </row>
    <row r="29" spans="2:24" ht="27" thickBot="1" x14ac:dyDescent="0.3">
      <c r="B29" s="74"/>
      <c r="C29" s="72"/>
      <c r="D29" s="72"/>
      <c r="E29" s="72"/>
      <c r="F29" s="33" t="s">
        <v>90</v>
      </c>
      <c r="G29" s="103"/>
      <c r="H29" s="28" t="e">
        <f>(H28*H26)+H26</f>
        <v>#N/A</v>
      </c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7"/>
    </row>
    <row r="30" spans="2:24" x14ac:dyDescent="0.25">
      <c r="B30" s="74"/>
      <c r="C30" s="72"/>
      <c r="D30" s="72"/>
      <c r="E30" s="72"/>
      <c r="F30" s="81"/>
      <c r="G30" s="84"/>
      <c r="H30" s="84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7"/>
    </row>
    <row r="31" spans="2:24" ht="14.4" thickBot="1" x14ac:dyDescent="0.3">
      <c r="B31" s="74"/>
      <c r="C31" s="72"/>
      <c r="D31" s="72"/>
      <c r="E31" s="72"/>
      <c r="F31" s="29" t="str">
        <f>"Purchase Price (" &amp; IF(Backend!X2="EUR","EUR","$") &amp; "/MT)"</f>
        <v>Purchase Price (EUR/MT)</v>
      </c>
      <c r="G31" s="30"/>
      <c r="H31" s="31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7"/>
    </row>
    <row r="32" spans="2:24" ht="29.4" customHeight="1" x14ac:dyDescent="0.25">
      <c r="B32" s="74"/>
      <c r="C32" s="72"/>
      <c r="D32" s="72"/>
      <c r="E32" s="72"/>
      <c r="F32" s="81"/>
      <c r="G32" s="81"/>
      <c r="H32" s="81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7"/>
    </row>
    <row r="33" spans="2:24" ht="37.799999999999997" customHeight="1" thickBot="1" x14ac:dyDescent="0.3">
      <c r="B33" s="74"/>
      <c r="C33" s="72"/>
      <c r="D33" s="72"/>
      <c r="E33" s="72"/>
      <c r="F33" s="96" t="str">
        <f>"Gap ("&amp;  IF(Backend!X2="EUR","EUR","$") &amp;"/MT)"</f>
        <v>Gap (EUR/MT)</v>
      </c>
      <c r="G33" s="97"/>
      <c r="H33" s="64" t="str">
        <f>IF(H31="","Please enter purchase price in cell D35",H31-H29)</f>
        <v>Please enter purchase price in cell D35</v>
      </c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7"/>
    </row>
    <row r="34" spans="2:24" x14ac:dyDescent="0.25">
      <c r="B34" s="74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7"/>
    </row>
    <row r="35" spans="2:24" x14ac:dyDescent="0.25">
      <c r="B35" s="74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7"/>
    </row>
    <row r="36" spans="2:24" x14ac:dyDescent="0.25">
      <c r="B36" s="74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7"/>
    </row>
    <row r="37" spans="2:24" ht="14.4" thickBot="1" x14ac:dyDescent="0.3">
      <c r="B37" s="85"/>
      <c r="C37" s="86"/>
      <c r="D37" s="86"/>
      <c r="E37" s="86"/>
      <c r="F37" s="88"/>
      <c r="G37" s="88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86"/>
      <c r="W37" s="86"/>
      <c r="X37" s="87"/>
    </row>
    <row r="38" spans="2:24" x14ac:dyDescent="0.25">
      <c r="F38" s="19"/>
      <c r="G38" s="19"/>
    </row>
    <row r="39" spans="2:24" hidden="1" x14ac:dyDescent="0.25">
      <c r="F39" s="19"/>
      <c r="G39" s="19"/>
    </row>
    <row r="40" spans="2:24" hidden="1" x14ac:dyDescent="0.25">
      <c r="F40" s="19"/>
      <c r="G40" s="19"/>
    </row>
    <row r="41" spans="2:24" hidden="1" x14ac:dyDescent="0.25">
      <c r="F41" s="89"/>
      <c r="G41" s="73"/>
    </row>
  </sheetData>
  <protectedRanges>
    <protectedRange algorithmName="SHA-512" hashValue="wcO2i0pskNkL6l5Rg3vDPdsZixfDcIAPVvxsSGQAUxM64jpe5ALMfhRiYT04R7dnrSDLpesGHzmbVYwi7u0Rcg==" saltValue="VN0IfzVFo/3LIHDmdZcq1w==" spinCount="100000" sqref="H28:H29 F31:G31 H33 F21:H26 F33" name="Summary"/>
    <protectedRange algorithmName="SHA-512" hashValue="wcO2i0pskNkL6l5Rg3vDPdsZixfDcIAPVvxsSGQAUxM64jpe5ALMfhRiYT04R7dnrSDLpesGHzmbVYwi7u0Rcg==" saltValue="VN0IfzVFo/3LIHDmdZcq1w==" spinCount="100000" sqref="J21:L21 J25:L27 J22:J24 L22:L24" name="Summary_1"/>
  </protectedRanges>
  <mergeCells count="10">
    <mergeCell ref="F33:G33"/>
    <mergeCell ref="B1:X1"/>
    <mergeCell ref="F11:H11"/>
    <mergeCell ref="G28:G29"/>
    <mergeCell ref="J11:L11"/>
    <mergeCell ref="J26:K26"/>
    <mergeCell ref="J27:K27"/>
    <mergeCell ref="N26:O26"/>
    <mergeCell ref="N27:O27"/>
    <mergeCell ref="N11:P11"/>
  </mergeCells>
  <dataValidations disablePrompts="1" count="1">
    <dataValidation type="list" allowBlank="1" showInputMessage="1" showErrorMessage="1" sqref="G28" xr:uid="{041CDF42-31EE-4E53-9B1E-96E49A60D78F}">
      <formula1>"High, Medium, Low"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52" r:id="rId3" name="cb_TrCombination">
          <controlPr defaultSize="0" autoLine="0" autoPict="0" linkedCell="Backend!AD2" listFillRange="rngL_TrCombination" r:id="rId4">
            <anchor>
              <from>
                <xdr:col>9</xdr:col>
                <xdr:colOff>411480</xdr:colOff>
                <xdr:row>7</xdr:row>
                <xdr:rowOff>160020</xdr:rowOff>
              </from>
              <to>
                <xdr:col>9</xdr:col>
                <xdr:colOff>1661160</xdr:colOff>
                <xdr:row>9</xdr:row>
                <xdr:rowOff>45720</xdr:rowOff>
              </to>
            </anchor>
          </controlPr>
        </control>
      </mc:Choice>
      <mc:Fallback>
        <control shapeId="1052" r:id="rId3" name="cb_TrCombination"/>
      </mc:Fallback>
    </mc:AlternateContent>
    <mc:AlternateContent xmlns:mc="http://schemas.openxmlformats.org/markup-compatibility/2006">
      <mc:Choice Requires="x14">
        <control shapeId="1051" r:id="rId5" name="cb_NumUnit">
          <controlPr defaultSize="0" autoLine="0" linkedCell="Backend!AD2" listFillRange="rngL_NumUnit" r:id="rId6">
            <anchor>
              <from>
                <xdr:col>7</xdr:col>
                <xdr:colOff>830580</xdr:colOff>
                <xdr:row>7</xdr:row>
                <xdr:rowOff>160020</xdr:rowOff>
              </from>
              <to>
                <xdr:col>9</xdr:col>
                <xdr:colOff>304800</xdr:colOff>
                <xdr:row>9</xdr:row>
                <xdr:rowOff>60960</xdr:rowOff>
              </to>
            </anchor>
          </controlPr>
        </control>
      </mc:Choice>
      <mc:Fallback>
        <control shapeId="1051" r:id="rId5" name="cb_NumUnit"/>
      </mc:Fallback>
    </mc:AlternateContent>
    <mc:AlternateContent xmlns:mc="http://schemas.openxmlformats.org/markup-compatibility/2006">
      <mc:Choice Requires="x14">
        <control shapeId="1050" r:id="rId7" name="cb_PRType">
          <controlPr defaultSize="0" autoLine="0" linkedCell="Backend!AD2" listFillRange="rngL_PRType" r:id="rId8">
            <anchor>
              <from>
                <xdr:col>6</xdr:col>
                <xdr:colOff>800100</xdr:colOff>
                <xdr:row>7</xdr:row>
                <xdr:rowOff>160020</xdr:rowOff>
              </from>
              <to>
                <xdr:col>7</xdr:col>
                <xdr:colOff>784860</xdr:colOff>
                <xdr:row>9</xdr:row>
                <xdr:rowOff>60960</xdr:rowOff>
              </to>
            </anchor>
          </controlPr>
        </control>
      </mc:Choice>
      <mc:Fallback>
        <control shapeId="1050" r:id="rId7" name="cb_PRType"/>
      </mc:Fallback>
    </mc:AlternateContent>
    <mc:AlternateContent xmlns:mc="http://schemas.openxmlformats.org/markup-compatibility/2006">
      <mc:Choice Requires="x14">
        <control shapeId="1049" r:id="rId9" name="cb_PETbottle">
          <controlPr defaultSize="0" autoLine="0" linkedCell="Backend!AD2" listFillRange="rngL_PETbottle" r:id="rId10">
            <anchor>
              <from>
                <xdr:col>5</xdr:col>
                <xdr:colOff>1630680</xdr:colOff>
                <xdr:row>7</xdr:row>
                <xdr:rowOff>160020</xdr:rowOff>
              </from>
              <to>
                <xdr:col>6</xdr:col>
                <xdr:colOff>723900</xdr:colOff>
                <xdr:row>9</xdr:row>
                <xdr:rowOff>60960</xdr:rowOff>
              </to>
            </anchor>
          </controlPr>
        </control>
      </mc:Choice>
      <mc:Fallback>
        <control shapeId="1049" r:id="rId9" name="cb_PETbottle"/>
      </mc:Fallback>
    </mc:AlternateContent>
    <mc:AlternateContent xmlns:mc="http://schemas.openxmlformats.org/markup-compatibility/2006">
      <mc:Choice Requires="x14">
        <control shapeId="1048" r:id="rId11" name="cb_Rmaterial">
          <controlPr defaultSize="0" autoLine="0" linkedCell="Backend!AD2" listFillRange="rngL_Rmaterial" r:id="rId12">
            <anchor>
              <from>
                <xdr:col>4</xdr:col>
                <xdr:colOff>426720</xdr:colOff>
                <xdr:row>7</xdr:row>
                <xdr:rowOff>137160</xdr:rowOff>
              </from>
              <to>
                <xdr:col>5</xdr:col>
                <xdr:colOff>1569720</xdr:colOff>
                <xdr:row>9</xdr:row>
                <xdr:rowOff>30480</xdr:rowOff>
              </to>
            </anchor>
          </controlPr>
        </control>
      </mc:Choice>
      <mc:Fallback>
        <control shapeId="1048" r:id="rId11" name="cb_Rmaterial"/>
      </mc:Fallback>
    </mc:AlternateContent>
    <mc:AlternateContent xmlns:mc="http://schemas.openxmlformats.org/markup-compatibility/2006">
      <mc:Choice Requires="x14">
        <control shapeId="1038" r:id="rId13" name="cb_Product">
          <controlPr defaultSize="0" autoLine="0" linkedCell="Backend!U2" listFillRange="rngB_Product" r:id="rId14">
            <anchor>
              <from>
                <xdr:col>5</xdr:col>
                <xdr:colOff>0</xdr:colOff>
                <xdr:row>3</xdr:row>
                <xdr:rowOff>53340</xdr:rowOff>
              </from>
              <to>
                <xdr:col>6</xdr:col>
                <xdr:colOff>472440</xdr:colOff>
                <xdr:row>4</xdr:row>
                <xdr:rowOff>129540</xdr:rowOff>
              </to>
            </anchor>
          </controlPr>
        </control>
      </mc:Choice>
      <mc:Fallback>
        <control shapeId="1038" r:id="rId13" name="cb_Product"/>
      </mc:Fallback>
    </mc:AlternateContent>
    <mc:AlternateContent xmlns:mc="http://schemas.openxmlformats.org/markup-compatibility/2006">
      <mc:Choice Requires="x14">
        <control shapeId="1039" r:id="rId15" name="cb_PCountry">
          <controlPr defaultSize="0" autoLine="0" linkedCell="Backend!V2" listFillRange="rngL_ProductCountry" r:id="rId16">
            <anchor>
              <from>
                <xdr:col>6</xdr:col>
                <xdr:colOff>518160</xdr:colOff>
                <xdr:row>3</xdr:row>
                <xdr:rowOff>60960</xdr:rowOff>
              </from>
              <to>
                <xdr:col>7</xdr:col>
                <xdr:colOff>769620</xdr:colOff>
                <xdr:row>4</xdr:row>
                <xdr:rowOff>129540</xdr:rowOff>
              </to>
            </anchor>
          </controlPr>
        </control>
      </mc:Choice>
      <mc:Fallback>
        <control shapeId="1039" r:id="rId15" name="cb_PCountry"/>
      </mc:Fallback>
    </mc:AlternateContent>
    <mc:AlternateContent xmlns:mc="http://schemas.openxmlformats.org/markup-compatibility/2006">
      <mc:Choice Requires="x14">
        <control shapeId="1040" r:id="rId17" name="cb_TP">
          <controlPr defaultSize="0" autoLine="0" linkedCell="Backend!W2" listFillRange="rngB_TP" r:id="rId18">
            <anchor>
              <from>
                <xdr:col>7</xdr:col>
                <xdr:colOff>815340</xdr:colOff>
                <xdr:row>3</xdr:row>
                <xdr:rowOff>53340</xdr:rowOff>
              </from>
              <to>
                <xdr:col>9</xdr:col>
                <xdr:colOff>403860</xdr:colOff>
                <xdr:row>4</xdr:row>
                <xdr:rowOff>129540</xdr:rowOff>
              </to>
            </anchor>
          </controlPr>
        </control>
      </mc:Choice>
      <mc:Fallback>
        <control shapeId="1040" r:id="rId17" name="cb_TP"/>
      </mc:Fallback>
    </mc:AlternateContent>
    <mc:AlternateContent xmlns:mc="http://schemas.openxmlformats.org/markup-compatibility/2006">
      <mc:Choice Requires="x14">
        <control shapeId="1041" r:id="rId19" name="cb_Curr">
          <controlPr defaultSize="0" autoLine="0" linkedCell="Backend!X2" listFillRange="rngB_Curr" r:id="rId20">
            <anchor>
              <from>
                <xdr:col>9</xdr:col>
                <xdr:colOff>449580</xdr:colOff>
                <xdr:row>3</xdr:row>
                <xdr:rowOff>45720</xdr:rowOff>
              </from>
              <to>
                <xdr:col>9</xdr:col>
                <xdr:colOff>1226820</xdr:colOff>
                <xdr:row>4</xdr:row>
                <xdr:rowOff>114300</xdr:rowOff>
              </to>
            </anchor>
          </controlPr>
        </control>
      </mc:Choice>
      <mc:Fallback>
        <control shapeId="1041" r:id="rId19" name="cb_Curr"/>
      </mc:Fallback>
    </mc:AlternateContent>
    <mc:AlternateContent xmlns:mc="http://schemas.openxmlformats.org/markup-compatibility/2006">
      <mc:Choice Requires="x14">
        <control shapeId="1042" r:id="rId21" name="cb_MType">
          <controlPr defaultSize="0" autoLine="0" linkedCell="Backend!Y2" listFillRange="rngL_MType" r:id="rId22">
            <anchor>
              <from>
                <xdr:col>9</xdr:col>
                <xdr:colOff>1272540</xdr:colOff>
                <xdr:row>3</xdr:row>
                <xdr:rowOff>60960</xdr:rowOff>
              </from>
              <to>
                <xdr:col>10</xdr:col>
                <xdr:colOff>137160</xdr:colOff>
                <xdr:row>4</xdr:row>
                <xdr:rowOff>129540</xdr:rowOff>
              </to>
            </anchor>
          </controlPr>
        </control>
      </mc:Choice>
      <mc:Fallback>
        <control shapeId="1042" r:id="rId21" name="cb_MType"/>
      </mc:Fallback>
    </mc:AlternateContent>
    <mc:AlternateContent xmlns:mc="http://schemas.openxmlformats.org/markup-compatibility/2006">
      <mc:Choice Requires="x14">
        <control shapeId="1043" r:id="rId23" name="cb_FType">
          <controlPr defaultSize="0" autoLine="0" linkedCell="Backend!Z2" listFillRange="rngL_FType" r:id="rId24">
            <anchor>
              <from>
                <xdr:col>10</xdr:col>
                <xdr:colOff>175260</xdr:colOff>
                <xdr:row>3</xdr:row>
                <xdr:rowOff>45720</xdr:rowOff>
              </from>
              <to>
                <xdr:col>10</xdr:col>
                <xdr:colOff>1264920</xdr:colOff>
                <xdr:row>4</xdr:row>
                <xdr:rowOff>114300</xdr:rowOff>
              </to>
            </anchor>
          </controlPr>
        </control>
      </mc:Choice>
      <mc:Fallback>
        <control shapeId="1043" r:id="rId23" name="cb_FType"/>
      </mc:Fallback>
    </mc:AlternateContent>
    <mc:AlternateContent xmlns:mc="http://schemas.openxmlformats.org/markup-compatibility/2006">
      <mc:Choice Requires="x14">
        <control shapeId="1044" r:id="rId25" name="cb_PType">
          <controlPr defaultSize="0" autoLine="0" linkedCell="Backend!AA2" listFillRange="rngL_PType" r:id="rId26">
            <anchor>
              <from>
                <xdr:col>10</xdr:col>
                <xdr:colOff>1310640</xdr:colOff>
                <xdr:row>3</xdr:row>
                <xdr:rowOff>38100</xdr:rowOff>
              </from>
              <to>
                <xdr:col>13</xdr:col>
                <xdr:colOff>30480</xdr:colOff>
                <xdr:row>4</xdr:row>
                <xdr:rowOff>114300</xdr:rowOff>
              </to>
            </anchor>
          </controlPr>
        </control>
      </mc:Choice>
      <mc:Fallback>
        <control shapeId="1044" r:id="rId25" name="cb_PType"/>
      </mc:Fallback>
    </mc:AlternateContent>
    <mc:AlternateContent xmlns:mc="http://schemas.openxmlformats.org/markup-compatibility/2006">
      <mc:Choice Requires="x14">
        <control shapeId="1045" r:id="rId27" name="cb_SSize">
          <controlPr defaultSize="0" autoLine="0" linkedCell="Backend!AB2" listFillRange="rngL_SSize" r:id="rId28">
            <anchor>
              <from>
                <xdr:col>13</xdr:col>
                <xdr:colOff>76200</xdr:colOff>
                <xdr:row>3</xdr:row>
                <xdr:rowOff>45720</xdr:rowOff>
              </from>
              <to>
                <xdr:col>13</xdr:col>
                <xdr:colOff>838200</xdr:colOff>
                <xdr:row>4</xdr:row>
                <xdr:rowOff>114300</xdr:rowOff>
              </to>
            </anchor>
          </controlPr>
        </control>
      </mc:Choice>
      <mc:Fallback>
        <control shapeId="1045" r:id="rId27" name="cb_SSize"/>
      </mc:Fallback>
    </mc:AlternateContent>
    <mc:AlternateContent xmlns:mc="http://schemas.openxmlformats.org/markup-compatibility/2006">
      <mc:Choice Requires="x14">
        <control shapeId="1046" r:id="rId29" name="cb_SP">
          <controlPr defaultSize="0" autoLine="0" linkedCell="Backend!AC2" listFillRange="rngL_SProd" r:id="rId30">
            <anchor>
              <from>
                <xdr:col>13</xdr:col>
                <xdr:colOff>876300</xdr:colOff>
                <xdr:row>3</xdr:row>
                <xdr:rowOff>60960</xdr:rowOff>
              </from>
              <to>
                <xdr:col>14</xdr:col>
                <xdr:colOff>655320</xdr:colOff>
                <xdr:row>4</xdr:row>
                <xdr:rowOff>99060</xdr:rowOff>
              </to>
            </anchor>
          </controlPr>
        </control>
      </mc:Choice>
      <mc:Fallback>
        <control shapeId="1046" r:id="rId29" name="cb_SP"/>
      </mc:Fallback>
    </mc:AlternateContent>
    <mc:AlternateContent xmlns:mc="http://schemas.openxmlformats.org/markup-compatibility/2006">
      <mc:Choice Requires="x14">
        <control shapeId="1047" r:id="rId31" name="cb_SComp">
          <controlPr defaultSize="0" autoLine="0" linkedCell="Backend!AD2" listFillRange="rngL_SComp" r:id="rId32">
            <anchor>
              <from>
                <xdr:col>14</xdr:col>
                <xdr:colOff>693420</xdr:colOff>
                <xdr:row>3</xdr:row>
                <xdr:rowOff>53340</xdr:rowOff>
              </from>
              <to>
                <xdr:col>14</xdr:col>
                <xdr:colOff>1798320</xdr:colOff>
                <xdr:row>4</xdr:row>
                <xdr:rowOff>129540</xdr:rowOff>
              </to>
            </anchor>
          </controlPr>
        </control>
      </mc:Choice>
      <mc:Fallback>
        <control shapeId="1047" r:id="rId31" name="cb_SCom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EC791-7143-4116-BB60-CE46C8881998}">
  <sheetPr codeName="shtData"/>
  <dimension ref="A1:Y1183"/>
  <sheetViews>
    <sheetView workbookViewId="0">
      <pane ySplit="1" topLeftCell="A2" activePane="bottomLeft" state="frozen"/>
      <selection activeCell="C1" sqref="C1"/>
      <selection pane="bottomLeft" activeCell="C10" sqref="C10"/>
    </sheetView>
  </sheetViews>
  <sheetFormatPr defaultRowHeight="13.8" x14ac:dyDescent="0.25"/>
  <cols>
    <col min="1" max="1" width="22.09765625" customWidth="1"/>
    <col min="2" max="2" width="40.5" bestFit="1" customWidth="1"/>
    <col min="3" max="3" width="31.19921875" bestFit="1" customWidth="1"/>
    <col min="4" max="4" width="18.59765625" bestFit="1" customWidth="1"/>
    <col min="5" max="5" width="14.19921875" style="12" bestFit="1" customWidth="1"/>
    <col min="6" max="6" width="10.19921875" bestFit="1" customWidth="1"/>
    <col min="7" max="7" width="15.296875" bestFit="1" customWidth="1"/>
    <col min="8" max="8" width="13.296875" bestFit="1" customWidth="1"/>
    <col min="9" max="9" width="13.296875" customWidth="1"/>
    <col min="10" max="10" width="17.5" style="12" bestFit="1" customWidth="1"/>
    <col min="11" max="11" width="19.3984375" bestFit="1" customWidth="1"/>
    <col min="12" max="12" width="16" bestFit="1" customWidth="1"/>
    <col min="13" max="14" width="16" customWidth="1"/>
    <col min="15" max="15" width="25.8984375" customWidth="1"/>
    <col min="16" max="17" width="16" customWidth="1"/>
    <col min="18" max="18" width="14.8984375" style="6" bestFit="1" customWidth="1"/>
    <col min="19" max="19" width="10.8984375" style="6" bestFit="1" customWidth="1"/>
    <col min="20" max="20" width="12.296875" style="6" bestFit="1" customWidth="1"/>
    <col min="21" max="21" width="22.19921875" style="6" customWidth="1"/>
    <col min="22" max="22" width="14.8984375" style="6" bestFit="1" customWidth="1"/>
    <col min="23" max="23" width="10.8984375" style="6" bestFit="1" customWidth="1"/>
    <col min="24" max="24" width="12.296875" style="6" bestFit="1" customWidth="1"/>
    <col min="25" max="25" width="36.69921875" style="6" bestFit="1" customWidth="1"/>
  </cols>
  <sheetData>
    <row r="1" spans="1:25" ht="46.8" customHeight="1" x14ac:dyDescent="0.25">
      <c r="A1" s="7" t="s">
        <v>61</v>
      </c>
      <c r="B1" s="3" t="s">
        <v>160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5</v>
      </c>
      <c r="H1" s="1" t="s">
        <v>7</v>
      </c>
      <c r="I1" s="1" t="s">
        <v>76</v>
      </c>
      <c r="J1" s="18" t="s">
        <v>74</v>
      </c>
      <c r="K1" s="1" t="s">
        <v>9</v>
      </c>
      <c r="L1" s="2" t="s">
        <v>10</v>
      </c>
      <c r="M1" s="2" t="s">
        <v>175</v>
      </c>
      <c r="N1" s="2" t="s">
        <v>146</v>
      </c>
      <c r="O1" s="2" t="s">
        <v>148</v>
      </c>
      <c r="P1" s="2" t="s">
        <v>149</v>
      </c>
      <c r="Q1" s="2" t="s">
        <v>150</v>
      </c>
      <c r="R1" s="66" t="s">
        <v>20</v>
      </c>
      <c r="S1" s="66" t="s">
        <v>21</v>
      </c>
      <c r="T1" s="66" t="s">
        <v>22</v>
      </c>
      <c r="U1" s="66" t="s">
        <v>23</v>
      </c>
      <c r="V1" s="67" t="s">
        <v>20</v>
      </c>
      <c r="W1" s="67" t="s">
        <v>21</v>
      </c>
      <c r="X1" s="67" t="s">
        <v>22</v>
      </c>
      <c r="Y1" s="67" t="s">
        <v>24</v>
      </c>
    </row>
    <row r="2" spans="1:25" x14ac:dyDescent="0.25">
      <c r="A2" t="str">
        <f t="shared" ref="A2:A65" si="0">C2&amp;D2&amp;E2&amp;F2&amp;G2&amp;H2&amp;I2&amp;J2&amp;K2&amp;L2</f>
        <v>RTD Ice TeaFranceDecemberEUR (€)Fully-AutomatedOldPET Bottle0.33High-scaleMedium</v>
      </c>
      <c r="B2" t="s">
        <v>130</v>
      </c>
      <c r="C2" t="s">
        <v>130</v>
      </c>
      <c r="D2" t="s">
        <v>15</v>
      </c>
      <c r="E2" s="12" t="s">
        <v>182</v>
      </c>
      <c r="F2" t="s">
        <v>187</v>
      </c>
      <c r="G2" t="s">
        <v>12</v>
      </c>
      <c r="H2" t="s">
        <v>72</v>
      </c>
      <c r="I2" t="s">
        <v>175</v>
      </c>
      <c r="J2" s="12">
        <v>0.33</v>
      </c>
      <c r="K2" t="s">
        <v>107</v>
      </c>
      <c r="L2" t="s">
        <v>63</v>
      </c>
      <c r="M2" t="s">
        <v>199</v>
      </c>
      <c r="O2" t="s">
        <v>197</v>
      </c>
      <c r="P2">
        <v>4</v>
      </c>
      <c r="Q2" t="s">
        <v>198</v>
      </c>
      <c r="R2" s="6">
        <v>0.98357994722190512</v>
      </c>
      <c r="S2" s="6">
        <v>24.194875620407874</v>
      </c>
      <c r="T2" s="6">
        <v>10.304238907268452</v>
      </c>
      <c r="U2" s="6">
        <v>98.158336005161644</v>
      </c>
      <c r="V2" s="6">
        <v>0.46739691779135367</v>
      </c>
      <c r="W2" s="6">
        <v>14.388958911918222</v>
      </c>
      <c r="X2" s="6">
        <v>8.8623951388122286</v>
      </c>
      <c r="Y2" s="6">
        <v>84.04050458415945</v>
      </c>
    </row>
    <row r="3" spans="1:25" x14ac:dyDescent="0.25">
      <c r="A3" t="str">
        <f t="shared" si="0"/>
        <v>RTD Ice TeaFranceDecemberEUR (€)Fully-AutomatedOldPET Bottle0.33High-scaleHigh</v>
      </c>
      <c r="B3" t="s">
        <v>130</v>
      </c>
      <c r="C3" t="s">
        <v>130</v>
      </c>
      <c r="D3" t="s">
        <v>15</v>
      </c>
      <c r="E3" s="12" t="s">
        <v>182</v>
      </c>
      <c r="F3" t="s">
        <v>187</v>
      </c>
      <c r="G3" t="s">
        <v>12</v>
      </c>
      <c r="H3" t="s">
        <v>72</v>
      </c>
      <c r="I3" t="s">
        <v>175</v>
      </c>
      <c r="J3" s="12">
        <v>0.33</v>
      </c>
      <c r="K3" t="s">
        <v>107</v>
      </c>
      <c r="L3" t="s">
        <v>11</v>
      </c>
      <c r="M3" t="s">
        <v>199</v>
      </c>
      <c r="O3" t="s">
        <v>197</v>
      </c>
      <c r="P3">
        <v>4</v>
      </c>
      <c r="Q3" t="s">
        <v>198</v>
      </c>
      <c r="R3" s="6">
        <v>1.0227027006663367</v>
      </c>
      <c r="S3" s="6">
        <v>25.157810184141404</v>
      </c>
      <c r="T3" s="6">
        <v>10.71392460467014</v>
      </c>
      <c r="U3" s="6">
        <v>102.06160129220405</v>
      </c>
      <c r="V3" s="6">
        <v>0.48574420864442192</v>
      </c>
      <c r="W3" s="6">
        <v>14.951357991537359</v>
      </c>
      <c r="X3" s="6">
        <v>9.2093021137296631</v>
      </c>
      <c r="Y3" s="6">
        <v>87.329650067704847</v>
      </c>
    </row>
    <row r="4" spans="1:25" x14ac:dyDescent="0.25">
      <c r="A4" t="str">
        <f t="shared" si="0"/>
        <v>RTD Ice TeaFranceDecemberEUR (€)Fully-AutomatedOldPET Bottle0.33Medium-scaleLow</v>
      </c>
      <c r="B4" t="s">
        <v>130</v>
      </c>
      <c r="C4" t="s">
        <v>130</v>
      </c>
      <c r="D4" t="s">
        <v>15</v>
      </c>
      <c r="E4" s="12" t="s">
        <v>182</v>
      </c>
      <c r="F4" t="s">
        <v>187</v>
      </c>
      <c r="G4" t="s">
        <v>12</v>
      </c>
      <c r="H4" t="s">
        <v>72</v>
      </c>
      <c r="I4" t="s">
        <v>175</v>
      </c>
      <c r="J4" s="12">
        <v>0.33</v>
      </c>
      <c r="K4" t="s">
        <v>62</v>
      </c>
      <c r="L4" t="s">
        <v>13</v>
      </c>
      <c r="M4" t="s">
        <v>199</v>
      </c>
      <c r="O4" t="s">
        <v>197</v>
      </c>
      <c r="P4">
        <v>4</v>
      </c>
      <c r="Q4" t="s">
        <v>198</v>
      </c>
      <c r="R4" s="6">
        <v>0.94873295329187568</v>
      </c>
      <c r="S4" s="6">
        <v>23.333647424644177</v>
      </c>
      <c r="T4" s="6">
        <v>9.940424416619754</v>
      </c>
      <c r="U4" s="6">
        <v>94.688377437397804</v>
      </c>
      <c r="V4" s="6">
        <v>0.45142257440888306</v>
      </c>
      <c r="W4" s="6">
        <v>13.901928425010071</v>
      </c>
      <c r="X4" s="6">
        <v>8.5622650619490042</v>
      </c>
      <c r="Y4" s="6">
        <v>81.194499059681604</v>
      </c>
    </row>
    <row r="5" spans="1:25" x14ac:dyDescent="0.25">
      <c r="A5" t="str">
        <f t="shared" si="0"/>
        <v>RTD Ice TeaFranceDecemberEUR (€)Fully-AutomatedOldPET Bottle0.33Medium-scaleMedium</v>
      </c>
      <c r="B5" t="s">
        <v>130</v>
      </c>
      <c r="C5" t="s">
        <v>130</v>
      </c>
      <c r="D5" t="s">
        <v>15</v>
      </c>
      <c r="E5" s="12" t="s">
        <v>182</v>
      </c>
      <c r="F5" t="s">
        <v>187</v>
      </c>
      <c r="G5" t="s">
        <v>12</v>
      </c>
      <c r="H5" t="s">
        <v>72</v>
      </c>
      <c r="I5" t="s">
        <v>175</v>
      </c>
      <c r="J5" s="12">
        <v>0.33</v>
      </c>
      <c r="K5" t="s">
        <v>62</v>
      </c>
      <c r="L5" t="s">
        <v>63</v>
      </c>
      <c r="M5" t="s">
        <v>199</v>
      </c>
      <c r="O5" t="s">
        <v>197</v>
      </c>
      <c r="P5">
        <v>4</v>
      </c>
      <c r="Q5" t="s">
        <v>198</v>
      </c>
      <c r="R5" s="6">
        <v>0.98495772499968293</v>
      </c>
      <c r="S5" s="6">
        <v>24.225253502175232</v>
      </c>
      <c r="T5" s="6">
        <v>10.31976302532502</v>
      </c>
      <c r="U5" s="6">
        <v>98.30251196243708</v>
      </c>
      <c r="V5" s="6">
        <v>0.46841080668024249</v>
      </c>
      <c r="W5" s="6">
        <v>14.422668313546307</v>
      </c>
      <c r="X5" s="6">
        <v>8.8834752239095938</v>
      </c>
      <c r="Y5" s="6">
        <v>84.240004137038454</v>
      </c>
    </row>
    <row r="6" spans="1:25" x14ac:dyDescent="0.25">
      <c r="A6" t="str">
        <f t="shared" si="0"/>
        <v>RTD Ice TeaFranceDecemberEUR (€)Fully-AutomatedOldPET Bottle0.33Medium-scaleHigh</v>
      </c>
      <c r="B6" t="s">
        <v>130</v>
      </c>
      <c r="C6" t="s">
        <v>130</v>
      </c>
      <c r="D6" t="s">
        <v>15</v>
      </c>
      <c r="E6" s="12" t="s">
        <v>182</v>
      </c>
      <c r="F6" t="s">
        <v>187</v>
      </c>
      <c r="G6" t="s">
        <v>12</v>
      </c>
      <c r="H6" t="s">
        <v>72</v>
      </c>
      <c r="I6" t="s">
        <v>175</v>
      </c>
      <c r="J6" s="12">
        <v>0.33</v>
      </c>
      <c r="K6" t="s">
        <v>62</v>
      </c>
      <c r="L6" t="s">
        <v>11</v>
      </c>
      <c r="M6" t="s">
        <v>199</v>
      </c>
      <c r="O6" t="s">
        <v>197</v>
      </c>
      <c r="P6">
        <v>4</v>
      </c>
      <c r="Q6" t="s">
        <v>198</v>
      </c>
      <c r="R6" s="6">
        <v>1.0240804784441147</v>
      </c>
      <c r="S6" s="6">
        <v>25.188188065908765</v>
      </c>
      <c r="T6" s="6">
        <v>10.729448722726705</v>
      </c>
      <c r="U6" s="6">
        <v>102.20577724947947</v>
      </c>
      <c r="V6" s="6">
        <v>0.48675809753331084</v>
      </c>
      <c r="W6" s="6">
        <v>14.985067393165446</v>
      </c>
      <c r="X6" s="6">
        <v>9.2303821988270318</v>
      </c>
      <c r="Y6" s="6">
        <v>87.529149620583837</v>
      </c>
    </row>
    <row r="7" spans="1:25" x14ac:dyDescent="0.25">
      <c r="A7" t="str">
        <f t="shared" si="0"/>
        <v>RTD Ice TeaFranceDecemberEUR (€)Fully-AutomatedOldPET Bottle0.33Small-scaleLow</v>
      </c>
      <c r="B7" t="s">
        <v>130</v>
      </c>
      <c r="C7" t="s">
        <v>130</v>
      </c>
      <c r="D7" t="s">
        <v>15</v>
      </c>
      <c r="E7" s="12" t="s">
        <v>182</v>
      </c>
      <c r="F7" t="s">
        <v>187</v>
      </c>
      <c r="G7" t="s">
        <v>12</v>
      </c>
      <c r="H7" t="s">
        <v>72</v>
      </c>
      <c r="I7" t="s">
        <v>175</v>
      </c>
      <c r="J7" s="12">
        <v>0.33</v>
      </c>
      <c r="K7" t="s">
        <v>60</v>
      </c>
      <c r="L7" t="s">
        <v>13</v>
      </c>
      <c r="M7" t="s">
        <v>199</v>
      </c>
      <c r="O7" t="s">
        <v>197</v>
      </c>
      <c r="P7">
        <v>4</v>
      </c>
      <c r="Q7" t="s">
        <v>198</v>
      </c>
      <c r="R7" s="6">
        <v>0.95102924958817192</v>
      </c>
      <c r="S7" s="6">
        <v>23.384277227589777</v>
      </c>
      <c r="T7" s="6">
        <v>9.966297946714036</v>
      </c>
      <c r="U7" s="6">
        <v>94.928670699523522</v>
      </c>
      <c r="V7" s="6">
        <v>0.4531123892236979</v>
      </c>
      <c r="W7" s="6">
        <v>13.958110761056886</v>
      </c>
      <c r="X7" s="6">
        <v>8.5973985371112818</v>
      </c>
      <c r="Y7" s="6">
        <v>81.526998314479869</v>
      </c>
    </row>
    <row r="8" spans="1:25" x14ac:dyDescent="0.25">
      <c r="A8" t="str">
        <f t="shared" si="0"/>
        <v>RTD Ice TeaFranceDecemberEUR (€)Fully-AutomatedOldPET Bottle0.33Small-scaleMedium</v>
      </c>
      <c r="B8" t="s">
        <v>130</v>
      </c>
      <c r="C8" t="s">
        <v>130</v>
      </c>
      <c r="D8" t="s">
        <v>15</v>
      </c>
      <c r="E8" s="12" t="s">
        <v>182</v>
      </c>
      <c r="F8" t="s">
        <v>187</v>
      </c>
      <c r="G8" t="s">
        <v>12</v>
      </c>
      <c r="H8" t="s">
        <v>72</v>
      </c>
      <c r="I8" t="s">
        <v>175</v>
      </c>
      <c r="J8" s="12">
        <v>0.33</v>
      </c>
      <c r="K8" t="s">
        <v>60</v>
      </c>
      <c r="L8" t="s">
        <v>63</v>
      </c>
      <c r="M8" t="s">
        <v>199</v>
      </c>
      <c r="O8" t="s">
        <v>197</v>
      </c>
      <c r="P8">
        <v>4</v>
      </c>
      <c r="Q8" t="s">
        <v>198</v>
      </c>
      <c r="R8" s="6">
        <v>0.98725402129597928</v>
      </c>
      <c r="S8" s="6">
        <v>24.275883305120828</v>
      </c>
      <c r="T8" s="6">
        <v>10.345636555419302</v>
      </c>
      <c r="U8" s="6">
        <v>98.542805224562784</v>
      </c>
      <c r="V8" s="6">
        <v>0.47010062149505738</v>
      </c>
      <c r="W8" s="6">
        <v>14.478850649593122</v>
      </c>
      <c r="X8" s="6">
        <v>8.9186086990718714</v>
      </c>
      <c r="Y8" s="6">
        <v>84.572503391836733</v>
      </c>
    </row>
    <row r="9" spans="1:25" x14ac:dyDescent="0.25">
      <c r="A9" t="str">
        <f t="shared" si="0"/>
        <v>RTD Ice TeaFranceDecemberEUR (€)Fully-AutomatedOldPET Bottle0.33Small-scaleHigh</v>
      </c>
      <c r="B9" t="s">
        <v>130</v>
      </c>
      <c r="C9" t="s">
        <v>130</v>
      </c>
      <c r="D9" t="s">
        <v>15</v>
      </c>
      <c r="E9" s="12" t="s">
        <v>182</v>
      </c>
      <c r="F9" t="s">
        <v>187</v>
      </c>
      <c r="G9" t="s">
        <v>12</v>
      </c>
      <c r="H9" t="s">
        <v>72</v>
      </c>
      <c r="I9" t="s">
        <v>175</v>
      </c>
      <c r="J9" s="12">
        <v>0.33</v>
      </c>
      <c r="K9" t="s">
        <v>60</v>
      </c>
      <c r="L9" t="s">
        <v>11</v>
      </c>
      <c r="M9" t="s">
        <v>199</v>
      </c>
      <c r="O9" t="s">
        <v>197</v>
      </c>
      <c r="P9">
        <v>4</v>
      </c>
      <c r="Q9" t="s">
        <v>198</v>
      </c>
      <c r="R9" s="6">
        <v>1.0263767747404109</v>
      </c>
      <c r="S9" s="6">
        <v>25.238817868854369</v>
      </c>
      <c r="T9" s="6">
        <v>10.755322252820989</v>
      </c>
      <c r="U9" s="6">
        <v>102.44607051160517</v>
      </c>
      <c r="V9" s="6">
        <v>0.48844791234812557</v>
      </c>
      <c r="W9" s="6">
        <v>15.041249729212261</v>
      </c>
      <c r="X9" s="6">
        <v>9.2655156739893059</v>
      </c>
      <c r="Y9" s="6">
        <v>87.861648875382144</v>
      </c>
    </row>
    <row r="10" spans="1:25" x14ac:dyDescent="0.25">
      <c r="A10" t="str">
        <f t="shared" si="0"/>
        <v>RTD Ice TeaFranceDecemberEUR (€)Fully-AutomatedOldPET Bottle0.33High-scaleLow</v>
      </c>
      <c r="B10" t="s">
        <v>130</v>
      </c>
      <c r="C10" t="s">
        <v>130</v>
      </c>
      <c r="D10" t="s">
        <v>15</v>
      </c>
      <c r="E10" s="12" t="s">
        <v>182</v>
      </c>
      <c r="F10" t="s">
        <v>187</v>
      </c>
      <c r="G10" t="s">
        <v>12</v>
      </c>
      <c r="H10" t="s">
        <v>72</v>
      </c>
      <c r="I10" t="s">
        <v>175</v>
      </c>
      <c r="J10" s="12">
        <v>0.33</v>
      </c>
      <c r="K10" t="s">
        <v>107</v>
      </c>
      <c r="L10" t="s">
        <v>13</v>
      </c>
      <c r="M10" t="s">
        <v>200</v>
      </c>
      <c r="O10" t="s">
        <v>197</v>
      </c>
      <c r="P10">
        <v>4</v>
      </c>
      <c r="Q10" t="s">
        <v>198</v>
      </c>
      <c r="R10" s="6">
        <v>0.94735517551409787</v>
      </c>
      <c r="S10" s="6">
        <v>23.303269542876816</v>
      </c>
      <c r="T10" s="6">
        <v>9.924900298563184</v>
      </c>
      <c r="U10" s="6">
        <v>94.544201480122396</v>
      </c>
      <c r="V10" s="6">
        <v>0.40588219780430235</v>
      </c>
      <c r="W10" s="6">
        <v>16.853744647211951</v>
      </c>
      <c r="X10" s="6">
        <v>8.5023037878353822</v>
      </c>
      <c r="Y10" s="6">
        <v>82.580311268831792</v>
      </c>
    </row>
    <row r="11" spans="1:25" x14ac:dyDescent="0.25">
      <c r="A11" t="str">
        <f t="shared" si="0"/>
        <v>RTD Ice TeaFranceDecemberEUR (€)Fully-AutomatedOldPET Bottle0.33High-scaleMedium</v>
      </c>
      <c r="B11" t="s">
        <v>130</v>
      </c>
      <c r="C11" t="s">
        <v>130</v>
      </c>
      <c r="D11" t="s">
        <v>15</v>
      </c>
      <c r="E11" s="12" t="s">
        <v>182</v>
      </c>
      <c r="F11" t="s">
        <v>187</v>
      </c>
      <c r="G11" t="s">
        <v>12</v>
      </c>
      <c r="H11" t="s">
        <v>72</v>
      </c>
      <c r="I11" t="s">
        <v>175</v>
      </c>
      <c r="J11" s="12">
        <v>0.33</v>
      </c>
      <c r="K11" t="s">
        <v>107</v>
      </c>
      <c r="L11" t="s">
        <v>63</v>
      </c>
      <c r="M11" t="s">
        <v>200</v>
      </c>
      <c r="O11" t="s">
        <v>197</v>
      </c>
      <c r="P11">
        <v>4</v>
      </c>
      <c r="Q11" t="s">
        <v>198</v>
      </c>
      <c r="R11" s="6">
        <v>0.98357994722190512</v>
      </c>
      <c r="S11" s="6">
        <v>24.194875620407874</v>
      </c>
      <c r="T11" s="6">
        <v>10.304238907268452</v>
      </c>
      <c r="U11" s="6">
        <v>98.158336005161644</v>
      </c>
      <c r="V11" s="6">
        <v>0.42125936858232332</v>
      </c>
      <c r="W11" s="6">
        <v>17.49005141879271</v>
      </c>
      <c r="X11" s="6">
        <v>8.8237558891000756</v>
      </c>
      <c r="Y11" s="6">
        <v>85.701918275666856</v>
      </c>
    </row>
    <row r="12" spans="1:25" x14ac:dyDescent="0.25">
      <c r="A12" t="str">
        <f t="shared" si="0"/>
        <v>RTD Ice TeaFranceDecemberEUR (€)Fully-AutomatedOldPET Bottle0.33High-scaleHigh</v>
      </c>
      <c r="B12" t="s">
        <v>130</v>
      </c>
      <c r="C12" t="s">
        <v>130</v>
      </c>
      <c r="D12" t="s">
        <v>15</v>
      </c>
      <c r="E12" s="12" t="s">
        <v>182</v>
      </c>
      <c r="F12" t="s">
        <v>187</v>
      </c>
      <c r="G12" t="s">
        <v>12</v>
      </c>
      <c r="H12" t="s">
        <v>72</v>
      </c>
      <c r="I12" t="s">
        <v>175</v>
      </c>
      <c r="J12" s="12">
        <v>0.33</v>
      </c>
      <c r="K12" t="s">
        <v>107</v>
      </c>
      <c r="L12" t="s">
        <v>11</v>
      </c>
      <c r="M12" t="s">
        <v>200</v>
      </c>
      <c r="O12" t="s">
        <v>197</v>
      </c>
      <c r="P12">
        <v>4</v>
      </c>
      <c r="Q12" t="s">
        <v>198</v>
      </c>
      <c r="R12" s="6">
        <v>1.0227027006663367</v>
      </c>
      <c r="S12" s="6">
        <v>25.157810184141404</v>
      </c>
      <c r="T12" s="6">
        <v>10.71392460467014</v>
      </c>
      <c r="U12" s="6">
        <v>102.06160129220405</v>
      </c>
      <c r="V12" s="6">
        <v>0.43786671302258595</v>
      </c>
      <c r="W12" s="6">
        <v>18.17726273209993</v>
      </c>
      <c r="X12" s="6">
        <v>9.1709241584659402</v>
      </c>
      <c r="Y12" s="6">
        <v>89.073253843048718</v>
      </c>
    </row>
    <row r="13" spans="1:25" x14ac:dyDescent="0.25">
      <c r="A13" t="str">
        <f t="shared" si="0"/>
        <v>RTD Ice TeaFranceDecemberEUR (€)Fully-AutomatedOldPET Bottle0.33Medium-scaleLow</v>
      </c>
      <c r="B13" t="s">
        <v>130</v>
      </c>
      <c r="C13" t="s">
        <v>130</v>
      </c>
      <c r="D13" t="s">
        <v>15</v>
      </c>
      <c r="E13" s="12" t="s">
        <v>182</v>
      </c>
      <c r="F13" t="s">
        <v>187</v>
      </c>
      <c r="G13" t="s">
        <v>12</v>
      </c>
      <c r="H13" t="s">
        <v>72</v>
      </c>
      <c r="I13" t="s">
        <v>175</v>
      </c>
      <c r="J13" s="12">
        <v>0.33</v>
      </c>
      <c r="K13" t="s">
        <v>62</v>
      </c>
      <c r="L13" t="s">
        <v>13</v>
      </c>
      <c r="M13" t="s">
        <v>200</v>
      </c>
      <c r="O13" t="s">
        <v>197</v>
      </c>
      <c r="P13">
        <v>4</v>
      </c>
      <c r="Q13" t="s">
        <v>198</v>
      </c>
      <c r="R13" s="6">
        <v>0.94873295329187568</v>
      </c>
      <c r="S13" s="6">
        <v>23.333647424644177</v>
      </c>
      <c r="T13" s="6">
        <v>9.940424416619754</v>
      </c>
      <c r="U13" s="6">
        <v>94.688377437397804</v>
      </c>
      <c r="V13" s="6">
        <v>0.40679507659218117</v>
      </c>
      <c r="W13" s="6">
        <v>16.894630433893003</v>
      </c>
      <c r="X13" s="6">
        <v>8.5233838729327474</v>
      </c>
      <c r="Y13" s="6">
        <v>82.784409815429555</v>
      </c>
    </row>
    <row r="14" spans="1:25" x14ac:dyDescent="0.25">
      <c r="A14" t="str">
        <f t="shared" si="0"/>
        <v>RTD Ice TeaFranceDecemberEUR (€)Fully-AutomatedOldPET Bottle0.33Medium-scaleMedium</v>
      </c>
      <c r="B14" t="s">
        <v>130</v>
      </c>
      <c r="C14" t="s">
        <v>130</v>
      </c>
      <c r="D14" t="s">
        <v>15</v>
      </c>
      <c r="E14" s="12" t="s">
        <v>182</v>
      </c>
      <c r="F14" t="s">
        <v>187</v>
      </c>
      <c r="G14" t="s">
        <v>12</v>
      </c>
      <c r="H14" t="s">
        <v>72</v>
      </c>
      <c r="I14" t="s">
        <v>175</v>
      </c>
      <c r="J14" s="12">
        <v>0.33</v>
      </c>
      <c r="K14" t="s">
        <v>62</v>
      </c>
      <c r="L14" t="s">
        <v>63</v>
      </c>
      <c r="M14" t="s">
        <v>200</v>
      </c>
      <c r="O14" t="s">
        <v>197</v>
      </c>
      <c r="P14">
        <v>4</v>
      </c>
      <c r="Q14" t="s">
        <v>198</v>
      </c>
      <c r="R14" s="6">
        <v>0.98495772499968293</v>
      </c>
      <c r="S14" s="6">
        <v>24.225253502175232</v>
      </c>
      <c r="T14" s="6">
        <v>10.31976302532502</v>
      </c>
      <c r="U14" s="6">
        <v>98.30251196243708</v>
      </c>
      <c r="V14" s="6">
        <v>0.42217224737020204</v>
      </c>
      <c r="W14" s="6">
        <v>17.530937205473762</v>
      </c>
      <c r="X14" s="6">
        <v>8.8448359741974407</v>
      </c>
      <c r="Y14" s="6">
        <v>85.906016822264604</v>
      </c>
    </row>
    <row r="15" spans="1:25" x14ac:dyDescent="0.25">
      <c r="A15" t="str">
        <f t="shared" si="0"/>
        <v>RTD Ice TeaFranceDecemberEUR (€)Fully-AutomatedOldPET Bottle0.33Medium-scaleHigh</v>
      </c>
      <c r="B15" t="s">
        <v>130</v>
      </c>
      <c r="C15" t="s">
        <v>130</v>
      </c>
      <c r="D15" t="s">
        <v>15</v>
      </c>
      <c r="E15" s="12" t="s">
        <v>182</v>
      </c>
      <c r="F15" t="s">
        <v>187</v>
      </c>
      <c r="G15" t="s">
        <v>12</v>
      </c>
      <c r="H15" t="s">
        <v>72</v>
      </c>
      <c r="I15" t="s">
        <v>175</v>
      </c>
      <c r="J15" s="12">
        <v>0.33</v>
      </c>
      <c r="K15" t="s">
        <v>62</v>
      </c>
      <c r="L15" t="s">
        <v>11</v>
      </c>
      <c r="M15" t="s">
        <v>200</v>
      </c>
      <c r="O15" t="s">
        <v>197</v>
      </c>
      <c r="P15">
        <v>4</v>
      </c>
      <c r="Q15" t="s">
        <v>198</v>
      </c>
      <c r="R15" s="6">
        <v>1.0240804784441147</v>
      </c>
      <c r="S15" s="6">
        <v>25.188188065908765</v>
      </c>
      <c r="T15" s="6">
        <v>10.729448722726705</v>
      </c>
      <c r="U15" s="6">
        <v>102.20577724947947</v>
      </c>
      <c r="V15" s="6">
        <v>0.43877959181046472</v>
      </c>
      <c r="W15" s="6">
        <v>18.218148518780982</v>
      </c>
      <c r="X15" s="6">
        <v>9.1920042435633107</v>
      </c>
      <c r="Y15" s="6">
        <v>89.277352389646467</v>
      </c>
    </row>
    <row r="16" spans="1:25" x14ac:dyDescent="0.25">
      <c r="A16" t="str">
        <f t="shared" si="0"/>
        <v>RTD Ice TeaFranceDecemberEUR (€)Fully-AutomatedOldPET Bottle0.33Small-scaleLow</v>
      </c>
      <c r="B16" t="s">
        <v>130</v>
      </c>
      <c r="C16" t="s">
        <v>130</v>
      </c>
      <c r="D16" t="s">
        <v>15</v>
      </c>
      <c r="E16" s="12" t="s">
        <v>182</v>
      </c>
      <c r="F16" t="s">
        <v>187</v>
      </c>
      <c r="G16" t="s">
        <v>12</v>
      </c>
      <c r="H16" t="s">
        <v>72</v>
      </c>
      <c r="I16" t="s">
        <v>175</v>
      </c>
      <c r="J16" s="12">
        <v>0.33</v>
      </c>
      <c r="K16" t="s">
        <v>60</v>
      </c>
      <c r="L16" t="s">
        <v>13</v>
      </c>
      <c r="M16" t="s">
        <v>200</v>
      </c>
      <c r="O16" t="s">
        <v>197</v>
      </c>
      <c r="P16">
        <v>4</v>
      </c>
      <c r="Q16" t="s">
        <v>198</v>
      </c>
      <c r="R16" s="6">
        <v>0.95102924958817192</v>
      </c>
      <c r="S16" s="6">
        <v>23.384277227589777</v>
      </c>
      <c r="T16" s="6">
        <v>9.966297946714036</v>
      </c>
      <c r="U16" s="6">
        <v>94.928670699523522</v>
      </c>
      <c r="V16" s="6">
        <v>0.40831654123864586</v>
      </c>
      <c r="W16" s="6">
        <v>16.962773411694755</v>
      </c>
      <c r="X16" s="6">
        <v>8.558517348095025</v>
      </c>
      <c r="Y16" s="6">
        <v>83.124574059759112</v>
      </c>
    </row>
    <row r="17" spans="1:25" x14ac:dyDescent="0.25">
      <c r="A17" t="str">
        <f t="shared" si="0"/>
        <v>RTD Ice TeaFranceDecemberEUR (€)Fully-AutomatedOldPET Bottle0.33Small-scaleMedium</v>
      </c>
      <c r="B17" t="s">
        <v>130</v>
      </c>
      <c r="C17" t="s">
        <v>130</v>
      </c>
      <c r="D17" t="s">
        <v>15</v>
      </c>
      <c r="E17" s="12" t="s">
        <v>182</v>
      </c>
      <c r="F17" t="s">
        <v>187</v>
      </c>
      <c r="G17" t="s">
        <v>12</v>
      </c>
      <c r="H17" t="s">
        <v>72</v>
      </c>
      <c r="I17" t="s">
        <v>175</v>
      </c>
      <c r="J17" s="12">
        <v>0.33</v>
      </c>
      <c r="K17" t="s">
        <v>60</v>
      </c>
      <c r="L17" t="s">
        <v>63</v>
      </c>
      <c r="M17" t="s">
        <v>200</v>
      </c>
      <c r="O17" t="s">
        <v>197</v>
      </c>
      <c r="P17">
        <v>4</v>
      </c>
      <c r="Q17" t="s">
        <v>198</v>
      </c>
      <c r="R17" s="6">
        <v>0.98725402129597928</v>
      </c>
      <c r="S17" s="6">
        <v>24.275883305120828</v>
      </c>
      <c r="T17" s="6">
        <v>10.345636555419302</v>
      </c>
      <c r="U17" s="6">
        <v>98.542805224562784</v>
      </c>
      <c r="V17" s="6">
        <v>0.42369371201666678</v>
      </c>
      <c r="W17" s="6">
        <v>17.599080183275515</v>
      </c>
      <c r="X17" s="6">
        <v>8.8799694493597183</v>
      </c>
      <c r="Y17" s="6">
        <v>86.246181066594175</v>
      </c>
    </row>
    <row r="18" spans="1:25" x14ac:dyDescent="0.25">
      <c r="A18" t="str">
        <f t="shared" si="0"/>
        <v>RTD Ice TeaFranceDecemberEUR (€)Fully-AutomatedOldPET Bottle0.33Small-scaleHigh</v>
      </c>
      <c r="B18" t="s">
        <v>130</v>
      </c>
      <c r="C18" t="s">
        <v>130</v>
      </c>
      <c r="D18" t="s">
        <v>15</v>
      </c>
      <c r="E18" s="12" t="s">
        <v>182</v>
      </c>
      <c r="F18" t="s">
        <v>187</v>
      </c>
      <c r="G18" t="s">
        <v>12</v>
      </c>
      <c r="H18" t="s">
        <v>72</v>
      </c>
      <c r="I18" t="s">
        <v>175</v>
      </c>
      <c r="J18" s="12">
        <v>0.33</v>
      </c>
      <c r="K18" t="s">
        <v>60</v>
      </c>
      <c r="L18" t="s">
        <v>11</v>
      </c>
      <c r="M18" t="s">
        <v>200</v>
      </c>
      <c r="O18" t="s">
        <v>197</v>
      </c>
      <c r="P18">
        <v>4</v>
      </c>
      <c r="Q18" t="s">
        <v>198</v>
      </c>
      <c r="R18" s="6">
        <v>1.0263767747404109</v>
      </c>
      <c r="S18" s="6">
        <v>25.238817868854369</v>
      </c>
      <c r="T18" s="6">
        <v>10.755322252820989</v>
      </c>
      <c r="U18" s="6">
        <v>102.44607051160517</v>
      </c>
      <c r="V18" s="6">
        <v>0.4403010564569293</v>
      </c>
      <c r="W18" s="6">
        <v>18.286291496582734</v>
      </c>
      <c r="X18" s="6">
        <v>9.227137718725583</v>
      </c>
      <c r="Y18" s="6">
        <v>89.617516633976066</v>
      </c>
    </row>
    <row r="19" spans="1:25" x14ac:dyDescent="0.25">
      <c r="A19" t="str">
        <f t="shared" si="0"/>
        <v>RTD Ice TeaFranceDecemberEUR (€)Fully-AutomatedOldPET Bottle0.33High-scaleLow</v>
      </c>
      <c r="B19" t="s">
        <v>130</v>
      </c>
      <c r="C19" t="s">
        <v>130</v>
      </c>
      <c r="D19" t="s">
        <v>15</v>
      </c>
      <c r="E19" s="12" t="s">
        <v>182</v>
      </c>
      <c r="F19" t="s">
        <v>187</v>
      </c>
      <c r="G19" t="s">
        <v>12</v>
      </c>
      <c r="H19" t="s">
        <v>72</v>
      </c>
      <c r="I19" t="s">
        <v>175</v>
      </c>
      <c r="J19" s="12">
        <v>0.33</v>
      </c>
      <c r="K19" t="s">
        <v>107</v>
      </c>
      <c r="L19" t="s">
        <v>13</v>
      </c>
      <c r="M19" t="s">
        <v>199</v>
      </c>
      <c r="O19" t="s">
        <v>197</v>
      </c>
      <c r="P19">
        <v>6</v>
      </c>
      <c r="Q19" t="s">
        <v>201</v>
      </c>
      <c r="R19" s="6">
        <v>0.94735517551409787</v>
      </c>
      <c r="S19" s="6">
        <v>23.303269542876816</v>
      </c>
      <c r="T19" s="6">
        <v>9.924900298563184</v>
      </c>
      <c r="U19" s="6">
        <v>94.544201480122396</v>
      </c>
      <c r="V19" s="6">
        <v>0.41371478349866908</v>
      </c>
      <c r="W19" s="6">
        <v>12.889026435685027</v>
      </c>
      <c r="X19" s="6">
        <v>8.0263779372601718</v>
      </c>
      <c r="Y19" s="6">
        <v>76.013793774034298</v>
      </c>
    </row>
    <row r="20" spans="1:25" x14ac:dyDescent="0.25">
      <c r="A20" t="str">
        <f t="shared" si="0"/>
        <v>RTD Ice TeaFranceDecemberEUR (€)Fully-AutomatedOldPET Bottle0.33High-scaleMedium</v>
      </c>
      <c r="B20" t="s">
        <v>130</v>
      </c>
      <c r="C20" t="s">
        <v>130</v>
      </c>
      <c r="D20" t="s">
        <v>15</v>
      </c>
      <c r="E20" s="12" t="s">
        <v>182</v>
      </c>
      <c r="F20" t="s">
        <v>187</v>
      </c>
      <c r="G20" t="s">
        <v>12</v>
      </c>
      <c r="H20" t="s">
        <v>72</v>
      </c>
      <c r="I20" t="s">
        <v>175</v>
      </c>
      <c r="J20" s="12">
        <v>0.33</v>
      </c>
      <c r="K20" t="s">
        <v>107</v>
      </c>
      <c r="L20" t="s">
        <v>63</v>
      </c>
      <c r="M20" t="s">
        <v>199</v>
      </c>
      <c r="O20" t="s">
        <v>197</v>
      </c>
      <c r="P20">
        <v>6</v>
      </c>
      <c r="Q20" t="s">
        <v>201</v>
      </c>
      <c r="R20" s="6">
        <v>0.98357994722190512</v>
      </c>
      <c r="S20" s="6">
        <v>24.194875620407874</v>
      </c>
      <c r="T20" s="6">
        <v>10.304238907268452</v>
      </c>
      <c r="U20" s="6">
        <v>98.158336005161644</v>
      </c>
      <c r="V20" s="6">
        <v>0.42929171184613141</v>
      </c>
      <c r="W20" s="6">
        <v>13.372105070848308</v>
      </c>
      <c r="X20" s="6">
        <v>8.3277878284672422</v>
      </c>
      <c r="Y20" s="6">
        <v>78.867714015515432</v>
      </c>
    </row>
    <row r="21" spans="1:25" x14ac:dyDescent="0.25">
      <c r="A21" t="str">
        <f t="shared" si="0"/>
        <v>RTD Ice TeaFranceDecemberEUR (€)Fully-AutomatedOldPET Bottle0.33High-scaleHigh</v>
      </c>
      <c r="B21" t="s">
        <v>130</v>
      </c>
      <c r="C21" t="s">
        <v>130</v>
      </c>
      <c r="D21" t="s">
        <v>15</v>
      </c>
      <c r="E21" s="12" t="s">
        <v>182</v>
      </c>
      <c r="F21" t="s">
        <v>187</v>
      </c>
      <c r="G21" t="s">
        <v>12</v>
      </c>
      <c r="H21" t="s">
        <v>72</v>
      </c>
      <c r="I21" t="s">
        <v>175</v>
      </c>
      <c r="J21" s="12">
        <v>0.33</v>
      </c>
      <c r="K21" t="s">
        <v>107</v>
      </c>
      <c r="L21" t="s">
        <v>11</v>
      </c>
      <c r="M21" t="s">
        <v>199</v>
      </c>
      <c r="O21" t="s">
        <v>197</v>
      </c>
      <c r="P21">
        <v>6</v>
      </c>
      <c r="Q21" t="s">
        <v>201</v>
      </c>
      <c r="R21" s="6">
        <v>1.0227027006663367</v>
      </c>
      <c r="S21" s="6">
        <v>25.157810184141404</v>
      </c>
      <c r="T21" s="6">
        <v>10.71392460467014</v>
      </c>
      <c r="U21" s="6">
        <v>102.06160129220405</v>
      </c>
      <c r="V21" s="6">
        <v>0.44611479446139074</v>
      </c>
      <c r="W21" s="6">
        <v>13.893829996824648</v>
      </c>
      <c r="X21" s="6">
        <v>8.6533105109708792</v>
      </c>
      <c r="Y21" s="6">
        <v>81.949947876315079</v>
      </c>
    </row>
    <row r="22" spans="1:25" x14ac:dyDescent="0.25">
      <c r="A22" t="str">
        <f t="shared" si="0"/>
        <v>RTD Ice TeaFranceDecemberEUR (€)Fully-AutomatedOldPET Bottle0.33Medium-scaleLow</v>
      </c>
      <c r="B22" t="s">
        <v>130</v>
      </c>
      <c r="C22" t="s">
        <v>130</v>
      </c>
      <c r="D22" t="s">
        <v>15</v>
      </c>
      <c r="E22" s="12" t="s">
        <v>182</v>
      </c>
      <c r="F22" t="s">
        <v>187</v>
      </c>
      <c r="G22" t="s">
        <v>12</v>
      </c>
      <c r="H22" t="s">
        <v>72</v>
      </c>
      <c r="I22" t="s">
        <v>175</v>
      </c>
      <c r="J22" s="12">
        <v>0.33</v>
      </c>
      <c r="K22" t="s">
        <v>62</v>
      </c>
      <c r="L22" t="s">
        <v>13</v>
      </c>
      <c r="M22" t="s">
        <v>199</v>
      </c>
      <c r="O22" t="s">
        <v>197</v>
      </c>
      <c r="P22">
        <v>6</v>
      </c>
      <c r="Q22" t="s">
        <v>201</v>
      </c>
      <c r="R22" s="6">
        <v>0.94873295329187568</v>
      </c>
      <c r="S22" s="6">
        <v>23.333647424644177</v>
      </c>
      <c r="T22" s="6">
        <v>9.940424416619754</v>
      </c>
      <c r="U22" s="6">
        <v>94.688377437397804</v>
      </c>
      <c r="V22" s="6">
        <v>0.4147286723875579</v>
      </c>
      <c r="W22" s="6">
        <v>12.922735837313118</v>
      </c>
      <c r="X22" s="6">
        <v>8.0474580223575369</v>
      </c>
      <c r="Y22" s="6">
        <v>76.213293326913288</v>
      </c>
    </row>
    <row r="23" spans="1:25" x14ac:dyDescent="0.25">
      <c r="A23" t="str">
        <f t="shared" si="0"/>
        <v>RTD Ice TeaFranceDecemberEUR (€)Fully-AutomatedOldPET Bottle0.33Medium-scaleMedium</v>
      </c>
      <c r="B23" t="s">
        <v>130</v>
      </c>
      <c r="C23" t="s">
        <v>130</v>
      </c>
      <c r="D23" t="s">
        <v>15</v>
      </c>
      <c r="E23" s="12" t="s">
        <v>182</v>
      </c>
      <c r="F23" t="s">
        <v>187</v>
      </c>
      <c r="G23" t="s">
        <v>12</v>
      </c>
      <c r="H23" t="s">
        <v>72</v>
      </c>
      <c r="I23" t="s">
        <v>175</v>
      </c>
      <c r="J23" s="12">
        <v>0.33</v>
      </c>
      <c r="K23" t="s">
        <v>62</v>
      </c>
      <c r="L23" t="s">
        <v>63</v>
      </c>
      <c r="M23" t="s">
        <v>199</v>
      </c>
      <c r="O23" t="s">
        <v>197</v>
      </c>
      <c r="P23">
        <v>6</v>
      </c>
      <c r="Q23" t="s">
        <v>201</v>
      </c>
      <c r="R23" s="6">
        <v>0.98495772499968293</v>
      </c>
      <c r="S23" s="6">
        <v>24.225253502175232</v>
      </c>
      <c r="T23" s="6">
        <v>10.31976302532502</v>
      </c>
      <c r="U23" s="6">
        <v>98.30251196243708</v>
      </c>
      <c r="V23" s="6">
        <v>0.43030560073502022</v>
      </c>
      <c r="W23" s="6">
        <v>13.405814472476393</v>
      </c>
      <c r="X23" s="6">
        <v>8.3488679135646091</v>
      </c>
      <c r="Y23" s="6">
        <v>79.067213568394436</v>
      </c>
    </row>
    <row r="24" spans="1:25" x14ac:dyDescent="0.25">
      <c r="A24" t="str">
        <f t="shared" si="0"/>
        <v>RTD Ice TeaFranceDecemberEUR (€)Fully-AutomatedOldPET Bottle0.33Medium-scaleHigh</v>
      </c>
      <c r="B24" t="s">
        <v>130</v>
      </c>
      <c r="C24" t="s">
        <v>130</v>
      </c>
      <c r="D24" t="s">
        <v>15</v>
      </c>
      <c r="E24" s="12" t="s">
        <v>182</v>
      </c>
      <c r="F24" t="s">
        <v>187</v>
      </c>
      <c r="G24" t="s">
        <v>12</v>
      </c>
      <c r="H24" t="s">
        <v>72</v>
      </c>
      <c r="I24" t="s">
        <v>175</v>
      </c>
      <c r="J24" s="12">
        <v>0.33</v>
      </c>
      <c r="K24" t="s">
        <v>62</v>
      </c>
      <c r="L24" t="s">
        <v>11</v>
      </c>
      <c r="M24" t="s">
        <v>199</v>
      </c>
      <c r="O24" t="s">
        <v>197</v>
      </c>
      <c r="P24">
        <v>6</v>
      </c>
      <c r="Q24" t="s">
        <v>201</v>
      </c>
      <c r="R24" s="6">
        <v>1.0240804784441147</v>
      </c>
      <c r="S24" s="6">
        <v>25.188188065908765</v>
      </c>
      <c r="T24" s="6">
        <v>10.729448722726705</v>
      </c>
      <c r="U24" s="6">
        <v>102.20577724947947</v>
      </c>
      <c r="V24" s="6">
        <v>0.44712868335027967</v>
      </c>
      <c r="W24" s="6">
        <v>13.927539398452735</v>
      </c>
      <c r="X24" s="6">
        <v>8.6743905960682461</v>
      </c>
      <c r="Y24" s="6">
        <v>82.149447429194069</v>
      </c>
    </row>
    <row r="25" spans="1:25" x14ac:dyDescent="0.25">
      <c r="A25" t="str">
        <f t="shared" si="0"/>
        <v>RTD Ice TeaFranceDecemberEUR (€)Fully-AutomatedOldPET Bottle0.33Small-scaleLow</v>
      </c>
      <c r="B25" t="s">
        <v>130</v>
      </c>
      <c r="C25" t="s">
        <v>130</v>
      </c>
      <c r="D25" t="s">
        <v>15</v>
      </c>
      <c r="E25" s="12" t="s">
        <v>182</v>
      </c>
      <c r="F25" t="s">
        <v>187</v>
      </c>
      <c r="G25" t="s">
        <v>12</v>
      </c>
      <c r="H25" t="s">
        <v>72</v>
      </c>
      <c r="I25" t="s">
        <v>175</v>
      </c>
      <c r="J25" s="12">
        <v>0.33</v>
      </c>
      <c r="K25" t="s">
        <v>60</v>
      </c>
      <c r="L25" t="s">
        <v>13</v>
      </c>
      <c r="M25" t="s">
        <v>199</v>
      </c>
      <c r="O25" t="s">
        <v>197</v>
      </c>
      <c r="P25">
        <v>6</v>
      </c>
      <c r="Q25" t="s">
        <v>201</v>
      </c>
      <c r="R25" s="6">
        <v>0.95102924958817192</v>
      </c>
      <c r="S25" s="6">
        <v>23.384277227589777</v>
      </c>
      <c r="T25" s="6">
        <v>9.966297946714036</v>
      </c>
      <c r="U25" s="6">
        <v>94.928670699523522</v>
      </c>
      <c r="V25" s="6">
        <v>0.41641848720237273</v>
      </c>
      <c r="W25" s="6">
        <v>12.978918173359933</v>
      </c>
      <c r="X25" s="6">
        <v>8.0825914975198128</v>
      </c>
      <c r="Y25" s="6">
        <v>76.545792581711567</v>
      </c>
    </row>
    <row r="26" spans="1:25" x14ac:dyDescent="0.25">
      <c r="A26" t="str">
        <f t="shared" si="0"/>
        <v>RTD Ice TeaFranceDecemberEUR (€)Fully-AutomatedOldPET Bottle0.33Small-scaleMedium</v>
      </c>
      <c r="B26" t="s">
        <v>130</v>
      </c>
      <c r="C26" t="s">
        <v>130</v>
      </c>
      <c r="D26" t="s">
        <v>15</v>
      </c>
      <c r="E26" s="12" t="s">
        <v>182</v>
      </c>
      <c r="F26" t="s">
        <v>187</v>
      </c>
      <c r="G26" t="s">
        <v>12</v>
      </c>
      <c r="H26" t="s">
        <v>72</v>
      </c>
      <c r="I26" t="s">
        <v>175</v>
      </c>
      <c r="J26" s="12">
        <v>0.33</v>
      </c>
      <c r="K26" t="s">
        <v>60</v>
      </c>
      <c r="L26" t="s">
        <v>63</v>
      </c>
      <c r="M26" t="s">
        <v>199</v>
      </c>
      <c r="O26" t="s">
        <v>197</v>
      </c>
      <c r="P26">
        <v>6</v>
      </c>
      <c r="Q26" t="s">
        <v>201</v>
      </c>
      <c r="R26" s="6">
        <v>0.98725402129597928</v>
      </c>
      <c r="S26" s="6">
        <v>24.275883305120828</v>
      </c>
      <c r="T26" s="6">
        <v>10.345636555419302</v>
      </c>
      <c r="U26" s="6">
        <v>98.542805224562784</v>
      </c>
      <c r="V26" s="6">
        <v>0.43199541554983506</v>
      </c>
      <c r="W26" s="6">
        <v>13.46199680852321</v>
      </c>
      <c r="X26" s="6">
        <v>8.3840013887268849</v>
      </c>
      <c r="Y26" s="6">
        <v>79.399712823192715</v>
      </c>
    </row>
    <row r="27" spans="1:25" x14ac:dyDescent="0.25">
      <c r="A27" t="str">
        <f t="shared" si="0"/>
        <v>RTD Ice TeaFranceDecemberEUR (€)Fully-AutomatedOldPET Bottle0.33Small-scaleHigh</v>
      </c>
      <c r="B27" t="s">
        <v>130</v>
      </c>
      <c r="C27" t="s">
        <v>130</v>
      </c>
      <c r="D27" t="s">
        <v>15</v>
      </c>
      <c r="E27" s="12" t="s">
        <v>182</v>
      </c>
      <c r="F27" t="s">
        <v>187</v>
      </c>
      <c r="G27" t="s">
        <v>12</v>
      </c>
      <c r="H27" t="s">
        <v>72</v>
      </c>
      <c r="I27" t="s">
        <v>175</v>
      </c>
      <c r="J27" s="12">
        <v>0.33</v>
      </c>
      <c r="K27" t="s">
        <v>60</v>
      </c>
      <c r="L27" t="s">
        <v>11</v>
      </c>
      <c r="M27" t="s">
        <v>199</v>
      </c>
      <c r="O27" t="s">
        <v>197</v>
      </c>
      <c r="P27">
        <v>6</v>
      </c>
      <c r="Q27" t="s">
        <v>201</v>
      </c>
      <c r="R27" s="6">
        <v>1.0263767747404109</v>
      </c>
      <c r="S27" s="6">
        <v>25.238817868854369</v>
      </c>
      <c r="T27" s="6">
        <v>10.755322252820989</v>
      </c>
      <c r="U27" s="6">
        <v>102.44607051160517</v>
      </c>
      <c r="V27" s="6">
        <v>0.44881849816509445</v>
      </c>
      <c r="W27" s="6">
        <v>13.98372173449955</v>
      </c>
      <c r="X27" s="6">
        <v>8.709524071230522</v>
      </c>
      <c r="Y27" s="6">
        <v>82.481946683992362</v>
      </c>
    </row>
    <row r="28" spans="1:25" x14ac:dyDescent="0.25">
      <c r="A28" t="str">
        <f t="shared" si="0"/>
        <v>RTD Ice TeaFranceDecemberEUR (€)Fully-AutomatedOldPET Bottle0.33High-scaleLow</v>
      </c>
      <c r="B28" t="s">
        <v>130</v>
      </c>
      <c r="C28" t="s">
        <v>130</v>
      </c>
      <c r="D28" t="s">
        <v>15</v>
      </c>
      <c r="E28" s="12" t="s">
        <v>182</v>
      </c>
      <c r="F28" t="s">
        <v>187</v>
      </c>
      <c r="G28" t="s">
        <v>12</v>
      </c>
      <c r="H28" t="s">
        <v>72</v>
      </c>
      <c r="I28" t="s">
        <v>175</v>
      </c>
      <c r="J28" s="12">
        <v>0.33</v>
      </c>
      <c r="K28" t="s">
        <v>107</v>
      </c>
      <c r="L28" t="s">
        <v>13</v>
      </c>
      <c r="M28" t="s">
        <v>200</v>
      </c>
      <c r="O28" t="s">
        <v>197</v>
      </c>
      <c r="P28">
        <v>6</v>
      </c>
      <c r="Q28" t="s">
        <v>201</v>
      </c>
      <c r="R28" s="6">
        <v>0.94735517551409787</v>
      </c>
      <c r="S28" s="6">
        <v>23.303269542876816</v>
      </c>
      <c r="T28" s="6">
        <v>9.924900298563184</v>
      </c>
      <c r="U28" s="6">
        <v>94.544201480122396</v>
      </c>
      <c r="V28" s="6">
        <v>0.36918829578297718</v>
      </c>
      <c r="W28" s="6">
        <v>15.874552059514997</v>
      </c>
      <c r="X28" s="6">
        <v>7.987496748243915</v>
      </c>
      <c r="Y28" s="6">
        <v>77.59910553606349</v>
      </c>
    </row>
    <row r="29" spans="1:25" x14ac:dyDescent="0.25">
      <c r="A29" t="str">
        <f t="shared" si="0"/>
        <v>RTD Ice TeaFranceDecemberEUR (€)Fully-AutomatedOldPET Bottle0.33High-scaleMedium</v>
      </c>
      <c r="B29" t="s">
        <v>130</v>
      </c>
      <c r="C29" t="s">
        <v>130</v>
      </c>
      <c r="D29" t="s">
        <v>15</v>
      </c>
      <c r="E29" s="12" t="s">
        <v>182</v>
      </c>
      <c r="F29" t="s">
        <v>187</v>
      </c>
      <c r="G29" t="s">
        <v>12</v>
      </c>
      <c r="H29" t="s">
        <v>72</v>
      </c>
      <c r="I29" t="s">
        <v>175</v>
      </c>
      <c r="J29" s="12">
        <v>0.33</v>
      </c>
      <c r="K29" t="s">
        <v>107</v>
      </c>
      <c r="L29" t="s">
        <v>63</v>
      </c>
      <c r="M29" t="s">
        <v>200</v>
      </c>
      <c r="O29" t="s">
        <v>197</v>
      </c>
      <c r="P29">
        <v>6</v>
      </c>
      <c r="Q29" t="s">
        <v>201</v>
      </c>
      <c r="R29" s="6">
        <v>0.98357994722190512</v>
      </c>
      <c r="S29" s="6">
        <v>24.194875620407874</v>
      </c>
      <c r="T29" s="6">
        <v>10.304238907268452</v>
      </c>
      <c r="U29" s="6">
        <v>98.158336005161644</v>
      </c>
      <c r="V29" s="6">
        <v>0.38315416263710106</v>
      </c>
      <c r="W29" s="6">
        <v>16.473197577722797</v>
      </c>
      <c r="X29" s="6">
        <v>8.2891485787550891</v>
      </c>
      <c r="Y29" s="6">
        <v>80.529127707022823</v>
      </c>
    </row>
    <row r="30" spans="1:25" x14ac:dyDescent="0.25">
      <c r="A30" t="str">
        <f t="shared" si="0"/>
        <v>RTD Ice TeaFranceDecemberEUR (€)Fully-AutomatedOldPET Bottle0.33High-scaleHigh</v>
      </c>
      <c r="B30" t="s">
        <v>130</v>
      </c>
      <c r="C30" t="s">
        <v>130</v>
      </c>
      <c r="D30" t="s">
        <v>15</v>
      </c>
      <c r="E30" s="12" t="s">
        <v>182</v>
      </c>
      <c r="F30" t="s">
        <v>187</v>
      </c>
      <c r="G30" t="s">
        <v>12</v>
      </c>
      <c r="H30" t="s">
        <v>72</v>
      </c>
      <c r="I30" t="s">
        <v>175</v>
      </c>
      <c r="J30" s="12">
        <v>0.33</v>
      </c>
      <c r="K30" t="s">
        <v>107</v>
      </c>
      <c r="L30" t="s">
        <v>11</v>
      </c>
      <c r="M30" t="s">
        <v>200</v>
      </c>
      <c r="O30" t="s">
        <v>197</v>
      </c>
      <c r="P30">
        <v>6</v>
      </c>
      <c r="Q30" t="s">
        <v>201</v>
      </c>
      <c r="R30" s="6">
        <v>1.0227027006663367</v>
      </c>
      <c r="S30" s="6">
        <v>25.157810184141404</v>
      </c>
      <c r="T30" s="6">
        <v>10.71392460467014</v>
      </c>
      <c r="U30" s="6">
        <v>102.06160129220405</v>
      </c>
      <c r="V30" s="6">
        <v>0.39823729883955478</v>
      </c>
      <c r="W30" s="6">
        <v>17.119734737387219</v>
      </c>
      <c r="X30" s="6">
        <v>8.6149325557071563</v>
      </c>
      <c r="Y30" s="6">
        <v>83.693551651658936</v>
      </c>
    </row>
    <row r="31" spans="1:25" x14ac:dyDescent="0.25">
      <c r="A31" t="str">
        <f t="shared" si="0"/>
        <v>RTD Ice TeaFranceDecemberEUR (€)Fully-AutomatedOldPET Bottle0.33Medium-scaleLow</v>
      </c>
      <c r="B31" t="s">
        <v>130</v>
      </c>
      <c r="C31" t="s">
        <v>130</v>
      </c>
      <c r="D31" t="s">
        <v>15</v>
      </c>
      <c r="E31" s="12" t="s">
        <v>182</v>
      </c>
      <c r="F31" t="s">
        <v>187</v>
      </c>
      <c r="G31" t="s">
        <v>12</v>
      </c>
      <c r="H31" t="s">
        <v>72</v>
      </c>
      <c r="I31" t="s">
        <v>175</v>
      </c>
      <c r="J31" s="12">
        <v>0.33</v>
      </c>
      <c r="K31" t="s">
        <v>62</v>
      </c>
      <c r="L31" t="s">
        <v>13</v>
      </c>
      <c r="M31" t="s">
        <v>200</v>
      </c>
      <c r="O31" t="s">
        <v>197</v>
      </c>
      <c r="P31">
        <v>6</v>
      </c>
      <c r="Q31" t="s">
        <v>201</v>
      </c>
      <c r="R31" s="6">
        <v>0.94873295329187568</v>
      </c>
      <c r="S31" s="6">
        <v>23.333647424644177</v>
      </c>
      <c r="T31" s="6">
        <v>9.940424416619754</v>
      </c>
      <c r="U31" s="6">
        <v>94.688377437397804</v>
      </c>
      <c r="V31" s="6">
        <v>0.37010117457085606</v>
      </c>
      <c r="W31" s="6">
        <v>15.915437846196047</v>
      </c>
      <c r="X31" s="6">
        <v>8.0085768333412801</v>
      </c>
      <c r="Y31" s="6">
        <v>77.803204082661239</v>
      </c>
    </row>
    <row r="32" spans="1:25" x14ac:dyDescent="0.25">
      <c r="A32" t="str">
        <f t="shared" si="0"/>
        <v>RTD Ice TeaFranceDecemberEUR (€)Fully-AutomatedOldPET Bottle0.33Medium-scaleMedium</v>
      </c>
      <c r="B32" t="s">
        <v>130</v>
      </c>
      <c r="C32" t="s">
        <v>130</v>
      </c>
      <c r="D32" t="s">
        <v>15</v>
      </c>
      <c r="E32" s="12" t="s">
        <v>182</v>
      </c>
      <c r="F32" t="s">
        <v>187</v>
      </c>
      <c r="G32" t="s">
        <v>12</v>
      </c>
      <c r="H32" t="s">
        <v>72</v>
      </c>
      <c r="I32" t="s">
        <v>175</v>
      </c>
      <c r="J32" s="12">
        <v>0.33</v>
      </c>
      <c r="K32" t="s">
        <v>62</v>
      </c>
      <c r="L32" t="s">
        <v>63</v>
      </c>
      <c r="M32" t="s">
        <v>200</v>
      </c>
      <c r="O32" t="s">
        <v>197</v>
      </c>
      <c r="P32">
        <v>6</v>
      </c>
      <c r="Q32" t="s">
        <v>201</v>
      </c>
      <c r="R32" s="6">
        <v>0.98495772499968293</v>
      </c>
      <c r="S32" s="6">
        <v>24.225253502175232</v>
      </c>
      <c r="T32" s="6">
        <v>10.31976302532502</v>
      </c>
      <c r="U32" s="6">
        <v>98.30251196243708</v>
      </c>
      <c r="V32" s="6">
        <v>0.38406704142497983</v>
      </c>
      <c r="W32" s="6">
        <v>16.514083364403849</v>
      </c>
      <c r="X32" s="6">
        <v>8.3102286638524561</v>
      </c>
      <c r="Y32" s="6">
        <v>80.733226253620614</v>
      </c>
    </row>
    <row r="33" spans="1:25" x14ac:dyDescent="0.25">
      <c r="A33" t="str">
        <f t="shared" si="0"/>
        <v>RTD Ice TeaFranceDecemberEUR (€)Fully-AutomatedOldPET Bottle0.33Medium-scaleHigh</v>
      </c>
      <c r="B33" t="s">
        <v>130</v>
      </c>
      <c r="C33" t="s">
        <v>130</v>
      </c>
      <c r="D33" t="s">
        <v>15</v>
      </c>
      <c r="E33" s="12" t="s">
        <v>182</v>
      </c>
      <c r="F33" t="s">
        <v>187</v>
      </c>
      <c r="G33" t="s">
        <v>12</v>
      </c>
      <c r="H33" t="s">
        <v>72</v>
      </c>
      <c r="I33" t="s">
        <v>175</v>
      </c>
      <c r="J33" s="12">
        <v>0.33</v>
      </c>
      <c r="K33" t="s">
        <v>62</v>
      </c>
      <c r="L33" t="s">
        <v>11</v>
      </c>
      <c r="M33" t="s">
        <v>200</v>
      </c>
      <c r="O33" t="s">
        <v>197</v>
      </c>
      <c r="P33">
        <v>6</v>
      </c>
      <c r="Q33" t="s">
        <v>201</v>
      </c>
      <c r="R33" s="6">
        <v>1.0240804784441147</v>
      </c>
      <c r="S33" s="6">
        <v>25.188188065908765</v>
      </c>
      <c r="T33" s="6">
        <v>10.729448722726705</v>
      </c>
      <c r="U33" s="6">
        <v>102.20577724947947</v>
      </c>
      <c r="V33" s="6">
        <v>0.3991501776274336</v>
      </c>
      <c r="W33" s="6">
        <v>17.160620524068271</v>
      </c>
      <c r="X33" s="6">
        <v>8.636012640804525</v>
      </c>
      <c r="Y33" s="6">
        <v>83.897650198256713</v>
      </c>
    </row>
    <row r="34" spans="1:25" x14ac:dyDescent="0.25">
      <c r="A34" t="str">
        <f t="shared" si="0"/>
        <v>RTD Ice TeaFranceDecemberEUR (€)Fully-AutomatedOldPET Bottle0.33Small-scaleLow</v>
      </c>
      <c r="B34" t="s">
        <v>130</v>
      </c>
      <c r="C34" t="s">
        <v>130</v>
      </c>
      <c r="D34" t="s">
        <v>15</v>
      </c>
      <c r="E34" s="12" t="s">
        <v>182</v>
      </c>
      <c r="F34" t="s">
        <v>187</v>
      </c>
      <c r="G34" t="s">
        <v>12</v>
      </c>
      <c r="H34" t="s">
        <v>72</v>
      </c>
      <c r="I34" t="s">
        <v>175</v>
      </c>
      <c r="J34" s="12">
        <v>0.33</v>
      </c>
      <c r="K34" t="s">
        <v>60</v>
      </c>
      <c r="L34" t="s">
        <v>13</v>
      </c>
      <c r="M34" t="s">
        <v>200</v>
      </c>
      <c r="O34" t="s">
        <v>197</v>
      </c>
      <c r="P34">
        <v>6</v>
      </c>
      <c r="Q34" t="s">
        <v>201</v>
      </c>
      <c r="R34" s="6">
        <v>0.95102924958817192</v>
      </c>
      <c r="S34" s="6">
        <v>23.384277227589777</v>
      </c>
      <c r="T34" s="6">
        <v>9.966297946714036</v>
      </c>
      <c r="U34" s="6">
        <v>94.928670699523522</v>
      </c>
      <c r="V34" s="6">
        <v>0.37162263921732069</v>
      </c>
      <c r="W34" s="6">
        <v>15.983580823997801</v>
      </c>
      <c r="X34" s="6">
        <v>8.0437103085035577</v>
      </c>
      <c r="Y34" s="6">
        <v>78.14336832699081</v>
      </c>
    </row>
    <row r="35" spans="1:25" x14ac:dyDescent="0.25">
      <c r="A35" t="str">
        <f t="shared" si="0"/>
        <v>RTD Ice TeaFranceDecemberEUR (€)Fully-AutomatedOldPET Bottle0.33Small-scaleMedium</v>
      </c>
      <c r="B35" t="s">
        <v>130</v>
      </c>
      <c r="C35" t="s">
        <v>130</v>
      </c>
      <c r="D35" t="s">
        <v>15</v>
      </c>
      <c r="E35" s="12" t="s">
        <v>182</v>
      </c>
      <c r="F35" t="s">
        <v>187</v>
      </c>
      <c r="G35" t="s">
        <v>12</v>
      </c>
      <c r="H35" t="s">
        <v>72</v>
      </c>
      <c r="I35" t="s">
        <v>175</v>
      </c>
      <c r="J35" s="12">
        <v>0.33</v>
      </c>
      <c r="K35" t="s">
        <v>60</v>
      </c>
      <c r="L35" t="s">
        <v>63</v>
      </c>
      <c r="M35" t="s">
        <v>200</v>
      </c>
      <c r="O35" t="s">
        <v>197</v>
      </c>
      <c r="P35">
        <v>6</v>
      </c>
      <c r="Q35" t="s">
        <v>201</v>
      </c>
      <c r="R35" s="6">
        <v>0.98725402129597928</v>
      </c>
      <c r="S35" s="6">
        <v>24.275883305120828</v>
      </c>
      <c r="T35" s="6">
        <v>10.345636555419302</v>
      </c>
      <c r="U35" s="6">
        <v>98.542805224562784</v>
      </c>
      <c r="V35" s="6">
        <v>0.38558850607144446</v>
      </c>
      <c r="W35" s="6">
        <v>16.582226342205601</v>
      </c>
      <c r="X35" s="6">
        <v>8.3453621390147337</v>
      </c>
      <c r="Y35" s="6">
        <v>81.073390497950186</v>
      </c>
    </row>
    <row r="36" spans="1:25" x14ac:dyDescent="0.25">
      <c r="A36" t="str">
        <f t="shared" si="0"/>
        <v>RTD Ice TeaFranceDecemberEUR (€)Fully-AutomatedOldPET Bottle0.33Small-scaleHigh</v>
      </c>
      <c r="B36" t="s">
        <v>130</v>
      </c>
      <c r="C36" t="s">
        <v>130</v>
      </c>
      <c r="D36" t="s">
        <v>15</v>
      </c>
      <c r="E36" s="12" t="s">
        <v>182</v>
      </c>
      <c r="F36" t="s">
        <v>187</v>
      </c>
      <c r="G36" t="s">
        <v>12</v>
      </c>
      <c r="H36" t="s">
        <v>72</v>
      </c>
      <c r="I36" t="s">
        <v>175</v>
      </c>
      <c r="J36" s="12">
        <v>0.33</v>
      </c>
      <c r="K36" t="s">
        <v>60</v>
      </c>
      <c r="L36" t="s">
        <v>11</v>
      </c>
      <c r="M36" t="s">
        <v>200</v>
      </c>
      <c r="O36" t="s">
        <v>197</v>
      </c>
      <c r="P36">
        <v>6</v>
      </c>
      <c r="Q36" t="s">
        <v>201</v>
      </c>
      <c r="R36" s="6">
        <v>1.0263767747404109</v>
      </c>
      <c r="S36" s="6">
        <v>25.238817868854369</v>
      </c>
      <c r="T36" s="6">
        <v>10.755322252820989</v>
      </c>
      <c r="U36" s="6">
        <v>102.44607051160517</v>
      </c>
      <c r="V36" s="6">
        <v>0.40067164227389818</v>
      </c>
      <c r="W36" s="6">
        <v>17.228763501870024</v>
      </c>
      <c r="X36" s="6">
        <v>8.6711461159667991</v>
      </c>
      <c r="Y36" s="6">
        <v>84.237814442586284</v>
      </c>
    </row>
    <row r="37" spans="1:25" x14ac:dyDescent="0.25">
      <c r="A37" t="str">
        <f t="shared" si="0"/>
        <v>RTD Ice TeaFranceDecemberEUR (€)Fully-AutomatedOldPET Bottle0.33High-scaleLow</v>
      </c>
      <c r="B37" t="s">
        <v>130</v>
      </c>
      <c r="C37" t="s">
        <v>130</v>
      </c>
      <c r="D37" t="s">
        <v>15</v>
      </c>
      <c r="E37" s="12" t="s">
        <v>182</v>
      </c>
      <c r="F37" t="s">
        <v>187</v>
      </c>
      <c r="G37" t="s">
        <v>12</v>
      </c>
      <c r="H37" t="s">
        <v>72</v>
      </c>
      <c r="I37" t="s">
        <v>175</v>
      </c>
      <c r="J37" s="12">
        <v>0.33</v>
      </c>
      <c r="K37" t="s">
        <v>107</v>
      </c>
      <c r="L37" t="s">
        <v>13</v>
      </c>
      <c r="M37" t="s">
        <v>199</v>
      </c>
      <c r="O37" t="s">
        <v>197</v>
      </c>
      <c r="P37">
        <v>8</v>
      </c>
      <c r="Q37" t="s">
        <v>202</v>
      </c>
      <c r="R37" s="6">
        <v>0.94735517551409787</v>
      </c>
      <c r="S37" s="6">
        <v>23.303269542876816</v>
      </c>
      <c r="T37" s="6">
        <v>9.924900298563184</v>
      </c>
      <c r="U37" s="6">
        <v>94.544201480122396</v>
      </c>
      <c r="V37" s="6">
        <v>0.39373046157401143</v>
      </c>
      <c r="W37" s="6">
        <v>12.355736193415291</v>
      </c>
      <c r="X37" s="6">
        <v>7.7460024786268313</v>
      </c>
      <c r="Y37" s="6">
        <v>73.300917425295481</v>
      </c>
    </row>
    <row r="38" spans="1:25" x14ac:dyDescent="0.25">
      <c r="A38" t="str">
        <f t="shared" si="0"/>
        <v>RTD Ice TeaFranceDecemberEUR (€)Fully-AutomatedOldPET Bottle0.33High-scaleMedium</v>
      </c>
      <c r="B38" t="s">
        <v>130</v>
      </c>
      <c r="C38" t="s">
        <v>130</v>
      </c>
      <c r="D38" t="s">
        <v>15</v>
      </c>
      <c r="E38" s="12" t="s">
        <v>182</v>
      </c>
      <c r="F38" t="s">
        <v>187</v>
      </c>
      <c r="G38" t="s">
        <v>12</v>
      </c>
      <c r="H38" t="s">
        <v>72</v>
      </c>
      <c r="I38" t="s">
        <v>175</v>
      </c>
      <c r="J38" s="12">
        <v>0.33</v>
      </c>
      <c r="K38" t="s">
        <v>107</v>
      </c>
      <c r="L38" t="s">
        <v>63</v>
      </c>
      <c r="M38" t="s">
        <v>199</v>
      </c>
      <c r="O38" t="s">
        <v>197</v>
      </c>
      <c r="P38">
        <v>8</v>
      </c>
      <c r="Q38" t="s">
        <v>202</v>
      </c>
      <c r="R38" s="6">
        <v>0.98357994722190512</v>
      </c>
      <c r="S38" s="6">
        <v>24.194875620407874</v>
      </c>
      <c r="T38" s="6">
        <v>10.304238907268452</v>
      </c>
      <c r="U38" s="6">
        <v>98.158336005161644</v>
      </c>
      <c r="V38" s="6">
        <v>0.40853876215514079</v>
      </c>
      <c r="W38" s="6">
        <v>12.81830366541435</v>
      </c>
      <c r="X38" s="6">
        <v>8.0366286983480055</v>
      </c>
      <c r="Y38" s="6">
        <v>76.050496268748205</v>
      </c>
    </row>
    <row r="39" spans="1:25" x14ac:dyDescent="0.25">
      <c r="A39" t="str">
        <f t="shared" si="0"/>
        <v>RTD Ice TeaFranceDecemberEUR (€)Fully-AutomatedOldPET Bottle0.33High-scaleHigh</v>
      </c>
      <c r="B39" t="s">
        <v>130</v>
      </c>
      <c r="C39" t="s">
        <v>130</v>
      </c>
      <c r="D39" t="s">
        <v>15</v>
      </c>
      <c r="E39" s="12" t="s">
        <v>182</v>
      </c>
      <c r="F39" t="s">
        <v>187</v>
      </c>
      <c r="G39" t="s">
        <v>12</v>
      </c>
      <c r="H39" t="s">
        <v>72</v>
      </c>
      <c r="I39" t="s">
        <v>175</v>
      </c>
      <c r="J39" s="12">
        <v>0.33</v>
      </c>
      <c r="K39" t="s">
        <v>107</v>
      </c>
      <c r="L39" t="s">
        <v>11</v>
      </c>
      <c r="M39" t="s">
        <v>199</v>
      </c>
      <c r="O39" t="s">
        <v>197</v>
      </c>
      <c r="P39">
        <v>8</v>
      </c>
      <c r="Q39" t="s">
        <v>202</v>
      </c>
      <c r="R39" s="6">
        <v>1.0227027006663367</v>
      </c>
      <c r="S39" s="6">
        <v>25.157810184141404</v>
      </c>
      <c r="T39" s="6">
        <v>10.71392460467014</v>
      </c>
      <c r="U39" s="6">
        <v>102.06160129220405</v>
      </c>
      <c r="V39" s="6">
        <v>0.42453172678276052</v>
      </c>
      <c r="W39" s="6">
        <v>13.317876535173331</v>
      </c>
      <c r="X39" s="6">
        <v>8.3505050156468723</v>
      </c>
      <c r="Y39" s="6">
        <v>79.02004141967717</v>
      </c>
    </row>
    <row r="40" spans="1:25" x14ac:dyDescent="0.25">
      <c r="A40" t="str">
        <f t="shared" si="0"/>
        <v>RTD Ice TeaFranceDecemberEUR (€)Fully-AutomatedOldPET Bottle0.33Medium-scaleLow</v>
      </c>
      <c r="B40" t="s">
        <v>130</v>
      </c>
      <c r="C40" t="s">
        <v>130</v>
      </c>
      <c r="D40" t="s">
        <v>15</v>
      </c>
      <c r="E40" s="12" t="s">
        <v>182</v>
      </c>
      <c r="F40" t="s">
        <v>187</v>
      </c>
      <c r="G40" t="s">
        <v>12</v>
      </c>
      <c r="H40" t="s">
        <v>72</v>
      </c>
      <c r="I40" t="s">
        <v>175</v>
      </c>
      <c r="J40" s="12">
        <v>0.33</v>
      </c>
      <c r="K40" t="s">
        <v>62</v>
      </c>
      <c r="L40" t="s">
        <v>13</v>
      </c>
      <c r="M40" t="s">
        <v>199</v>
      </c>
      <c r="O40" t="s">
        <v>197</v>
      </c>
      <c r="P40">
        <v>8</v>
      </c>
      <c r="Q40" t="s">
        <v>202</v>
      </c>
      <c r="R40" s="6">
        <v>0.94873295329187568</v>
      </c>
      <c r="S40" s="6">
        <v>23.333647424644177</v>
      </c>
      <c r="T40" s="6">
        <v>9.940424416619754</v>
      </c>
      <c r="U40" s="6">
        <v>94.688377437397804</v>
      </c>
      <c r="V40" s="6">
        <v>0.3947443504629003</v>
      </c>
      <c r="W40" s="6">
        <v>12.389445595043382</v>
      </c>
      <c r="X40" s="6">
        <v>7.7670825637241983</v>
      </c>
      <c r="Y40" s="6">
        <v>73.500416978174485</v>
      </c>
    </row>
    <row r="41" spans="1:25" x14ac:dyDescent="0.25">
      <c r="A41" t="str">
        <f t="shared" si="0"/>
        <v>RTD Ice TeaFranceDecemberEUR (€)Fully-AutomatedOldPET Bottle0.33Medium-scaleMedium</v>
      </c>
      <c r="B41" t="s">
        <v>130</v>
      </c>
      <c r="C41" t="s">
        <v>130</v>
      </c>
      <c r="D41" t="s">
        <v>15</v>
      </c>
      <c r="E41" s="12" t="s">
        <v>182</v>
      </c>
      <c r="F41" t="s">
        <v>187</v>
      </c>
      <c r="G41" t="s">
        <v>12</v>
      </c>
      <c r="H41" t="s">
        <v>72</v>
      </c>
      <c r="I41" t="s">
        <v>175</v>
      </c>
      <c r="J41" s="12">
        <v>0.33</v>
      </c>
      <c r="K41" t="s">
        <v>62</v>
      </c>
      <c r="L41" t="s">
        <v>63</v>
      </c>
      <c r="M41" t="s">
        <v>199</v>
      </c>
      <c r="O41" t="s">
        <v>197</v>
      </c>
      <c r="P41">
        <v>8</v>
      </c>
      <c r="Q41" t="s">
        <v>202</v>
      </c>
      <c r="R41" s="6">
        <v>0.98495772499968293</v>
      </c>
      <c r="S41" s="6">
        <v>24.225253502175232</v>
      </c>
      <c r="T41" s="6">
        <v>10.31976302532502</v>
      </c>
      <c r="U41" s="6">
        <v>98.30251196243708</v>
      </c>
      <c r="V41" s="6">
        <v>0.4095526510440296</v>
      </c>
      <c r="W41" s="6">
        <v>12.852013067042437</v>
      </c>
      <c r="X41" s="6">
        <v>8.0577087834453724</v>
      </c>
      <c r="Y41" s="6">
        <v>76.249995821627209</v>
      </c>
    </row>
    <row r="42" spans="1:25" x14ac:dyDescent="0.25">
      <c r="A42" t="str">
        <f t="shared" si="0"/>
        <v>RTD Ice TeaFranceDecemberEUR (€)Fully-AutomatedOldPET Bottle0.33Medium-scaleHigh</v>
      </c>
      <c r="B42" t="s">
        <v>130</v>
      </c>
      <c r="C42" t="s">
        <v>130</v>
      </c>
      <c r="D42" t="s">
        <v>15</v>
      </c>
      <c r="E42" s="12" t="s">
        <v>182</v>
      </c>
      <c r="F42" t="s">
        <v>187</v>
      </c>
      <c r="G42" t="s">
        <v>12</v>
      </c>
      <c r="H42" t="s">
        <v>72</v>
      </c>
      <c r="I42" t="s">
        <v>175</v>
      </c>
      <c r="J42" s="12">
        <v>0.33</v>
      </c>
      <c r="K42" t="s">
        <v>62</v>
      </c>
      <c r="L42" t="s">
        <v>11</v>
      </c>
      <c r="M42" t="s">
        <v>199</v>
      </c>
      <c r="O42" t="s">
        <v>197</v>
      </c>
      <c r="P42">
        <v>8</v>
      </c>
      <c r="Q42" t="s">
        <v>202</v>
      </c>
      <c r="R42" s="6">
        <v>1.0240804784441147</v>
      </c>
      <c r="S42" s="6">
        <v>25.188188065908765</v>
      </c>
      <c r="T42" s="6">
        <v>10.729448722726705</v>
      </c>
      <c r="U42" s="6">
        <v>102.20577724947947</v>
      </c>
      <c r="V42" s="6">
        <v>0.42554561567164939</v>
      </c>
      <c r="W42" s="6">
        <v>13.35158593680142</v>
      </c>
      <c r="X42" s="6">
        <v>8.371585100744241</v>
      </c>
      <c r="Y42" s="6">
        <v>79.21954097255616</v>
      </c>
    </row>
    <row r="43" spans="1:25" x14ac:dyDescent="0.25">
      <c r="A43" t="str">
        <f t="shared" si="0"/>
        <v>RTD Ice TeaFranceDecemberEUR (€)Fully-AutomatedOldPET Bottle0.33Small-scaleLow</v>
      </c>
      <c r="B43" t="s">
        <v>130</v>
      </c>
      <c r="C43" t="s">
        <v>130</v>
      </c>
      <c r="D43" t="s">
        <v>15</v>
      </c>
      <c r="E43" s="12" t="s">
        <v>182</v>
      </c>
      <c r="F43" t="s">
        <v>187</v>
      </c>
      <c r="G43" t="s">
        <v>12</v>
      </c>
      <c r="H43" t="s">
        <v>72</v>
      </c>
      <c r="I43" t="s">
        <v>175</v>
      </c>
      <c r="J43" s="12">
        <v>0.33</v>
      </c>
      <c r="K43" t="s">
        <v>60</v>
      </c>
      <c r="L43" t="s">
        <v>13</v>
      </c>
      <c r="M43" t="s">
        <v>199</v>
      </c>
      <c r="O43" t="s">
        <v>197</v>
      </c>
      <c r="P43">
        <v>8</v>
      </c>
      <c r="Q43" t="s">
        <v>202</v>
      </c>
      <c r="R43" s="6">
        <v>0.95102924958817192</v>
      </c>
      <c r="S43" s="6">
        <v>23.384277227589777</v>
      </c>
      <c r="T43" s="6">
        <v>9.966297946714036</v>
      </c>
      <c r="U43" s="6">
        <v>94.928670699523522</v>
      </c>
      <c r="V43" s="6">
        <v>0.39643416527771508</v>
      </c>
      <c r="W43" s="6">
        <v>12.445627931090197</v>
      </c>
      <c r="X43" s="6">
        <v>7.8022160388864741</v>
      </c>
      <c r="Y43" s="6">
        <v>73.832916232972764</v>
      </c>
    </row>
    <row r="44" spans="1:25" x14ac:dyDescent="0.25">
      <c r="A44" t="str">
        <f t="shared" si="0"/>
        <v>RTD Ice TeaFranceDecemberEUR (€)Fully-AutomatedOldPET Bottle0.33Small-scaleMedium</v>
      </c>
      <c r="B44" t="s">
        <v>130</v>
      </c>
      <c r="C44" t="s">
        <v>130</v>
      </c>
      <c r="D44" t="s">
        <v>15</v>
      </c>
      <c r="E44" s="12" t="s">
        <v>182</v>
      </c>
      <c r="F44" t="s">
        <v>187</v>
      </c>
      <c r="G44" t="s">
        <v>12</v>
      </c>
      <c r="H44" t="s">
        <v>72</v>
      </c>
      <c r="I44" t="s">
        <v>175</v>
      </c>
      <c r="J44" s="12">
        <v>0.33</v>
      </c>
      <c r="K44" t="s">
        <v>60</v>
      </c>
      <c r="L44" t="s">
        <v>63</v>
      </c>
      <c r="M44" t="s">
        <v>199</v>
      </c>
      <c r="O44" t="s">
        <v>197</v>
      </c>
      <c r="P44">
        <v>8</v>
      </c>
      <c r="Q44" t="s">
        <v>202</v>
      </c>
      <c r="R44" s="6">
        <v>0.98725402129597928</v>
      </c>
      <c r="S44" s="6">
        <v>24.275883305120828</v>
      </c>
      <c r="T44" s="6">
        <v>10.345636555419302</v>
      </c>
      <c r="U44" s="6">
        <v>98.542805224562784</v>
      </c>
      <c r="V44" s="6">
        <v>0.41124246585884444</v>
      </c>
      <c r="W44" s="6">
        <v>12.908195403089252</v>
      </c>
      <c r="X44" s="6">
        <v>8.0928422586076483</v>
      </c>
      <c r="Y44" s="6">
        <v>76.582495076425516</v>
      </c>
    </row>
    <row r="45" spans="1:25" x14ac:dyDescent="0.25">
      <c r="A45" t="str">
        <f t="shared" si="0"/>
        <v>RTD Ice TeaFranceDecemberEUR (€)Fully-AutomatedOldPET Bottle0.33Small-scaleHigh</v>
      </c>
      <c r="B45" t="s">
        <v>130</v>
      </c>
      <c r="C45" t="s">
        <v>130</v>
      </c>
      <c r="D45" t="s">
        <v>15</v>
      </c>
      <c r="E45" s="12" t="s">
        <v>182</v>
      </c>
      <c r="F45" t="s">
        <v>187</v>
      </c>
      <c r="G45" t="s">
        <v>12</v>
      </c>
      <c r="H45" t="s">
        <v>72</v>
      </c>
      <c r="I45" t="s">
        <v>175</v>
      </c>
      <c r="J45" s="12">
        <v>0.33</v>
      </c>
      <c r="K45" t="s">
        <v>60</v>
      </c>
      <c r="L45" t="s">
        <v>11</v>
      </c>
      <c r="M45" t="s">
        <v>199</v>
      </c>
      <c r="O45" t="s">
        <v>197</v>
      </c>
      <c r="P45">
        <v>8</v>
      </c>
      <c r="Q45" t="s">
        <v>202</v>
      </c>
      <c r="R45" s="6">
        <v>1.0263767747404109</v>
      </c>
      <c r="S45" s="6">
        <v>25.238817868854369</v>
      </c>
      <c r="T45" s="6">
        <v>10.755322252820989</v>
      </c>
      <c r="U45" s="6">
        <v>102.44607051160517</v>
      </c>
      <c r="V45" s="6">
        <v>0.42723543048646417</v>
      </c>
      <c r="W45" s="6">
        <v>13.407768272848235</v>
      </c>
      <c r="X45" s="6">
        <v>8.4067185759065151</v>
      </c>
      <c r="Y45" s="6">
        <v>79.552040227354439</v>
      </c>
    </row>
    <row r="46" spans="1:25" x14ac:dyDescent="0.25">
      <c r="A46" t="str">
        <f t="shared" si="0"/>
        <v>RTD Ice TeaFranceDecemberEUR (€)Fully-AutomatedOldPET Bottle0.33High-scaleLow</v>
      </c>
      <c r="B46" t="s">
        <v>130</v>
      </c>
      <c r="C46" t="s">
        <v>130</v>
      </c>
      <c r="D46" t="s">
        <v>15</v>
      </c>
      <c r="E46" s="12" t="s">
        <v>182</v>
      </c>
      <c r="F46" t="s">
        <v>187</v>
      </c>
      <c r="G46" t="s">
        <v>12</v>
      </c>
      <c r="H46" t="s">
        <v>72</v>
      </c>
      <c r="I46" t="s">
        <v>175</v>
      </c>
      <c r="J46" s="12">
        <v>0.33</v>
      </c>
      <c r="K46" t="s">
        <v>107</v>
      </c>
      <c r="L46" t="s">
        <v>13</v>
      </c>
      <c r="M46" t="s">
        <v>200</v>
      </c>
      <c r="O46" t="s">
        <v>197</v>
      </c>
      <c r="P46">
        <v>8</v>
      </c>
      <c r="Q46" t="s">
        <v>202</v>
      </c>
      <c r="R46" s="6">
        <v>0.94735517551409787</v>
      </c>
      <c r="S46" s="6">
        <v>23.303269542876816</v>
      </c>
      <c r="T46" s="6">
        <v>9.924900298563184</v>
      </c>
      <c r="U46" s="6">
        <v>94.544201480122396</v>
      </c>
      <c r="V46" s="6">
        <v>0.34920397385831958</v>
      </c>
      <c r="W46" s="6">
        <v>15.341261817245259</v>
      </c>
      <c r="X46" s="6">
        <v>7.7071212896105745</v>
      </c>
      <c r="Y46" s="6">
        <v>74.886229187324687</v>
      </c>
    </row>
    <row r="47" spans="1:25" x14ac:dyDescent="0.25">
      <c r="A47" t="str">
        <f t="shared" si="0"/>
        <v>RTD Ice TeaFranceDecemberEUR (€)Fully-AutomatedOldPET Bottle0.33High-scaleMedium</v>
      </c>
      <c r="B47" t="s">
        <v>130</v>
      </c>
      <c r="C47" t="s">
        <v>130</v>
      </c>
      <c r="D47" t="s">
        <v>15</v>
      </c>
      <c r="E47" s="12" t="s">
        <v>182</v>
      </c>
      <c r="F47" t="s">
        <v>187</v>
      </c>
      <c r="G47" t="s">
        <v>12</v>
      </c>
      <c r="H47" t="s">
        <v>72</v>
      </c>
      <c r="I47" t="s">
        <v>175</v>
      </c>
      <c r="J47" s="12">
        <v>0.33</v>
      </c>
      <c r="K47" t="s">
        <v>107</v>
      </c>
      <c r="L47" t="s">
        <v>63</v>
      </c>
      <c r="M47" t="s">
        <v>200</v>
      </c>
      <c r="O47" t="s">
        <v>197</v>
      </c>
      <c r="P47">
        <v>8</v>
      </c>
      <c r="Q47" t="s">
        <v>202</v>
      </c>
      <c r="R47" s="6">
        <v>0.98357994722190512</v>
      </c>
      <c r="S47" s="6">
        <v>24.194875620407874</v>
      </c>
      <c r="T47" s="6">
        <v>10.304238907268452</v>
      </c>
      <c r="U47" s="6">
        <v>98.158336005161644</v>
      </c>
      <c r="V47" s="6">
        <v>0.36240121294611044</v>
      </c>
      <c r="W47" s="6">
        <v>15.91939617228884</v>
      </c>
      <c r="X47" s="6">
        <v>7.9979894486358516</v>
      </c>
      <c r="Y47" s="6">
        <v>77.711909960255625</v>
      </c>
    </row>
    <row r="48" spans="1:25" x14ac:dyDescent="0.25">
      <c r="A48" t="str">
        <f t="shared" si="0"/>
        <v>RTD Ice TeaFranceDecemberEUR (€)Fully-AutomatedOldPET Bottle0.33High-scaleHigh</v>
      </c>
      <c r="B48" t="s">
        <v>130</v>
      </c>
      <c r="C48" t="s">
        <v>130</v>
      </c>
      <c r="D48" t="s">
        <v>15</v>
      </c>
      <c r="E48" s="12" t="s">
        <v>182</v>
      </c>
      <c r="F48" t="s">
        <v>187</v>
      </c>
      <c r="G48" t="s">
        <v>12</v>
      </c>
      <c r="H48" t="s">
        <v>72</v>
      </c>
      <c r="I48" t="s">
        <v>175</v>
      </c>
      <c r="J48" s="12">
        <v>0.33</v>
      </c>
      <c r="K48" t="s">
        <v>107</v>
      </c>
      <c r="L48" t="s">
        <v>11</v>
      </c>
      <c r="M48" t="s">
        <v>200</v>
      </c>
      <c r="O48" t="s">
        <v>197</v>
      </c>
      <c r="P48">
        <v>8</v>
      </c>
      <c r="Q48" t="s">
        <v>202</v>
      </c>
      <c r="R48" s="6">
        <v>1.0227027006663367</v>
      </c>
      <c r="S48" s="6">
        <v>25.157810184141404</v>
      </c>
      <c r="T48" s="6">
        <v>10.71392460467014</v>
      </c>
      <c r="U48" s="6">
        <v>102.06160129220405</v>
      </c>
      <c r="V48" s="6">
        <v>0.37665423116092456</v>
      </c>
      <c r="W48" s="6">
        <v>16.543781275735903</v>
      </c>
      <c r="X48" s="6">
        <v>8.3121270603831494</v>
      </c>
      <c r="Y48" s="6">
        <v>80.763645195021041</v>
      </c>
    </row>
    <row r="49" spans="1:25" x14ac:dyDescent="0.25">
      <c r="A49" t="str">
        <f t="shared" si="0"/>
        <v>RTD Ice TeaFranceDecemberEUR (€)Fully-AutomatedOldPET Bottle0.33Medium-scaleLow</v>
      </c>
      <c r="B49" t="s">
        <v>130</v>
      </c>
      <c r="C49" t="s">
        <v>130</v>
      </c>
      <c r="D49" t="s">
        <v>15</v>
      </c>
      <c r="E49" s="12" t="s">
        <v>182</v>
      </c>
      <c r="F49" t="s">
        <v>187</v>
      </c>
      <c r="G49" t="s">
        <v>12</v>
      </c>
      <c r="H49" t="s">
        <v>72</v>
      </c>
      <c r="I49" t="s">
        <v>175</v>
      </c>
      <c r="J49" s="12">
        <v>0.33</v>
      </c>
      <c r="K49" t="s">
        <v>62</v>
      </c>
      <c r="L49" t="s">
        <v>13</v>
      </c>
      <c r="M49" t="s">
        <v>200</v>
      </c>
      <c r="O49" t="s">
        <v>197</v>
      </c>
      <c r="P49">
        <v>8</v>
      </c>
      <c r="Q49" t="s">
        <v>202</v>
      </c>
      <c r="R49" s="6">
        <v>0.94873295329187568</v>
      </c>
      <c r="S49" s="6">
        <v>23.333647424644177</v>
      </c>
      <c r="T49" s="6">
        <v>9.940424416619754</v>
      </c>
      <c r="U49" s="6">
        <v>94.688377437397804</v>
      </c>
      <c r="V49" s="6">
        <v>0.35011685264619841</v>
      </c>
      <c r="W49" s="6">
        <v>15.382147603926311</v>
      </c>
      <c r="X49" s="6">
        <v>7.7282013747079414</v>
      </c>
      <c r="Y49" s="6">
        <v>75.090327733922436</v>
      </c>
    </row>
    <row r="50" spans="1:25" x14ac:dyDescent="0.25">
      <c r="A50" t="str">
        <f t="shared" si="0"/>
        <v>RTD Ice TeaFranceDecemberEUR (€)Fully-AutomatedOldPET Bottle0.33Medium-scaleMedium</v>
      </c>
      <c r="B50" t="s">
        <v>130</v>
      </c>
      <c r="C50" t="s">
        <v>130</v>
      </c>
      <c r="D50" t="s">
        <v>15</v>
      </c>
      <c r="E50" s="12" t="s">
        <v>182</v>
      </c>
      <c r="F50" t="s">
        <v>187</v>
      </c>
      <c r="G50" t="s">
        <v>12</v>
      </c>
      <c r="H50" t="s">
        <v>72</v>
      </c>
      <c r="I50" t="s">
        <v>175</v>
      </c>
      <c r="J50" s="12">
        <v>0.33</v>
      </c>
      <c r="K50" t="s">
        <v>62</v>
      </c>
      <c r="L50" t="s">
        <v>63</v>
      </c>
      <c r="M50" t="s">
        <v>200</v>
      </c>
      <c r="O50" t="s">
        <v>197</v>
      </c>
      <c r="P50">
        <v>8</v>
      </c>
      <c r="Q50" t="s">
        <v>202</v>
      </c>
      <c r="R50" s="6">
        <v>0.98495772499968293</v>
      </c>
      <c r="S50" s="6">
        <v>24.225253502175232</v>
      </c>
      <c r="T50" s="6">
        <v>10.31976302532502</v>
      </c>
      <c r="U50" s="6">
        <v>98.30251196243708</v>
      </c>
      <c r="V50" s="6">
        <v>0.36331409173398915</v>
      </c>
      <c r="W50" s="6">
        <v>15.96028195896989</v>
      </c>
      <c r="X50" s="6">
        <v>8.0190695337332194</v>
      </c>
      <c r="Y50" s="6">
        <v>77.916008506853387</v>
      </c>
    </row>
    <row r="51" spans="1:25" x14ac:dyDescent="0.25">
      <c r="A51" t="str">
        <f t="shared" si="0"/>
        <v>RTD Ice TeaFranceDecemberEUR (€)Fully-AutomatedOldPET Bottle0.33Medium-scaleHigh</v>
      </c>
      <c r="B51" t="s">
        <v>130</v>
      </c>
      <c r="C51" t="s">
        <v>130</v>
      </c>
      <c r="D51" t="s">
        <v>15</v>
      </c>
      <c r="E51" s="12" t="s">
        <v>182</v>
      </c>
      <c r="F51" t="s">
        <v>187</v>
      </c>
      <c r="G51" t="s">
        <v>12</v>
      </c>
      <c r="H51" t="s">
        <v>72</v>
      </c>
      <c r="I51" t="s">
        <v>175</v>
      </c>
      <c r="J51" s="12">
        <v>0.33</v>
      </c>
      <c r="K51" t="s">
        <v>62</v>
      </c>
      <c r="L51" t="s">
        <v>11</v>
      </c>
      <c r="M51" t="s">
        <v>200</v>
      </c>
      <c r="O51" t="s">
        <v>197</v>
      </c>
      <c r="P51">
        <v>8</v>
      </c>
      <c r="Q51" t="s">
        <v>202</v>
      </c>
      <c r="R51" s="6">
        <v>1.0240804784441147</v>
      </c>
      <c r="S51" s="6">
        <v>25.188188065908765</v>
      </c>
      <c r="T51" s="6">
        <v>10.729448722726705</v>
      </c>
      <c r="U51" s="6">
        <v>102.20577724947947</v>
      </c>
      <c r="V51" s="6">
        <v>0.37756710994880333</v>
      </c>
      <c r="W51" s="6">
        <v>16.584667062416958</v>
      </c>
      <c r="X51" s="6">
        <v>8.3332071454805181</v>
      </c>
      <c r="Y51" s="6">
        <v>80.96774374161879</v>
      </c>
    </row>
    <row r="52" spans="1:25" x14ac:dyDescent="0.25">
      <c r="A52" t="str">
        <f t="shared" si="0"/>
        <v>RTD Ice TeaFranceDecemberEUR (€)Fully-AutomatedOldPET Bottle0.33Small-scaleLow</v>
      </c>
      <c r="B52" t="s">
        <v>130</v>
      </c>
      <c r="C52" t="s">
        <v>130</v>
      </c>
      <c r="D52" t="s">
        <v>15</v>
      </c>
      <c r="E52" s="12" t="s">
        <v>182</v>
      </c>
      <c r="F52" t="s">
        <v>187</v>
      </c>
      <c r="G52" t="s">
        <v>12</v>
      </c>
      <c r="H52" t="s">
        <v>72</v>
      </c>
      <c r="I52" t="s">
        <v>175</v>
      </c>
      <c r="J52" s="12">
        <v>0.33</v>
      </c>
      <c r="K52" t="s">
        <v>60</v>
      </c>
      <c r="L52" t="s">
        <v>13</v>
      </c>
      <c r="M52" t="s">
        <v>200</v>
      </c>
      <c r="O52" t="s">
        <v>197</v>
      </c>
      <c r="P52">
        <v>8</v>
      </c>
      <c r="Q52" t="s">
        <v>202</v>
      </c>
      <c r="R52" s="6">
        <v>0.95102924958817192</v>
      </c>
      <c r="S52" s="6">
        <v>23.384277227589777</v>
      </c>
      <c r="T52" s="6">
        <v>9.966297946714036</v>
      </c>
      <c r="U52" s="6">
        <v>94.928670699523522</v>
      </c>
      <c r="V52" s="6">
        <v>0.35163831729266304</v>
      </c>
      <c r="W52" s="6">
        <v>15.450290581728066</v>
      </c>
      <c r="X52" s="6">
        <v>7.7633348498702173</v>
      </c>
      <c r="Y52" s="6">
        <v>75.430491978252007</v>
      </c>
    </row>
    <row r="53" spans="1:25" x14ac:dyDescent="0.25">
      <c r="A53" t="str">
        <f t="shared" si="0"/>
        <v>RTD Ice TeaFranceDecemberEUR (€)Fully-AutomatedOldPET Bottle0.33Small-scaleMedium</v>
      </c>
      <c r="B53" t="s">
        <v>130</v>
      </c>
      <c r="C53" t="s">
        <v>130</v>
      </c>
      <c r="D53" t="s">
        <v>15</v>
      </c>
      <c r="E53" s="12" t="s">
        <v>182</v>
      </c>
      <c r="F53" t="s">
        <v>187</v>
      </c>
      <c r="G53" t="s">
        <v>12</v>
      </c>
      <c r="H53" t="s">
        <v>72</v>
      </c>
      <c r="I53" t="s">
        <v>175</v>
      </c>
      <c r="J53" s="12">
        <v>0.33</v>
      </c>
      <c r="K53" t="s">
        <v>60</v>
      </c>
      <c r="L53" t="s">
        <v>63</v>
      </c>
      <c r="M53" t="s">
        <v>200</v>
      </c>
      <c r="O53" t="s">
        <v>197</v>
      </c>
      <c r="P53">
        <v>8</v>
      </c>
      <c r="Q53" t="s">
        <v>202</v>
      </c>
      <c r="R53" s="6">
        <v>0.98725402129597928</v>
      </c>
      <c r="S53" s="6">
        <v>24.275883305120828</v>
      </c>
      <c r="T53" s="6">
        <v>10.345636555419302</v>
      </c>
      <c r="U53" s="6">
        <v>98.542805224562784</v>
      </c>
      <c r="V53" s="6">
        <v>0.36483555638045378</v>
      </c>
      <c r="W53" s="6">
        <v>16.028424936771643</v>
      </c>
      <c r="X53" s="6">
        <v>8.0542030088954952</v>
      </c>
      <c r="Y53" s="6">
        <v>78.256172751182945</v>
      </c>
    </row>
    <row r="54" spans="1:25" x14ac:dyDescent="0.25">
      <c r="A54" t="str">
        <f t="shared" si="0"/>
        <v>RTD Ice TeaFranceDecemberEUR (€)Fully-AutomatedOldPET Bottle0.33Small-scaleHigh</v>
      </c>
      <c r="B54" t="s">
        <v>130</v>
      </c>
      <c r="C54" t="s">
        <v>130</v>
      </c>
      <c r="D54" t="s">
        <v>15</v>
      </c>
      <c r="E54" s="12" t="s">
        <v>182</v>
      </c>
      <c r="F54" t="s">
        <v>187</v>
      </c>
      <c r="G54" t="s">
        <v>12</v>
      </c>
      <c r="H54" t="s">
        <v>72</v>
      </c>
      <c r="I54" t="s">
        <v>175</v>
      </c>
      <c r="J54" s="12">
        <v>0.33</v>
      </c>
      <c r="K54" t="s">
        <v>60</v>
      </c>
      <c r="L54" t="s">
        <v>11</v>
      </c>
      <c r="M54" t="s">
        <v>200</v>
      </c>
      <c r="O54" t="s">
        <v>197</v>
      </c>
      <c r="P54">
        <v>8</v>
      </c>
      <c r="Q54" t="s">
        <v>202</v>
      </c>
      <c r="R54" s="6">
        <v>1.0263767747404109</v>
      </c>
      <c r="S54" s="6">
        <v>25.238817868854369</v>
      </c>
      <c r="T54" s="6">
        <v>10.755322252820989</v>
      </c>
      <c r="U54" s="6">
        <v>102.44607051160517</v>
      </c>
      <c r="V54" s="6">
        <v>0.3790885745952679</v>
      </c>
      <c r="W54" s="6">
        <v>16.652810040218707</v>
      </c>
      <c r="X54" s="6">
        <v>8.3683406206427922</v>
      </c>
      <c r="Y54" s="6">
        <v>81.307907985948376</v>
      </c>
    </row>
    <row r="55" spans="1:25" x14ac:dyDescent="0.25">
      <c r="A55" t="str">
        <f t="shared" si="0"/>
        <v>RTD Ice TeaFranceDecemberEUR (€)Fully-AutomatedOldPET Bottle0.33High-scaleLow</v>
      </c>
      <c r="B55" t="s">
        <v>130</v>
      </c>
      <c r="C55" t="s">
        <v>130</v>
      </c>
      <c r="D55" t="s">
        <v>15</v>
      </c>
      <c r="E55" s="12" t="s">
        <v>182</v>
      </c>
      <c r="F55" t="s">
        <v>187</v>
      </c>
      <c r="G55" t="s">
        <v>12</v>
      </c>
      <c r="H55" t="s">
        <v>72</v>
      </c>
      <c r="I55" t="s">
        <v>175</v>
      </c>
      <c r="J55" s="12">
        <v>0.33</v>
      </c>
      <c r="K55" t="s">
        <v>107</v>
      </c>
      <c r="L55" t="s">
        <v>13</v>
      </c>
      <c r="M55" t="s">
        <v>199</v>
      </c>
      <c r="O55" t="s">
        <v>197</v>
      </c>
      <c r="P55">
        <v>12</v>
      </c>
      <c r="Q55" t="s">
        <v>203</v>
      </c>
      <c r="R55" s="6">
        <v>0.94735517551409787</v>
      </c>
      <c r="S55" s="6">
        <v>23.303269542876816</v>
      </c>
      <c r="T55" s="6">
        <v>9.924900298563184</v>
      </c>
      <c r="U55" s="6">
        <v>94.544201480122396</v>
      </c>
      <c r="V55" s="6">
        <v>0.37315836547509917</v>
      </c>
      <c r="W55" s="6">
        <v>11.806760944019974</v>
      </c>
      <c r="X55" s="6">
        <v>7.4573806829748648</v>
      </c>
      <c r="Y55" s="6">
        <v>70.508250595711417</v>
      </c>
    </row>
    <row r="56" spans="1:25" x14ac:dyDescent="0.25">
      <c r="A56" t="str">
        <f t="shared" si="0"/>
        <v>RTD Ice TeaFranceDecemberEUR (€)Fully-AutomatedOldPET Bottle0.33High-scaleMedium</v>
      </c>
      <c r="B56" t="s">
        <v>130</v>
      </c>
      <c r="C56" t="s">
        <v>130</v>
      </c>
      <c r="D56" t="s">
        <v>15</v>
      </c>
      <c r="E56" s="12" t="s">
        <v>182</v>
      </c>
      <c r="F56" t="s">
        <v>187</v>
      </c>
      <c r="G56" t="s">
        <v>12</v>
      </c>
      <c r="H56" t="s">
        <v>72</v>
      </c>
      <c r="I56" t="s">
        <v>175</v>
      </c>
      <c r="J56" s="12">
        <v>0.33</v>
      </c>
      <c r="K56" t="s">
        <v>107</v>
      </c>
      <c r="L56" t="s">
        <v>63</v>
      </c>
      <c r="M56" t="s">
        <v>199</v>
      </c>
      <c r="O56" t="s">
        <v>197</v>
      </c>
      <c r="P56">
        <v>12</v>
      </c>
      <c r="Q56" t="s">
        <v>203</v>
      </c>
      <c r="R56" s="6">
        <v>0.98357994722190512</v>
      </c>
      <c r="S56" s="6">
        <v>24.194875620407874</v>
      </c>
      <c r="T56" s="6">
        <v>10.304238907268452</v>
      </c>
      <c r="U56" s="6">
        <v>98.158336005161644</v>
      </c>
      <c r="V56" s="6">
        <v>0.38717543159088574</v>
      </c>
      <c r="W56" s="6">
        <v>12.248213983349983</v>
      </c>
      <c r="X56" s="6">
        <v>7.7369060644017313</v>
      </c>
      <c r="Y56" s="6">
        <v>73.150419176487844</v>
      </c>
    </row>
    <row r="57" spans="1:25" x14ac:dyDescent="0.25">
      <c r="A57" t="str">
        <f t="shared" si="0"/>
        <v>RTD Ice TeaFranceDecemberEUR (€)Fully-AutomatedOldPET Bottle0.33High-scaleHigh</v>
      </c>
      <c r="B57" t="s">
        <v>130</v>
      </c>
      <c r="C57" t="s">
        <v>130</v>
      </c>
      <c r="D57" t="s">
        <v>15</v>
      </c>
      <c r="E57" s="12" t="s">
        <v>182</v>
      </c>
      <c r="F57" t="s">
        <v>187</v>
      </c>
      <c r="G57" t="s">
        <v>12</v>
      </c>
      <c r="H57" t="s">
        <v>72</v>
      </c>
      <c r="I57" t="s">
        <v>175</v>
      </c>
      <c r="J57" s="12">
        <v>0.33</v>
      </c>
      <c r="K57" t="s">
        <v>107</v>
      </c>
      <c r="L57" t="s">
        <v>11</v>
      </c>
      <c r="M57" t="s">
        <v>199</v>
      </c>
      <c r="O57" t="s">
        <v>197</v>
      </c>
      <c r="P57">
        <v>12</v>
      </c>
      <c r="Q57" t="s">
        <v>203</v>
      </c>
      <c r="R57" s="6">
        <v>1.0227027006663367</v>
      </c>
      <c r="S57" s="6">
        <v>25.157810184141404</v>
      </c>
      <c r="T57" s="6">
        <v>10.71392460467014</v>
      </c>
      <c r="U57" s="6">
        <v>102.06160129220405</v>
      </c>
      <c r="V57" s="6">
        <v>0.40231386299593525</v>
      </c>
      <c r="W57" s="6">
        <v>12.72498326582639</v>
      </c>
      <c r="X57" s="6">
        <v>8.0387934763427484</v>
      </c>
      <c r="Y57" s="6">
        <v>76.003961243726394</v>
      </c>
    </row>
    <row r="58" spans="1:25" x14ac:dyDescent="0.25">
      <c r="A58" t="str">
        <f t="shared" si="0"/>
        <v>RTD Ice TeaFranceDecemberEUR (€)Fully-AutomatedOldPET Bottle0.33Medium-scaleLow</v>
      </c>
      <c r="B58" t="s">
        <v>130</v>
      </c>
      <c r="C58" t="s">
        <v>130</v>
      </c>
      <c r="D58" t="s">
        <v>15</v>
      </c>
      <c r="E58" s="12" t="s">
        <v>182</v>
      </c>
      <c r="F58" t="s">
        <v>187</v>
      </c>
      <c r="G58" t="s">
        <v>12</v>
      </c>
      <c r="H58" t="s">
        <v>72</v>
      </c>
      <c r="I58" t="s">
        <v>175</v>
      </c>
      <c r="J58" s="12">
        <v>0.33</v>
      </c>
      <c r="K58" t="s">
        <v>62</v>
      </c>
      <c r="L58" t="s">
        <v>13</v>
      </c>
      <c r="M58" t="s">
        <v>199</v>
      </c>
      <c r="O58" t="s">
        <v>197</v>
      </c>
      <c r="P58">
        <v>12</v>
      </c>
      <c r="Q58" t="s">
        <v>203</v>
      </c>
      <c r="R58" s="6">
        <v>0.94873295329187568</v>
      </c>
      <c r="S58" s="6">
        <v>23.333647424644177</v>
      </c>
      <c r="T58" s="6">
        <v>9.940424416619754</v>
      </c>
      <c r="U58" s="6">
        <v>94.688377437397804</v>
      </c>
      <c r="V58" s="6">
        <v>0.37417225436398799</v>
      </c>
      <c r="W58" s="6">
        <v>11.840470345648065</v>
      </c>
      <c r="X58" s="6">
        <v>7.4784607680722317</v>
      </c>
      <c r="Y58" s="6">
        <v>70.707750148590421</v>
      </c>
    </row>
    <row r="59" spans="1:25" x14ac:dyDescent="0.25">
      <c r="A59" t="str">
        <f t="shared" si="0"/>
        <v>RTD Ice TeaFranceDecemberEUR (€)Fully-AutomatedOldPET Bottle0.33Medium-scaleMedium</v>
      </c>
      <c r="B59" t="s">
        <v>130</v>
      </c>
      <c r="C59" t="s">
        <v>130</v>
      </c>
      <c r="D59" t="s">
        <v>15</v>
      </c>
      <c r="E59" s="12" t="s">
        <v>182</v>
      </c>
      <c r="F59" t="s">
        <v>187</v>
      </c>
      <c r="G59" t="s">
        <v>12</v>
      </c>
      <c r="H59" t="s">
        <v>72</v>
      </c>
      <c r="I59" t="s">
        <v>175</v>
      </c>
      <c r="J59" s="12">
        <v>0.33</v>
      </c>
      <c r="K59" t="s">
        <v>62</v>
      </c>
      <c r="L59" t="s">
        <v>63</v>
      </c>
      <c r="M59" t="s">
        <v>199</v>
      </c>
      <c r="O59" t="s">
        <v>197</v>
      </c>
      <c r="P59">
        <v>12</v>
      </c>
      <c r="Q59" t="s">
        <v>203</v>
      </c>
      <c r="R59" s="6">
        <v>0.98495772499968293</v>
      </c>
      <c r="S59" s="6">
        <v>24.225253502175232</v>
      </c>
      <c r="T59" s="6">
        <v>10.31976302532502</v>
      </c>
      <c r="U59" s="6">
        <v>98.30251196243708</v>
      </c>
      <c r="V59" s="6">
        <v>0.38818932047977456</v>
      </c>
      <c r="W59" s="6">
        <v>12.281923384978068</v>
      </c>
      <c r="X59" s="6">
        <v>7.7579861494990983</v>
      </c>
      <c r="Y59" s="6">
        <v>73.349918729366834</v>
      </c>
    </row>
    <row r="60" spans="1:25" x14ac:dyDescent="0.25">
      <c r="A60" t="str">
        <f t="shared" si="0"/>
        <v>RTD Ice TeaFranceDecemberEUR (€)Fully-AutomatedOldPET Bottle0.33Medium-scaleHigh</v>
      </c>
      <c r="B60" t="s">
        <v>130</v>
      </c>
      <c r="C60" t="s">
        <v>130</v>
      </c>
      <c r="D60" t="s">
        <v>15</v>
      </c>
      <c r="E60" s="12" t="s">
        <v>182</v>
      </c>
      <c r="F60" t="s">
        <v>187</v>
      </c>
      <c r="G60" t="s">
        <v>12</v>
      </c>
      <c r="H60" t="s">
        <v>72</v>
      </c>
      <c r="I60" t="s">
        <v>175</v>
      </c>
      <c r="J60" s="12">
        <v>0.33</v>
      </c>
      <c r="K60" t="s">
        <v>62</v>
      </c>
      <c r="L60" t="s">
        <v>11</v>
      </c>
      <c r="M60" t="s">
        <v>199</v>
      </c>
      <c r="O60" t="s">
        <v>197</v>
      </c>
      <c r="P60">
        <v>12</v>
      </c>
      <c r="Q60" t="s">
        <v>203</v>
      </c>
      <c r="R60" s="6">
        <v>1.0240804784441147</v>
      </c>
      <c r="S60" s="6">
        <v>25.188188065908765</v>
      </c>
      <c r="T60" s="6">
        <v>10.729448722726705</v>
      </c>
      <c r="U60" s="6">
        <v>102.20577724947947</v>
      </c>
      <c r="V60" s="6">
        <v>0.40332775188482417</v>
      </c>
      <c r="W60" s="6">
        <v>12.758692667454479</v>
      </c>
      <c r="X60" s="6">
        <v>8.0598735614401154</v>
      </c>
      <c r="Y60" s="6">
        <v>76.20346079660537</v>
      </c>
    </row>
    <row r="61" spans="1:25" x14ac:dyDescent="0.25">
      <c r="A61" t="str">
        <f t="shared" si="0"/>
        <v>RTD Ice TeaFranceDecemberEUR (€)Fully-AutomatedOldPET Bottle0.33Small-scaleLow</v>
      </c>
      <c r="B61" t="s">
        <v>130</v>
      </c>
      <c r="C61" t="s">
        <v>130</v>
      </c>
      <c r="D61" t="s">
        <v>15</v>
      </c>
      <c r="E61" s="12" t="s">
        <v>182</v>
      </c>
      <c r="F61" t="s">
        <v>187</v>
      </c>
      <c r="G61" t="s">
        <v>12</v>
      </c>
      <c r="H61" t="s">
        <v>72</v>
      </c>
      <c r="I61" t="s">
        <v>175</v>
      </c>
      <c r="J61" s="12">
        <v>0.33</v>
      </c>
      <c r="K61" t="s">
        <v>60</v>
      </c>
      <c r="L61" t="s">
        <v>13</v>
      </c>
      <c r="M61" t="s">
        <v>199</v>
      </c>
      <c r="O61" t="s">
        <v>197</v>
      </c>
      <c r="P61">
        <v>12</v>
      </c>
      <c r="Q61" t="s">
        <v>203</v>
      </c>
      <c r="R61" s="6">
        <v>0.95102924958817192</v>
      </c>
      <c r="S61" s="6">
        <v>23.384277227589777</v>
      </c>
      <c r="T61" s="6">
        <v>9.966297946714036</v>
      </c>
      <c r="U61" s="6">
        <v>94.928670699523522</v>
      </c>
      <c r="V61" s="6">
        <v>0.37586206917880283</v>
      </c>
      <c r="W61" s="6">
        <v>11.89665268169488</v>
      </c>
      <c r="X61" s="6">
        <v>7.5135942432345075</v>
      </c>
      <c r="Y61" s="6">
        <v>71.040249403388728</v>
      </c>
    </row>
    <row r="62" spans="1:25" x14ac:dyDescent="0.25">
      <c r="A62" t="str">
        <f t="shared" si="0"/>
        <v>RTD Ice TeaFranceDecemberEUR (€)Fully-AutomatedOldPET Bottle0.33Small-scaleMedium</v>
      </c>
      <c r="B62" t="s">
        <v>130</v>
      </c>
      <c r="C62" t="s">
        <v>130</v>
      </c>
      <c r="D62" t="s">
        <v>15</v>
      </c>
      <c r="E62" s="12" t="s">
        <v>182</v>
      </c>
      <c r="F62" t="s">
        <v>187</v>
      </c>
      <c r="G62" t="s">
        <v>12</v>
      </c>
      <c r="H62" t="s">
        <v>72</v>
      </c>
      <c r="I62" t="s">
        <v>175</v>
      </c>
      <c r="J62" s="12">
        <v>0.33</v>
      </c>
      <c r="K62" t="s">
        <v>60</v>
      </c>
      <c r="L62" t="s">
        <v>63</v>
      </c>
      <c r="M62" t="s">
        <v>199</v>
      </c>
      <c r="O62" t="s">
        <v>197</v>
      </c>
      <c r="P62">
        <v>12</v>
      </c>
      <c r="Q62" t="s">
        <v>203</v>
      </c>
      <c r="R62" s="6">
        <v>0.98725402129597928</v>
      </c>
      <c r="S62" s="6">
        <v>24.275883305120828</v>
      </c>
      <c r="T62" s="6">
        <v>10.345636555419302</v>
      </c>
      <c r="U62" s="6">
        <v>98.542805224562784</v>
      </c>
      <c r="V62" s="6">
        <v>0.38987913529458945</v>
      </c>
      <c r="W62" s="6">
        <v>12.338105721024885</v>
      </c>
      <c r="X62" s="6">
        <v>7.7931196246613732</v>
      </c>
      <c r="Y62" s="6">
        <v>73.682417984165127</v>
      </c>
    </row>
    <row r="63" spans="1:25" x14ac:dyDescent="0.25">
      <c r="A63" t="str">
        <f t="shared" si="0"/>
        <v>RTD Ice TeaFranceDecemberEUR (€)Fully-AutomatedOldPET Bottle0.33Small-scaleHigh</v>
      </c>
      <c r="B63" t="s">
        <v>130</v>
      </c>
      <c r="C63" t="s">
        <v>130</v>
      </c>
      <c r="D63" t="s">
        <v>15</v>
      </c>
      <c r="E63" s="12" t="s">
        <v>182</v>
      </c>
      <c r="F63" t="s">
        <v>187</v>
      </c>
      <c r="G63" t="s">
        <v>12</v>
      </c>
      <c r="H63" t="s">
        <v>72</v>
      </c>
      <c r="I63" t="s">
        <v>175</v>
      </c>
      <c r="J63" s="12">
        <v>0.33</v>
      </c>
      <c r="K63" t="s">
        <v>60</v>
      </c>
      <c r="L63" t="s">
        <v>11</v>
      </c>
      <c r="M63" t="s">
        <v>199</v>
      </c>
      <c r="O63" t="s">
        <v>197</v>
      </c>
      <c r="P63">
        <v>12</v>
      </c>
      <c r="Q63" t="s">
        <v>203</v>
      </c>
      <c r="R63" s="6">
        <v>1.0263767747404109</v>
      </c>
      <c r="S63" s="6">
        <v>25.238817868854369</v>
      </c>
      <c r="T63" s="6">
        <v>10.755322252820989</v>
      </c>
      <c r="U63" s="6">
        <v>102.44607051160517</v>
      </c>
      <c r="V63" s="6">
        <v>0.40501756669963895</v>
      </c>
      <c r="W63" s="6">
        <v>12.814875003501294</v>
      </c>
      <c r="X63" s="6">
        <v>8.0950070366023912</v>
      </c>
      <c r="Y63" s="6">
        <v>76.535960051403663</v>
      </c>
    </row>
    <row r="64" spans="1:25" x14ac:dyDescent="0.25">
      <c r="A64" t="str">
        <f t="shared" si="0"/>
        <v>RTD Ice TeaFranceDecemberEUR (€)Fully-AutomatedOldPET Bottle0.33High-scaleLow</v>
      </c>
      <c r="B64" t="s">
        <v>130</v>
      </c>
      <c r="C64" t="s">
        <v>130</v>
      </c>
      <c r="D64" t="s">
        <v>15</v>
      </c>
      <c r="E64" s="12" t="s">
        <v>182</v>
      </c>
      <c r="F64" t="s">
        <v>187</v>
      </c>
      <c r="G64" t="s">
        <v>12</v>
      </c>
      <c r="H64" t="s">
        <v>72</v>
      </c>
      <c r="I64" t="s">
        <v>175</v>
      </c>
      <c r="J64" s="12">
        <v>0.33</v>
      </c>
      <c r="K64" t="s">
        <v>107</v>
      </c>
      <c r="L64" t="s">
        <v>13</v>
      </c>
      <c r="M64" t="s">
        <v>200</v>
      </c>
      <c r="O64" t="s">
        <v>197</v>
      </c>
      <c r="P64">
        <v>12</v>
      </c>
      <c r="Q64" t="s">
        <v>203</v>
      </c>
      <c r="R64" s="6">
        <v>0.94735517551409787</v>
      </c>
      <c r="S64" s="6">
        <v>23.303269542876816</v>
      </c>
      <c r="T64" s="6">
        <v>9.924900298563184</v>
      </c>
      <c r="U64" s="6">
        <v>94.544201480122396</v>
      </c>
      <c r="V64" s="6">
        <v>0.32863187775940733</v>
      </c>
      <c r="W64" s="6">
        <v>14.792286567849944</v>
      </c>
      <c r="X64" s="6">
        <v>7.418499493958608</v>
      </c>
      <c r="Y64" s="6">
        <v>72.093562357740623</v>
      </c>
    </row>
    <row r="65" spans="1:25" x14ac:dyDescent="0.25">
      <c r="A65" t="str">
        <f t="shared" si="0"/>
        <v>RTD Ice TeaFranceDecemberEUR (€)Fully-AutomatedOldPET Bottle0.33High-scaleMedium</v>
      </c>
      <c r="B65" t="s">
        <v>130</v>
      </c>
      <c r="C65" t="s">
        <v>130</v>
      </c>
      <c r="D65" t="s">
        <v>15</v>
      </c>
      <c r="E65" s="12" t="s">
        <v>182</v>
      </c>
      <c r="F65" t="s">
        <v>187</v>
      </c>
      <c r="G65" t="s">
        <v>12</v>
      </c>
      <c r="H65" t="s">
        <v>72</v>
      </c>
      <c r="I65" t="s">
        <v>175</v>
      </c>
      <c r="J65" s="12">
        <v>0.33</v>
      </c>
      <c r="K65" t="s">
        <v>107</v>
      </c>
      <c r="L65" t="s">
        <v>63</v>
      </c>
      <c r="M65" t="s">
        <v>200</v>
      </c>
      <c r="O65" t="s">
        <v>197</v>
      </c>
      <c r="P65">
        <v>12</v>
      </c>
      <c r="Q65" t="s">
        <v>203</v>
      </c>
      <c r="R65" s="6">
        <v>0.98357994722190512</v>
      </c>
      <c r="S65" s="6">
        <v>24.194875620407874</v>
      </c>
      <c r="T65" s="6">
        <v>10.304238907268452</v>
      </c>
      <c r="U65" s="6">
        <v>98.158336005161644</v>
      </c>
      <c r="V65" s="6">
        <v>0.3410378823818554</v>
      </c>
      <c r="W65" s="6">
        <v>15.349306490224473</v>
      </c>
      <c r="X65" s="6">
        <v>7.6982668146895792</v>
      </c>
      <c r="Y65" s="6">
        <v>74.81183286799525</v>
      </c>
    </row>
    <row r="66" spans="1:25" x14ac:dyDescent="0.25">
      <c r="A66" t="str">
        <f t="shared" ref="A66:A129" si="1">C66&amp;D66&amp;E66&amp;F66&amp;G66&amp;H66&amp;I66&amp;J66&amp;K66&amp;L66</f>
        <v>RTD Ice TeaFranceDecemberEUR (€)Fully-AutomatedOldPET Bottle0.33High-scaleHigh</v>
      </c>
      <c r="B66" t="s">
        <v>130</v>
      </c>
      <c r="C66" t="s">
        <v>130</v>
      </c>
      <c r="D66" t="s">
        <v>15</v>
      </c>
      <c r="E66" s="12" t="s">
        <v>182</v>
      </c>
      <c r="F66" t="s">
        <v>187</v>
      </c>
      <c r="G66" t="s">
        <v>12</v>
      </c>
      <c r="H66" t="s">
        <v>72</v>
      </c>
      <c r="I66" t="s">
        <v>175</v>
      </c>
      <c r="J66" s="12">
        <v>0.33</v>
      </c>
      <c r="K66" t="s">
        <v>107</v>
      </c>
      <c r="L66" t="s">
        <v>11</v>
      </c>
      <c r="M66" t="s">
        <v>200</v>
      </c>
      <c r="O66" t="s">
        <v>197</v>
      </c>
      <c r="P66">
        <v>12</v>
      </c>
      <c r="Q66" t="s">
        <v>203</v>
      </c>
      <c r="R66" s="6">
        <v>1.0227027006663367</v>
      </c>
      <c r="S66" s="6">
        <v>25.157810184141404</v>
      </c>
      <c r="T66" s="6">
        <v>10.71392460467014</v>
      </c>
      <c r="U66" s="6">
        <v>102.06160129220405</v>
      </c>
      <c r="V66" s="6">
        <v>0.35443636737409928</v>
      </c>
      <c r="W66" s="6">
        <v>15.950888006388963</v>
      </c>
      <c r="X66" s="6">
        <v>8.0004155210790255</v>
      </c>
      <c r="Y66" s="6">
        <v>77.747565019070251</v>
      </c>
    </row>
    <row r="67" spans="1:25" x14ac:dyDescent="0.25">
      <c r="A67" t="str">
        <f t="shared" si="1"/>
        <v>RTD Ice TeaFranceDecemberEUR (€)Fully-AutomatedOldPET Bottle0.33Medium-scaleLow</v>
      </c>
      <c r="B67" t="s">
        <v>130</v>
      </c>
      <c r="C67" t="s">
        <v>130</v>
      </c>
      <c r="D67" t="s">
        <v>15</v>
      </c>
      <c r="E67" s="12" t="s">
        <v>182</v>
      </c>
      <c r="F67" t="s">
        <v>187</v>
      </c>
      <c r="G67" t="s">
        <v>12</v>
      </c>
      <c r="H67" t="s">
        <v>72</v>
      </c>
      <c r="I67" t="s">
        <v>175</v>
      </c>
      <c r="J67" s="12">
        <v>0.33</v>
      </c>
      <c r="K67" t="s">
        <v>62</v>
      </c>
      <c r="L67" t="s">
        <v>13</v>
      </c>
      <c r="M67" t="s">
        <v>200</v>
      </c>
      <c r="O67" t="s">
        <v>197</v>
      </c>
      <c r="P67">
        <v>12</v>
      </c>
      <c r="Q67" t="s">
        <v>203</v>
      </c>
      <c r="R67" s="6">
        <v>0.94873295329187568</v>
      </c>
      <c r="S67" s="6">
        <v>23.333647424644177</v>
      </c>
      <c r="T67" s="6">
        <v>9.940424416619754</v>
      </c>
      <c r="U67" s="6">
        <v>94.688377437397804</v>
      </c>
      <c r="V67" s="6">
        <v>0.32954475654728616</v>
      </c>
      <c r="W67" s="6">
        <v>14.833172354530996</v>
      </c>
      <c r="X67" s="6">
        <v>7.4395795790559749</v>
      </c>
      <c r="Y67" s="6">
        <v>72.297660904338372</v>
      </c>
    </row>
    <row r="68" spans="1:25" x14ac:dyDescent="0.25">
      <c r="A68" t="str">
        <f t="shared" si="1"/>
        <v>RTD Ice TeaFranceDecemberEUR (€)Fully-AutomatedOldPET Bottle0.33Medium-scaleMedium</v>
      </c>
      <c r="B68" t="s">
        <v>130</v>
      </c>
      <c r="C68" t="s">
        <v>130</v>
      </c>
      <c r="D68" t="s">
        <v>15</v>
      </c>
      <c r="E68" s="12" t="s">
        <v>182</v>
      </c>
      <c r="F68" t="s">
        <v>187</v>
      </c>
      <c r="G68" t="s">
        <v>12</v>
      </c>
      <c r="H68" t="s">
        <v>72</v>
      </c>
      <c r="I68" t="s">
        <v>175</v>
      </c>
      <c r="J68" s="12">
        <v>0.33</v>
      </c>
      <c r="K68" t="s">
        <v>62</v>
      </c>
      <c r="L68" t="s">
        <v>63</v>
      </c>
      <c r="M68" t="s">
        <v>200</v>
      </c>
      <c r="O68" t="s">
        <v>197</v>
      </c>
      <c r="P68">
        <v>12</v>
      </c>
      <c r="Q68" t="s">
        <v>203</v>
      </c>
      <c r="R68" s="6">
        <v>0.98495772499968293</v>
      </c>
      <c r="S68" s="6">
        <v>24.225253502175232</v>
      </c>
      <c r="T68" s="6">
        <v>10.31976302532502</v>
      </c>
      <c r="U68" s="6">
        <v>98.30251196243708</v>
      </c>
      <c r="V68" s="6">
        <v>0.34195076116973416</v>
      </c>
      <c r="W68" s="6">
        <v>15.390192276905523</v>
      </c>
      <c r="X68" s="6">
        <v>7.7193468997869452</v>
      </c>
      <c r="Y68" s="6">
        <v>75.015931414593013</v>
      </c>
    </row>
    <row r="69" spans="1:25" x14ac:dyDescent="0.25">
      <c r="A69" t="str">
        <f t="shared" si="1"/>
        <v>RTD Ice TeaFranceDecemberEUR (€)Fully-AutomatedOldPET Bottle0.33Medium-scaleHigh</v>
      </c>
      <c r="B69" t="s">
        <v>130</v>
      </c>
      <c r="C69" t="s">
        <v>130</v>
      </c>
      <c r="D69" t="s">
        <v>15</v>
      </c>
      <c r="E69" s="12" t="s">
        <v>182</v>
      </c>
      <c r="F69" t="s">
        <v>187</v>
      </c>
      <c r="G69" t="s">
        <v>12</v>
      </c>
      <c r="H69" t="s">
        <v>72</v>
      </c>
      <c r="I69" t="s">
        <v>175</v>
      </c>
      <c r="J69" s="12">
        <v>0.33</v>
      </c>
      <c r="K69" t="s">
        <v>62</v>
      </c>
      <c r="L69" t="s">
        <v>11</v>
      </c>
      <c r="M69" t="s">
        <v>200</v>
      </c>
      <c r="O69" t="s">
        <v>197</v>
      </c>
      <c r="P69">
        <v>12</v>
      </c>
      <c r="Q69" t="s">
        <v>203</v>
      </c>
      <c r="R69" s="6">
        <v>1.0240804784441147</v>
      </c>
      <c r="S69" s="6">
        <v>25.188188065908765</v>
      </c>
      <c r="T69" s="6">
        <v>10.729448722726705</v>
      </c>
      <c r="U69" s="6">
        <v>102.20577724947947</v>
      </c>
      <c r="V69" s="6">
        <v>0.35534924616197811</v>
      </c>
      <c r="W69" s="6">
        <v>15.991773793070017</v>
      </c>
      <c r="X69" s="6">
        <v>8.0214956061763942</v>
      </c>
      <c r="Y69" s="6">
        <v>77.951663565668014</v>
      </c>
    </row>
    <row r="70" spans="1:25" x14ac:dyDescent="0.25">
      <c r="A70" t="str">
        <f t="shared" si="1"/>
        <v>RTD Ice TeaFranceDecemberEUR (€)Fully-AutomatedOldPET Bottle0.33Small-scaleLow</v>
      </c>
      <c r="B70" t="s">
        <v>130</v>
      </c>
      <c r="C70" t="s">
        <v>130</v>
      </c>
      <c r="D70" t="s">
        <v>15</v>
      </c>
      <c r="E70" s="12" t="s">
        <v>182</v>
      </c>
      <c r="F70" t="s">
        <v>187</v>
      </c>
      <c r="G70" t="s">
        <v>12</v>
      </c>
      <c r="H70" t="s">
        <v>72</v>
      </c>
      <c r="I70" t="s">
        <v>175</v>
      </c>
      <c r="J70" s="12">
        <v>0.33</v>
      </c>
      <c r="K70" t="s">
        <v>60</v>
      </c>
      <c r="L70" t="s">
        <v>13</v>
      </c>
      <c r="M70" t="s">
        <v>200</v>
      </c>
      <c r="O70" t="s">
        <v>197</v>
      </c>
      <c r="P70">
        <v>12</v>
      </c>
      <c r="Q70" t="s">
        <v>203</v>
      </c>
      <c r="R70" s="6">
        <v>0.95102924958817192</v>
      </c>
      <c r="S70" s="6">
        <v>23.384277227589777</v>
      </c>
      <c r="T70" s="6">
        <v>9.966297946714036</v>
      </c>
      <c r="U70" s="6">
        <v>94.928670699523522</v>
      </c>
      <c r="V70" s="6">
        <v>0.33106622119375079</v>
      </c>
      <c r="W70" s="6">
        <v>14.901315332332748</v>
      </c>
      <c r="X70" s="6">
        <v>7.4747130542182507</v>
      </c>
      <c r="Y70" s="6">
        <v>72.637825148667957</v>
      </c>
    </row>
    <row r="71" spans="1:25" x14ac:dyDescent="0.25">
      <c r="A71" t="str">
        <f t="shared" si="1"/>
        <v>RTD Ice TeaFranceDecemberEUR (€)Fully-AutomatedOldPET Bottle0.33Small-scaleMedium</v>
      </c>
      <c r="B71" t="s">
        <v>130</v>
      </c>
      <c r="C71" t="s">
        <v>130</v>
      </c>
      <c r="D71" t="s">
        <v>15</v>
      </c>
      <c r="E71" s="12" t="s">
        <v>182</v>
      </c>
      <c r="F71" t="s">
        <v>187</v>
      </c>
      <c r="G71" t="s">
        <v>12</v>
      </c>
      <c r="H71" t="s">
        <v>72</v>
      </c>
      <c r="I71" t="s">
        <v>175</v>
      </c>
      <c r="J71" s="12">
        <v>0.33</v>
      </c>
      <c r="K71" t="s">
        <v>60</v>
      </c>
      <c r="L71" t="s">
        <v>63</v>
      </c>
      <c r="M71" t="s">
        <v>200</v>
      </c>
      <c r="O71" t="s">
        <v>197</v>
      </c>
      <c r="P71">
        <v>12</v>
      </c>
      <c r="Q71" t="s">
        <v>203</v>
      </c>
      <c r="R71" s="6">
        <v>0.98725402129597928</v>
      </c>
      <c r="S71" s="6">
        <v>24.275883305120828</v>
      </c>
      <c r="T71" s="6">
        <v>10.345636555419302</v>
      </c>
      <c r="U71" s="6">
        <v>98.542805224562784</v>
      </c>
      <c r="V71" s="6">
        <v>0.3434722258161988</v>
      </c>
      <c r="W71" s="6">
        <v>15.458335254707276</v>
      </c>
      <c r="X71" s="6">
        <v>7.7544803749492219</v>
      </c>
      <c r="Y71" s="6">
        <v>75.356095658922584</v>
      </c>
    </row>
    <row r="72" spans="1:25" x14ac:dyDescent="0.25">
      <c r="A72" t="str">
        <f t="shared" si="1"/>
        <v>RTD Ice TeaFranceDecemberEUR (€)Fully-AutomatedOldPET Bottle0.33Small-scaleHigh</v>
      </c>
      <c r="B72" t="s">
        <v>130</v>
      </c>
      <c r="C72" t="s">
        <v>130</v>
      </c>
      <c r="D72" t="s">
        <v>15</v>
      </c>
      <c r="E72" s="12" t="s">
        <v>182</v>
      </c>
      <c r="F72" t="s">
        <v>187</v>
      </c>
      <c r="G72" t="s">
        <v>12</v>
      </c>
      <c r="H72" t="s">
        <v>72</v>
      </c>
      <c r="I72" t="s">
        <v>175</v>
      </c>
      <c r="J72" s="12">
        <v>0.33</v>
      </c>
      <c r="K72" t="s">
        <v>60</v>
      </c>
      <c r="L72" t="s">
        <v>11</v>
      </c>
      <c r="M72" t="s">
        <v>200</v>
      </c>
      <c r="O72" t="s">
        <v>197</v>
      </c>
      <c r="P72">
        <v>12</v>
      </c>
      <c r="Q72" t="s">
        <v>203</v>
      </c>
      <c r="R72" s="6">
        <v>1.0263767747404109</v>
      </c>
      <c r="S72" s="6">
        <v>25.238817868854369</v>
      </c>
      <c r="T72" s="6">
        <v>10.755322252820989</v>
      </c>
      <c r="U72" s="6">
        <v>102.44607051160517</v>
      </c>
      <c r="V72" s="6">
        <v>0.35687071080844268</v>
      </c>
      <c r="W72" s="6">
        <v>16.059916770871766</v>
      </c>
      <c r="X72" s="6">
        <v>8.0566290813386683</v>
      </c>
      <c r="Y72" s="6">
        <v>78.291827809997585</v>
      </c>
    </row>
    <row r="73" spans="1:25" x14ac:dyDescent="0.25">
      <c r="A73" t="str">
        <f t="shared" si="1"/>
        <v>RTD Ice TeaFranceDecemberEUR (€)Fully-AutomatedOldPET Bottle0.33High-scaleLow</v>
      </c>
      <c r="B73" t="s">
        <v>130</v>
      </c>
      <c r="C73" t="s">
        <v>130</v>
      </c>
      <c r="D73" t="s">
        <v>15</v>
      </c>
      <c r="E73" s="12" t="s">
        <v>182</v>
      </c>
      <c r="F73" t="s">
        <v>187</v>
      </c>
      <c r="G73" t="s">
        <v>12</v>
      </c>
      <c r="H73" t="s">
        <v>72</v>
      </c>
      <c r="I73" t="s">
        <v>175</v>
      </c>
      <c r="J73" s="12">
        <v>0.33</v>
      </c>
      <c r="K73" t="s">
        <v>107</v>
      </c>
      <c r="L73" t="s">
        <v>13</v>
      </c>
      <c r="M73" t="s">
        <v>199</v>
      </c>
      <c r="O73" t="s">
        <v>197</v>
      </c>
      <c r="P73">
        <v>24</v>
      </c>
      <c r="Q73" t="s">
        <v>204</v>
      </c>
      <c r="R73" s="6">
        <v>0.94735517551409787</v>
      </c>
      <c r="S73" s="6">
        <v>23.303269542876816</v>
      </c>
      <c r="T73" s="6">
        <v>9.924900298563184</v>
      </c>
      <c r="U73" s="6">
        <v>94.544201480122396</v>
      </c>
      <c r="V73" s="6">
        <v>0.30169980330018903</v>
      </c>
      <c r="W73" s="6">
        <v>9.7973497592806602</v>
      </c>
      <c r="X73" s="6">
        <v>6.3642401369200021</v>
      </c>
      <c r="Y73" s="6">
        <v>59.980735757558939</v>
      </c>
    </row>
    <row r="74" spans="1:25" x14ac:dyDescent="0.25">
      <c r="A74" t="str">
        <f t="shared" si="1"/>
        <v>RTD Ice TeaFranceDecemberEUR (€)Fully-AutomatedOldPET Bottle0.33High-scaleMedium</v>
      </c>
      <c r="B74" t="s">
        <v>130</v>
      </c>
      <c r="C74" t="s">
        <v>130</v>
      </c>
      <c r="D74" t="s">
        <v>15</v>
      </c>
      <c r="E74" s="12" t="s">
        <v>182</v>
      </c>
      <c r="F74" t="s">
        <v>187</v>
      </c>
      <c r="G74" t="s">
        <v>12</v>
      </c>
      <c r="H74" t="s">
        <v>72</v>
      </c>
      <c r="I74" t="s">
        <v>175</v>
      </c>
      <c r="J74" s="12">
        <v>0.33</v>
      </c>
      <c r="K74" t="s">
        <v>107</v>
      </c>
      <c r="L74" t="s">
        <v>63</v>
      </c>
      <c r="M74" t="s">
        <v>199</v>
      </c>
      <c r="O74" t="s">
        <v>197</v>
      </c>
      <c r="P74">
        <v>24</v>
      </c>
      <c r="Q74" t="s">
        <v>204</v>
      </c>
      <c r="R74" s="6">
        <v>0.98357994722190512</v>
      </c>
      <c r="S74" s="6">
        <v>24.194875620407874</v>
      </c>
      <c r="T74" s="6">
        <v>10.304238907268452</v>
      </c>
      <c r="U74" s="6">
        <v>98.158336005161644</v>
      </c>
      <c r="V74" s="6">
        <v>0.31300148571150166</v>
      </c>
      <c r="W74" s="6">
        <v>10.162398973567656</v>
      </c>
      <c r="X74" s="6">
        <v>6.6021849497644807</v>
      </c>
      <c r="Y74" s="6">
        <v>62.222482738020716</v>
      </c>
    </row>
    <row r="75" spans="1:25" x14ac:dyDescent="0.25">
      <c r="A75" t="str">
        <f t="shared" si="1"/>
        <v>RTD Ice TeaFranceDecemberEUR (€)Fully-AutomatedOldPET Bottle0.33High-scaleHigh</v>
      </c>
      <c r="B75" t="s">
        <v>130</v>
      </c>
      <c r="C75" t="s">
        <v>130</v>
      </c>
      <c r="D75" t="s">
        <v>15</v>
      </c>
      <c r="E75" s="12" t="s">
        <v>182</v>
      </c>
      <c r="F75" t="s">
        <v>187</v>
      </c>
      <c r="G75" t="s">
        <v>12</v>
      </c>
      <c r="H75" t="s">
        <v>72</v>
      </c>
      <c r="I75" t="s">
        <v>175</v>
      </c>
      <c r="J75" s="12">
        <v>0.33</v>
      </c>
      <c r="K75" t="s">
        <v>107</v>
      </c>
      <c r="L75" t="s">
        <v>11</v>
      </c>
      <c r="M75" t="s">
        <v>199</v>
      </c>
      <c r="O75" t="s">
        <v>197</v>
      </c>
      <c r="P75">
        <v>24</v>
      </c>
      <c r="Q75" t="s">
        <v>204</v>
      </c>
      <c r="R75" s="6">
        <v>1.0227027006663367</v>
      </c>
      <c r="S75" s="6">
        <v>25.157810184141404</v>
      </c>
      <c r="T75" s="6">
        <v>10.71392460467014</v>
      </c>
      <c r="U75" s="6">
        <v>102.06160129220405</v>
      </c>
      <c r="V75" s="6">
        <v>0.32520730271571918</v>
      </c>
      <c r="W75" s="6">
        <v>10.55665212499761</v>
      </c>
      <c r="X75" s="6">
        <v>6.8591653476365195</v>
      </c>
      <c r="Y75" s="6">
        <v>64.643569476919453</v>
      </c>
    </row>
    <row r="76" spans="1:25" x14ac:dyDescent="0.25">
      <c r="A76" t="str">
        <f t="shared" si="1"/>
        <v>RTD Ice TeaFranceDecemberEUR (€)Fully-AutomatedOldPET Bottle0.33Medium-scaleLow</v>
      </c>
      <c r="B76" t="s">
        <v>130</v>
      </c>
      <c r="C76" t="s">
        <v>130</v>
      </c>
      <c r="D76" t="s">
        <v>15</v>
      </c>
      <c r="E76" s="12" t="s">
        <v>182</v>
      </c>
      <c r="F76" t="s">
        <v>187</v>
      </c>
      <c r="G76" t="s">
        <v>12</v>
      </c>
      <c r="H76" t="s">
        <v>72</v>
      </c>
      <c r="I76" t="s">
        <v>175</v>
      </c>
      <c r="J76" s="12">
        <v>0.33</v>
      </c>
      <c r="K76" t="s">
        <v>62</v>
      </c>
      <c r="L76" t="s">
        <v>13</v>
      </c>
      <c r="M76" t="s">
        <v>199</v>
      </c>
      <c r="O76" t="s">
        <v>197</v>
      </c>
      <c r="P76">
        <v>24</v>
      </c>
      <c r="Q76" t="s">
        <v>204</v>
      </c>
      <c r="R76" s="6">
        <v>0.94873295329187568</v>
      </c>
      <c r="S76" s="6">
        <v>23.333647424644177</v>
      </c>
      <c r="T76" s="6">
        <v>9.940424416619754</v>
      </c>
      <c r="U76" s="6">
        <v>94.688377437397804</v>
      </c>
      <c r="V76" s="6">
        <v>0.30249904572443148</v>
      </c>
      <c r="W76" s="6">
        <v>9.8253312275034919</v>
      </c>
      <c r="X76" s="6">
        <v>6.382308781289173</v>
      </c>
      <c r="Y76" s="6">
        <v>60.15109700294493</v>
      </c>
    </row>
    <row r="77" spans="1:25" x14ac:dyDescent="0.25">
      <c r="A77" t="str">
        <f t="shared" si="1"/>
        <v>RTD Ice TeaFranceDecemberEUR (€)Fully-AutomatedOldPET Bottle0.33Medium-scaleMedium</v>
      </c>
      <c r="B77" t="s">
        <v>130</v>
      </c>
      <c r="C77" t="s">
        <v>130</v>
      </c>
      <c r="D77" t="s">
        <v>15</v>
      </c>
      <c r="E77" s="12" t="s">
        <v>182</v>
      </c>
      <c r="F77" t="s">
        <v>187</v>
      </c>
      <c r="G77" t="s">
        <v>12</v>
      </c>
      <c r="H77" t="s">
        <v>72</v>
      </c>
      <c r="I77" t="s">
        <v>175</v>
      </c>
      <c r="J77" s="12">
        <v>0.33</v>
      </c>
      <c r="K77" t="s">
        <v>62</v>
      </c>
      <c r="L77" t="s">
        <v>63</v>
      </c>
      <c r="M77" t="s">
        <v>199</v>
      </c>
      <c r="O77" t="s">
        <v>197</v>
      </c>
      <c r="P77">
        <v>24</v>
      </c>
      <c r="Q77" t="s">
        <v>204</v>
      </c>
      <c r="R77" s="6">
        <v>0.98495772499968293</v>
      </c>
      <c r="S77" s="6">
        <v>24.225253502175232</v>
      </c>
      <c r="T77" s="6">
        <v>10.31976302532502</v>
      </c>
      <c r="U77" s="6">
        <v>98.30251196243708</v>
      </c>
      <c r="V77" s="6">
        <v>0.313800728135744</v>
      </c>
      <c r="W77" s="6">
        <v>10.190380441790486</v>
      </c>
      <c r="X77" s="6">
        <v>6.6202535941336524</v>
      </c>
      <c r="Y77" s="6">
        <v>62.392843983406713</v>
      </c>
    </row>
    <row r="78" spans="1:25" x14ac:dyDescent="0.25">
      <c r="A78" t="str">
        <f t="shared" si="1"/>
        <v>RTD Ice TeaFranceDecemberEUR (€)Fully-AutomatedOldPET Bottle0.33Medium-scaleHigh</v>
      </c>
      <c r="B78" t="s">
        <v>130</v>
      </c>
      <c r="C78" t="s">
        <v>130</v>
      </c>
      <c r="D78" t="s">
        <v>15</v>
      </c>
      <c r="E78" s="12" t="s">
        <v>182</v>
      </c>
      <c r="F78" t="s">
        <v>187</v>
      </c>
      <c r="G78" t="s">
        <v>12</v>
      </c>
      <c r="H78" t="s">
        <v>72</v>
      </c>
      <c r="I78" t="s">
        <v>175</v>
      </c>
      <c r="J78" s="12">
        <v>0.33</v>
      </c>
      <c r="K78" t="s">
        <v>62</v>
      </c>
      <c r="L78" t="s">
        <v>11</v>
      </c>
      <c r="M78" t="s">
        <v>199</v>
      </c>
      <c r="O78" t="s">
        <v>197</v>
      </c>
      <c r="P78">
        <v>24</v>
      </c>
      <c r="Q78" t="s">
        <v>204</v>
      </c>
      <c r="R78" s="6">
        <v>1.0240804784441147</v>
      </c>
      <c r="S78" s="6">
        <v>25.188188065908765</v>
      </c>
      <c r="T78" s="6">
        <v>10.729448722726705</v>
      </c>
      <c r="U78" s="6">
        <v>102.20577724947947</v>
      </c>
      <c r="V78" s="6">
        <v>0.32600654513996169</v>
      </c>
      <c r="W78" s="6">
        <v>10.584633593220444</v>
      </c>
      <c r="X78" s="6">
        <v>6.8772339920056913</v>
      </c>
      <c r="Y78" s="6">
        <v>64.813930722305443</v>
      </c>
    </row>
    <row r="79" spans="1:25" x14ac:dyDescent="0.25">
      <c r="A79" t="str">
        <f t="shared" si="1"/>
        <v>RTD Ice TeaFranceDecemberEUR (€)Fully-AutomatedOldPET Bottle0.33Small-scaleLow</v>
      </c>
      <c r="B79" t="s">
        <v>130</v>
      </c>
      <c r="C79" t="s">
        <v>130</v>
      </c>
      <c r="D79" t="s">
        <v>15</v>
      </c>
      <c r="E79" s="12" t="s">
        <v>182</v>
      </c>
      <c r="F79" t="s">
        <v>187</v>
      </c>
      <c r="G79" t="s">
        <v>12</v>
      </c>
      <c r="H79" t="s">
        <v>72</v>
      </c>
      <c r="I79" t="s">
        <v>175</v>
      </c>
      <c r="J79" s="12">
        <v>0.33</v>
      </c>
      <c r="K79" t="s">
        <v>60</v>
      </c>
      <c r="L79" t="s">
        <v>13</v>
      </c>
      <c r="M79" t="s">
        <v>199</v>
      </c>
      <c r="O79" t="s">
        <v>197</v>
      </c>
      <c r="P79">
        <v>24</v>
      </c>
      <c r="Q79" t="s">
        <v>204</v>
      </c>
      <c r="R79" s="6">
        <v>0.95102924958817192</v>
      </c>
      <c r="S79" s="6">
        <v>23.384277227589777</v>
      </c>
      <c r="T79" s="6">
        <v>9.966297946714036</v>
      </c>
      <c r="U79" s="6">
        <v>94.928670699523522</v>
      </c>
      <c r="V79" s="6">
        <v>0.30383111643150212</v>
      </c>
      <c r="W79" s="6">
        <v>9.8719670078748791</v>
      </c>
      <c r="X79" s="6">
        <v>6.4124231885711227</v>
      </c>
      <c r="Y79" s="6">
        <v>60.435032411921547</v>
      </c>
    </row>
    <row r="80" spans="1:25" x14ac:dyDescent="0.25">
      <c r="A80" t="str">
        <f t="shared" si="1"/>
        <v>RTD Ice TeaFranceDecemberEUR (€)Fully-AutomatedOldPET Bottle0.33Small-scaleMedium</v>
      </c>
      <c r="B80" t="s">
        <v>130</v>
      </c>
      <c r="C80" t="s">
        <v>130</v>
      </c>
      <c r="D80" t="s">
        <v>15</v>
      </c>
      <c r="E80" s="12" t="s">
        <v>182</v>
      </c>
      <c r="F80" t="s">
        <v>187</v>
      </c>
      <c r="G80" t="s">
        <v>12</v>
      </c>
      <c r="H80" t="s">
        <v>72</v>
      </c>
      <c r="I80" t="s">
        <v>175</v>
      </c>
      <c r="J80" s="12">
        <v>0.33</v>
      </c>
      <c r="K80" t="s">
        <v>60</v>
      </c>
      <c r="L80" t="s">
        <v>63</v>
      </c>
      <c r="M80" t="s">
        <v>199</v>
      </c>
      <c r="O80" t="s">
        <v>197</v>
      </c>
      <c r="P80">
        <v>24</v>
      </c>
      <c r="Q80" t="s">
        <v>204</v>
      </c>
      <c r="R80" s="6">
        <v>0.98725402129597928</v>
      </c>
      <c r="S80" s="6">
        <v>24.275883305120828</v>
      </c>
      <c r="T80" s="6">
        <v>10.345636555419302</v>
      </c>
      <c r="U80" s="6">
        <v>98.542805224562784</v>
      </c>
      <c r="V80" s="6">
        <v>0.31513279884281475</v>
      </c>
      <c r="W80" s="6">
        <v>10.237016222161873</v>
      </c>
      <c r="X80" s="6">
        <v>6.650368001415603</v>
      </c>
      <c r="Y80" s="6">
        <v>62.676779392383338</v>
      </c>
    </row>
    <row r="81" spans="1:25" x14ac:dyDescent="0.25">
      <c r="A81" t="str">
        <f t="shared" si="1"/>
        <v>RTD Ice TeaFranceDecemberEUR (€)Fully-AutomatedOldPET Bottle0.33Small-scaleHigh</v>
      </c>
      <c r="B81" t="s">
        <v>130</v>
      </c>
      <c r="C81" t="s">
        <v>130</v>
      </c>
      <c r="D81" t="s">
        <v>15</v>
      </c>
      <c r="E81" s="12" t="s">
        <v>182</v>
      </c>
      <c r="F81" t="s">
        <v>187</v>
      </c>
      <c r="G81" t="s">
        <v>12</v>
      </c>
      <c r="H81" t="s">
        <v>72</v>
      </c>
      <c r="I81" t="s">
        <v>175</v>
      </c>
      <c r="J81" s="12">
        <v>0.33</v>
      </c>
      <c r="K81" t="s">
        <v>60</v>
      </c>
      <c r="L81" t="s">
        <v>11</v>
      </c>
      <c r="M81" t="s">
        <v>199</v>
      </c>
      <c r="O81" t="s">
        <v>197</v>
      </c>
      <c r="P81">
        <v>24</v>
      </c>
      <c r="Q81" t="s">
        <v>204</v>
      </c>
      <c r="R81" s="6">
        <v>1.0263767747404109</v>
      </c>
      <c r="S81" s="6">
        <v>25.238817868854369</v>
      </c>
      <c r="T81" s="6">
        <v>10.755322252820989</v>
      </c>
      <c r="U81" s="6">
        <v>102.44607051160517</v>
      </c>
      <c r="V81" s="6">
        <v>0.32733861584703233</v>
      </c>
      <c r="W81" s="6">
        <v>10.631269373591831</v>
      </c>
      <c r="X81" s="6">
        <v>6.9073483992876419</v>
      </c>
      <c r="Y81" s="6">
        <v>65.097866131282075</v>
      </c>
    </row>
    <row r="82" spans="1:25" x14ac:dyDescent="0.25">
      <c r="A82" t="str">
        <f t="shared" si="1"/>
        <v>RTD Ice TeaFranceDecemberEUR (€)Fully-AutomatedOldPET Bottle0.33High-scaleLow</v>
      </c>
      <c r="B82" t="s">
        <v>130</v>
      </c>
      <c r="C82" t="s">
        <v>130</v>
      </c>
      <c r="D82" t="s">
        <v>15</v>
      </c>
      <c r="E82" s="12" t="s">
        <v>182</v>
      </c>
      <c r="F82" t="s">
        <v>187</v>
      </c>
      <c r="G82" t="s">
        <v>12</v>
      </c>
      <c r="H82" t="s">
        <v>72</v>
      </c>
      <c r="I82" t="s">
        <v>175</v>
      </c>
      <c r="J82" s="12">
        <v>0.33</v>
      </c>
      <c r="K82" t="s">
        <v>107</v>
      </c>
      <c r="L82" t="s">
        <v>13</v>
      </c>
      <c r="M82" t="s">
        <v>200</v>
      </c>
      <c r="O82" t="s">
        <v>197</v>
      </c>
      <c r="P82">
        <v>24</v>
      </c>
      <c r="Q82" t="s">
        <v>204</v>
      </c>
      <c r="R82" s="6">
        <v>0.94735517551409787</v>
      </c>
      <c r="S82" s="6">
        <v>23.303269542876816</v>
      </c>
      <c r="T82" s="6">
        <v>9.924900298563184</v>
      </c>
      <c r="U82" s="6">
        <v>94.544201480122396</v>
      </c>
      <c r="V82" s="6">
        <v>0.25717331558449719</v>
      </c>
      <c r="W82" s="6">
        <v>12.78287538311063</v>
      </c>
      <c r="X82" s="6">
        <v>6.3253589479037453</v>
      </c>
      <c r="Y82" s="6">
        <v>61.566047519588132</v>
      </c>
    </row>
    <row r="83" spans="1:25" x14ac:dyDescent="0.25">
      <c r="A83" t="str">
        <f t="shared" si="1"/>
        <v>RTD Ice TeaFranceDecemberEUR (€)Fully-AutomatedOldPET Bottle0.33High-scaleMedium</v>
      </c>
      <c r="B83" t="s">
        <v>130</v>
      </c>
      <c r="C83" t="s">
        <v>130</v>
      </c>
      <c r="D83" t="s">
        <v>15</v>
      </c>
      <c r="E83" s="12" t="s">
        <v>182</v>
      </c>
      <c r="F83" t="s">
        <v>187</v>
      </c>
      <c r="G83" t="s">
        <v>12</v>
      </c>
      <c r="H83" t="s">
        <v>72</v>
      </c>
      <c r="I83" t="s">
        <v>175</v>
      </c>
      <c r="J83" s="12">
        <v>0.33</v>
      </c>
      <c r="K83" t="s">
        <v>107</v>
      </c>
      <c r="L83" t="s">
        <v>63</v>
      </c>
      <c r="M83" t="s">
        <v>200</v>
      </c>
      <c r="O83" t="s">
        <v>197</v>
      </c>
      <c r="P83">
        <v>24</v>
      </c>
      <c r="Q83" t="s">
        <v>204</v>
      </c>
      <c r="R83" s="6">
        <v>0.98357994722190512</v>
      </c>
      <c r="S83" s="6">
        <v>24.194875620407874</v>
      </c>
      <c r="T83" s="6">
        <v>10.304238907268452</v>
      </c>
      <c r="U83" s="6">
        <v>98.158336005161644</v>
      </c>
      <c r="V83" s="6">
        <v>0.26686393650247131</v>
      </c>
      <c r="W83" s="6">
        <v>13.263491480442147</v>
      </c>
      <c r="X83" s="6">
        <v>6.5635457000523285</v>
      </c>
      <c r="Y83" s="6">
        <v>63.883896429528122</v>
      </c>
    </row>
    <row r="84" spans="1:25" x14ac:dyDescent="0.25">
      <c r="A84" t="str">
        <f t="shared" si="1"/>
        <v>RTD Ice TeaFranceDecemberEUR (€)Fully-AutomatedOldPET Bottle0.33High-scaleHigh</v>
      </c>
      <c r="B84" t="s">
        <v>130</v>
      </c>
      <c r="C84" t="s">
        <v>130</v>
      </c>
      <c r="D84" t="s">
        <v>15</v>
      </c>
      <c r="E84" s="12" t="s">
        <v>182</v>
      </c>
      <c r="F84" t="s">
        <v>187</v>
      </c>
      <c r="G84" t="s">
        <v>12</v>
      </c>
      <c r="H84" t="s">
        <v>72</v>
      </c>
      <c r="I84" t="s">
        <v>175</v>
      </c>
      <c r="J84" s="12">
        <v>0.33</v>
      </c>
      <c r="K84" t="s">
        <v>107</v>
      </c>
      <c r="L84" t="s">
        <v>11</v>
      </c>
      <c r="M84" t="s">
        <v>200</v>
      </c>
      <c r="O84" t="s">
        <v>197</v>
      </c>
      <c r="P84">
        <v>24</v>
      </c>
      <c r="Q84" t="s">
        <v>204</v>
      </c>
      <c r="R84" s="6">
        <v>1.0227027006663367</v>
      </c>
      <c r="S84" s="6">
        <v>25.157810184141404</v>
      </c>
      <c r="T84" s="6">
        <v>10.71392460467014</v>
      </c>
      <c r="U84" s="6">
        <v>102.06160129220405</v>
      </c>
      <c r="V84" s="6">
        <v>0.27732980709388322</v>
      </c>
      <c r="W84" s="6">
        <v>13.782556865560183</v>
      </c>
      <c r="X84" s="6">
        <v>6.8207873923727966</v>
      </c>
      <c r="Y84" s="6">
        <v>66.387173252263324</v>
      </c>
    </row>
    <row r="85" spans="1:25" x14ac:dyDescent="0.25">
      <c r="A85" t="str">
        <f t="shared" si="1"/>
        <v>RTD Ice TeaFranceDecemberEUR (€)Fully-AutomatedOldPET Bottle0.33Medium-scaleLow</v>
      </c>
      <c r="B85" t="s">
        <v>130</v>
      </c>
      <c r="C85" t="s">
        <v>130</v>
      </c>
      <c r="D85" t="s">
        <v>15</v>
      </c>
      <c r="E85" s="12" t="s">
        <v>182</v>
      </c>
      <c r="F85" t="s">
        <v>187</v>
      </c>
      <c r="G85" t="s">
        <v>12</v>
      </c>
      <c r="H85" t="s">
        <v>72</v>
      </c>
      <c r="I85" t="s">
        <v>175</v>
      </c>
      <c r="J85" s="12">
        <v>0.33</v>
      </c>
      <c r="K85" t="s">
        <v>62</v>
      </c>
      <c r="L85" t="s">
        <v>13</v>
      </c>
      <c r="M85" t="s">
        <v>200</v>
      </c>
      <c r="O85" t="s">
        <v>197</v>
      </c>
      <c r="P85">
        <v>24</v>
      </c>
      <c r="Q85" t="s">
        <v>204</v>
      </c>
      <c r="R85" s="6">
        <v>0.94873295329187568</v>
      </c>
      <c r="S85" s="6">
        <v>23.333647424644177</v>
      </c>
      <c r="T85" s="6">
        <v>9.940424416619754</v>
      </c>
      <c r="U85" s="6">
        <v>94.688377437397804</v>
      </c>
      <c r="V85" s="6">
        <v>0.25787154790772959</v>
      </c>
      <c r="W85" s="6">
        <v>12.818033236386423</v>
      </c>
      <c r="X85" s="6">
        <v>6.3434275922729162</v>
      </c>
      <c r="Y85" s="6">
        <v>61.741007758692881</v>
      </c>
    </row>
    <row r="86" spans="1:25" x14ac:dyDescent="0.25">
      <c r="A86" t="str">
        <f t="shared" si="1"/>
        <v>RTD Ice TeaFranceDecemberEUR (€)Fully-AutomatedOldPET Bottle0.33Medium-scaleMedium</v>
      </c>
      <c r="B86" t="s">
        <v>130</v>
      </c>
      <c r="C86" t="s">
        <v>130</v>
      </c>
      <c r="D86" t="s">
        <v>15</v>
      </c>
      <c r="E86" s="12" t="s">
        <v>182</v>
      </c>
      <c r="F86" t="s">
        <v>187</v>
      </c>
      <c r="G86" t="s">
        <v>12</v>
      </c>
      <c r="H86" t="s">
        <v>72</v>
      </c>
      <c r="I86" t="s">
        <v>175</v>
      </c>
      <c r="J86" s="12">
        <v>0.33</v>
      </c>
      <c r="K86" t="s">
        <v>62</v>
      </c>
      <c r="L86" t="s">
        <v>63</v>
      </c>
      <c r="M86" t="s">
        <v>200</v>
      </c>
      <c r="O86" t="s">
        <v>197</v>
      </c>
      <c r="P86">
        <v>24</v>
      </c>
      <c r="Q86" t="s">
        <v>204</v>
      </c>
      <c r="R86" s="6">
        <v>0.98495772499968293</v>
      </c>
      <c r="S86" s="6">
        <v>24.225253502175232</v>
      </c>
      <c r="T86" s="6">
        <v>10.31976302532502</v>
      </c>
      <c r="U86" s="6">
        <v>98.30251196243708</v>
      </c>
      <c r="V86" s="6">
        <v>0.26756216882570361</v>
      </c>
      <c r="W86" s="6">
        <v>13.29864933371794</v>
      </c>
      <c r="X86" s="6">
        <v>6.5816143444214994</v>
      </c>
      <c r="Y86" s="6">
        <v>64.058856668632885</v>
      </c>
    </row>
    <row r="87" spans="1:25" x14ac:dyDescent="0.25">
      <c r="A87" t="str">
        <f t="shared" si="1"/>
        <v>RTD Ice TeaFranceDecemberEUR (€)Fully-AutomatedOldPET Bottle0.33Medium-scaleHigh</v>
      </c>
      <c r="B87" t="s">
        <v>130</v>
      </c>
      <c r="C87" t="s">
        <v>130</v>
      </c>
      <c r="D87" t="s">
        <v>15</v>
      </c>
      <c r="E87" s="12" t="s">
        <v>182</v>
      </c>
      <c r="F87" t="s">
        <v>187</v>
      </c>
      <c r="G87" t="s">
        <v>12</v>
      </c>
      <c r="H87" t="s">
        <v>72</v>
      </c>
      <c r="I87" t="s">
        <v>175</v>
      </c>
      <c r="J87" s="12">
        <v>0.33</v>
      </c>
      <c r="K87" t="s">
        <v>62</v>
      </c>
      <c r="L87" t="s">
        <v>11</v>
      </c>
      <c r="M87" t="s">
        <v>200</v>
      </c>
      <c r="O87" t="s">
        <v>197</v>
      </c>
      <c r="P87">
        <v>24</v>
      </c>
      <c r="Q87" t="s">
        <v>204</v>
      </c>
      <c r="R87" s="6">
        <v>1.0240804784441147</v>
      </c>
      <c r="S87" s="6">
        <v>25.188188065908765</v>
      </c>
      <c r="T87" s="6">
        <v>10.729448722726705</v>
      </c>
      <c r="U87" s="6">
        <v>102.20577724947947</v>
      </c>
      <c r="V87" s="6">
        <v>0.27802803941711562</v>
      </c>
      <c r="W87" s="6">
        <v>13.817714718835981</v>
      </c>
      <c r="X87" s="6">
        <v>6.8388560367419693</v>
      </c>
      <c r="Y87" s="6">
        <v>66.562133491368087</v>
      </c>
    </row>
    <row r="88" spans="1:25" x14ac:dyDescent="0.25">
      <c r="A88" t="str">
        <f t="shared" si="1"/>
        <v>RTD Ice TeaFranceDecemberEUR (€)Fully-AutomatedOldPET Bottle0.33Small-scaleLow</v>
      </c>
      <c r="B88" t="s">
        <v>130</v>
      </c>
      <c r="C88" t="s">
        <v>130</v>
      </c>
      <c r="D88" t="s">
        <v>15</v>
      </c>
      <c r="E88" s="12" t="s">
        <v>182</v>
      </c>
      <c r="F88" t="s">
        <v>187</v>
      </c>
      <c r="G88" t="s">
        <v>12</v>
      </c>
      <c r="H88" t="s">
        <v>72</v>
      </c>
      <c r="I88" t="s">
        <v>175</v>
      </c>
      <c r="J88" s="12">
        <v>0.33</v>
      </c>
      <c r="K88" t="s">
        <v>60</v>
      </c>
      <c r="L88" t="s">
        <v>13</v>
      </c>
      <c r="M88" t="s">
        <v>200</v>
      </c>
      <c r="O88" t="s">
        <v>197</v>
      </c>
      <c r="P88">
        <v>24</v>
      </c>
      <c r="Q88" t="s">
        <v>204</v>
      </c>
      <c r="R88" s="6">
        <v>0.95102924958817192</v>
      </c>
      <c r="S88" s="6">
        <v>23.384277227589777</v>
      </c>
      <c r="T88" s="6">
        <v>9.966297946714036</v>
      </c>
      <c r="U88" s="6">
        <v>94.928670699523522</v>
      </c>
      <c r="V88" s="6">
        <v>0.25903526844645008</v>
      </c>
      <c r="W88" s="6">
        <v>12.876629658512748</v>
      </c>
      <c r="X88" s="6">
        <v>6.3735419995548677</v>
      </c>
      <c r="Y88" s="6">
        <v>62.032608157200791</v>
      </c>
    </row>
    <row r="89" spans="1:25" x14ac:dyDescent="0.25">
      <c r="A89" t="str">
        <f t="shared" si="1"/>
        <v>RTD Ice TeaFranceDecemberEUR (€)Fully-AutomatedOldPET Bottle0.33Small-scaleMedium</v>
      </c>
      <c r="B89" t="s">
        <v>130</v>
      </c>
      <c r="C89" t="s">
        <v>130</v>
      </c>
      <c r="D89" t="s">
        <v>15</v>
      </c>
      <c r="E89" s="12" t="s">
        <v>182</v>
      </c>
      <c r="F89" t="s">
        <v>187</v>
      </c>
      <c r="G89" t="s">
        <v>12</v>
      </c>
      <c r="H89" t="s">
        <v>72</v>
      </c>
      <c r="I89" t="s">
        <v>175</v>
      </c>
      <c r="J89" s="12">
        <v>0.33</v>
      </c>
      <c r="K89" t="s">
        <v>60</v>
      </c>
      <c r="L89" t="s">
        <v>63</v>
      </c>
      <c r="M89" t="s">
        <v>200</v>
      </c>
      <c r="O89" t="s">
        <v>197</v>
      </c>
      <c r="P89">
        <v>24</v>
      </c>
      <c r="Q89" t="s">
        <v>204</v>
      </c>
      <c r="R89" s="6">
        <v>0.98725402129597928</v>
      </c>
      <c r="S89" s="6">
        <v>24.275883305120828</v>
      </c>
      <c r="T89" s="6">
        <v>10.345636555419302</v>
      </c>
      <c r="U89" s="6">
        <v>98.542805224562784</v>
      </c>
      <c r="V89" s="6">
        <v>0.2687258893644241</v>
      </c>
      <c r="W89" s="6">
        <v>13.357245755844264</v>
      </c>
      <c r="X89" s="6">
        <v>6.6117287517034518</v>
      </c>
      <c r="Y89" s="6">
        <v>64.350457067140795</v>
      </c>
    </row>
    <row r="90" spans="1:25" x14ac:dyDescent="0.25">
      <c r="A90" t="str">
        <f t="shared" si="1"/>
        <v>RTD Ice TeaFranceDecemberEUR (€)Fully-AutomatedOldPET Bottle0.33Small-scaleHigh</v>
      </c>
      <c r="B90" t="s">
        <v>130</v>
      </c>
      <c r="C90" t="s">
        <v>130</v>
      </c>
      <c r="D90" t="s">
        <v>15</v>
      </c>
      <c r="E90" s="12" t="s">
        <v>182</v>
      </c>
      <c r="F90" t="s">
        <v>187</v>
      </c>
      <c r="G90" t="s">
        <v>12</v>
      </c>
      <c r="H90" t="s">
        <v>72</v>
      </c>
      <c r="I90" t="s">
        <v>175</v>
      </c>
      <c r="J90" s="12">
        <v>0.33</v>
      </c>
      <c r="K90" t="s">
        <v>60</v>
      </c>
      <c r="L90" t="s">
        <v>11</v>
      </c>
      <c r="M90" t="s">
        <v>200</v>
      </c>
      <c r="O90" t="s">
        <v>197</v>
      </c>
      <c r="P90">
        <v>24</v>
      </c>
      <c r="Q90" t="s">
        <v>204</v>
      </c>
      <c r="R90" s="6">
        <v>1.0263767747404109</v>
      </c>
      <c r="S90" s="6">
        <v>25.238817868854369</v>
      </c>
      <c r="T90" s="6">
        <v>10.755322252820989</v>
      </c>
      <c r="U90" s="6">
        <v>102.44607051160517</v>
      </c>
      <c r="V90" s="6">
        <v>0.27919175995583606</v>
      </c>
      <c r="W90" s="6">
        <v>13.876311140962304</v>
      </c>
      <c r="X90" s="6">
        <v>6.868970444023919</v>
      </c>
      <c r="Y90" s="6">
        <v>66.853733889875983</v>
      </c>
    </row>
    <row r="91" spans="1:25" x14ac:dyDescent="0.25">
      <c r="A91" t="str">
        <f t="shared" si="1"/>
        <v>RTD Ice TeaFranceDecemberEUR (€)Fully-AutomatedOldPET Bottle0.5High-scaleLow</v>
      </c>
      <c r="B91" t="s">
        <v>130</v>
      </c>
      <c r="C91" t="s">
        <v>130</v>
      </c>
      <c r="D91" t="s">
        <v>15</v>
      </c>
      <c r="E91" s="12" t="s">
        <v>182</v>
      </c>
      <c r="F91" t="s">
        <v>187</v>
      </c>
      <c r="G91" t="s">
        <v>12</v>
      </c>
      <c r="H91" t="s">
        <v>72</v>
      </c>
      <c r="I91" t="s">
        <v>175</v>
      </c>
      <c r="J91" s="12">
        <v>0.5</v>
      </c>
      <c r="K91" t="s">
        <v>107</v>
      </c>
      <c r="L91" t="s">
        <v>13</v>
      </c>
      <c r="M91" t="s">
        <v>199</v>
      </c>
      <c r="O91" t="s">
        <v>197</v>
      </c>
      <c r="P91">
        <v>4</v>
      </c>
      <c r="Q91" t="s">
        <v>198</v>
      </c>
      <c r="R91" s="6">
        <v>0.94735517551409787</v>
      </c>
      <c r="S91" s="6">
        <v>23.303269542876816</v>
      </c>
      <c r="T91" s="6">
        <v>9.924900298563184</v>
      </c>
      <c r="U91" s="6">
        <v>94.544201480122396</v>
      </c>
      <c r="V91" s="6">
        <v>0.30023271224117598</v>
      </c>
      <c r="W91" s="6">
        <v>9.2648784087216338</v>
      </c>
      <c r="X91" s="6">
        <v>5.7016871451200215</v>
      </c>
      <c r="Y91" s="6">
        <v>54.072734622968014</v>
      </c>
    </row>
    <row r="92" spans="1:25" x14ac:dyDescent="0.25">
      <c r="A92" t="str">
        <f t="shared" si="1"/>
        <v>RTD Ice TeaFranceDecemberEUR (€)Fully-AutomatedOldPET Bottle0.5High-scaleMedium</v>
      </c>
      <c r="B92" t="s">
        <v>130</v>
      </c>
      <c r="C92" t="s">
        <v>130</v>
      </c>
      <c r="D92" t="s">
        <v>15</v>
      </c>
      <c r="E92" s="12" t="s">
        <v>182</v>
      </c>
      <c r="F92" t="s">
        <v>187</v>
      </c>
      <c r="G92" t="s">
        <v>12</v>
      </c>
      <c r="H92" t="s">
        <v>72</v>
      </c>
      <c r="I92" t="s">
        <v>175</v>
      </c>
      <c r="J92" s="12">
        <v>0.5</v>
      </c>
      <c r="K92" t="s">
        <v>107</v>
      </c>
      <c r="L92" t="s">
        <v>63</v>
      </c>
      <c r="M92" t="s">
        <v>199</v>
      </c>
      <c r="O92" t="s">
        <v>197</v>
      </c>
      <c r="P92">
        <v>4</v>
      </c>
      <c r="Q92" t="s">
        <v>198</v>
      </c>
      <c r="R92" s="6">
        <v>0.98357994722190512</v>
      </c>
      <c r="S92" s="6">
        <v>24.194875620407874</v>
      </c>
      <c r="T92" s="6">
        <v>10.304238907268452</v>
      </c>
      <c r="U92" s="6">
        <v>98.158336005161644</v>
      </c>
      <c r="V92" s="6">
        <v>0.3114449455402733</v>
      </c>
      <c r="W92" s="6">
        <v>9.6085667351555522</v>
      </c>
      <c r="X92" s="6">
        <v>5.9136858520140105</v>
      </c>
      <c r="Y92" s="6">
        <v>56.08276797402354</v>
      </c>
    </row>
    <row r="93" spans="1:25" x14ac:dyDescent="0.25">
      <c r="A93" t="str">
        <f t="shared" si="1"/>
        <v>RTD Ice TeaFranceDecemberEUR (€)Fully-AutomatedOldPET Bottle0.5High-scaleHigh</v>
      </c>
      <c r="B93" t="s">
        <v>130</v>
      </c>
      <c r="C93" t="s">
        <v>130</v>
      </c>
      <c r="D93" t="s">
        <v>15</v>
      </c>
      <c r="E93" s="12" t="s">
        <v>182</v>
      </c>
      <c r="F93" t="s">
        <v>187</v>
      </c>
      <c r="G93" t="s">
        <v>12</v>
      </c>
      <c r="H93" t="s">
        <v>72</v>
      </c>
      <c r="I93" t="s">
        <v>175</v>
      </c>
      <c r="J93" s="12">
        <v>0.5</v>
      </c>
      <c r="K93" t="s">
        <v>107</v>
      </c>
      <c r="L93" t="s">
        <v>11</v>
      </c>
      <c r="M93" t="s">
        <v>199</v>
      </c>
      <c r="O93" t="s">
        <v>197</v>
      </c>
      <c r="P93">
        <v>4</v>
      </c>
      <c r="Q93" t="s">
        <v>198</v>
      </c>
      <c r="R93" s="6">
        <v>1.0227027006663367</v>
      </c>
      <c r="S93" s="6">
        <v>25.157810184141404</v>
      </c>
      <c r="T93" s="6">
        <v>10.71392460467014</v>
      </c>
      <c r="U93" s="6">
        <v>102.06160129220405</v>
      </c>
      <c r="V93" s="6">
        <v>0.32355415750329825</v>
      </c>
      <c r="W93" s="6">
        <v>9.9797501277041807</v>
      </c>
      <c r="X93" s="6">
        <v>6.1426444554595188</v>
      </c>
      <c r="Y93" s="6">
        <v>58.253603993163487</v>
      </c>
    </row>
    <row r="94" spans="1:25" x14ac:dyDescent="0.25">
      <c r="A94" t="str">
        <f t="shared" si="1"/>
        <v>RTD Ice TeaFranceDecemberEUR (€)Fully-AutomatedOldPET Bottle0.5Medium-scaleLow</v>
      </c>
      <c r="B94" t="s">
        <v>130</v>
      </c>
      <c r="C94" t="s">
        <v>130</v>
      </c>
      <c r="D94" t="s">
        <v>15</v>
      </c>
      <c r="E94" s="12" t="s">
        <v>182</v>
      </c>
      <c r="F94" t="s">
        <v>187</v>
      </c>
      <c r="G94" t="s">
        <v>12</v>
      </c>
      <c r="H94" t="s">
        <v>72</v>
      </c>
      <c r="I94" t="s">
        <v>175</v>
      </c>
      <c r="J94" s="12">
        <v>0.5</v>
      </c>
      <c r="K94" t="s">
        <v>62</v>
      </c>
      <c r="L94" t="s">
        <v>13</v>
      </c>
      <c r="M94" t="s">
        <v>199</v>
      </c>
      <c r="O94" t="s">
        <v>197</v>
      </c>
      <c r="P94">
        <v>4</v>
      </c>
      <c r="Q94" t="s">
        <v>198</v>
      </c>
      <c r="R94" s="6">
        <v>0.94873295329187568</v>
      </c>
      <c r="S94" s="6">
        <v>23.333647424644177</v>
      </c>
      <c r="T94" s="6">
        <v>9.940424416619754</v>
      </c>
      <c r="U94" s="6">
        <v>94.688377437397804</v>
      </c>
      <c r="V94" s="6">
        <v>0.3012466011300648</v>
      </c>
      <c r="W94" s="6">
        <v>9.2985878103497193</v>
      </c>
      <c r="X94" s="6">
        <v>5.7227672302173875</v>
      </c>
      <c r="Y94" s="6">
        <v>54.27223417584699</v>
      </c>
    </row>
    <row r="95" spans="1:25" x14ac:dyDescent="0.25">
      <c r="A95" t="str">
        <f t="shared" si="1"/>
        <v>RTD Ice TeaFranceDecemberEUR (€)Fully-AutomatedOldPET Bottle0.5Medium-scaleMedium</v>
      </c>
      <c r="B95" t="s">
        <v>130</v>
      </c>
      <c r="C95" t="s">
        <v>130</v>
      </c>
      <c r="D95" t="s">
        <v>15</v>
      </c>
      <c r="E95" s="12" t="s">
        <v>182</v>
      </c>
      <c r="F95" t="s">
        <v>187</v>
      </c>
      <c r="G95" t="s">
        <v>12</v>
      </c>
      <c r="H95" t="s">
        <v>72</v>
      </c>
      <c r="I95" t="s">
        <v>175</v>
      </c>
      <c r="J95" s="12">
        <v>0.5</v>
      </c>
      <c r="K95" t="s">
        <v>62</v>
      </c>
      <c r="L95" t="s">
        <v>63</v>
      </c>
      <c r="M95" t="s">
        <v>199</v>
      </c>
      <c r="O95" t="s">
        <v>197</v>
      </c>
      <c r="P95">
        <v>4</v>
      </c>
      <c r="Q95" t="s">
        <v>198</v>
      </c>
      <c r="R95" s="6">
        <v>0.98495772499968293</v>
      </c>
      <c r="S95" s="6">
        <v>24.225253502175232</v>
      </c>
      <c r="T95" s="6">
        <v>10.31976302532502</v>
      </c>
      <c r="U95" s="6">
        <v>98.30251196243708</v>
      </c>
      <c r="V95" s="6">
        <v>0.31245883442916211</v>
      </c>
      <c r="W95" s="6">
        <v>9.6422761367836411</v>
      </c>
      <c r="X95" s="6">
        <v>5.9347659371113766</v>
      </c>
      <c r="Y95" s="6">
        <v>56.282267526902515</v>
      </c>
    </row>
    <row r="96" spans="1:25" x14ac:dyDescent="0.25">
      <c r="A96" t="str">
        <f t="shared" si="1"/>
        <v>RTD Ice TeaFranceDecemberEUR (€)Fully-AutomatedOldPET Bottle0.5Medium-scaleHigh</v>
      </c>
      <c r="B96" t="s">
        <v>130</v>
      </c>
      <c r="C96" t="s">
        <v>130</v>
      </c>
      <c r="D96" t="s">
        <v>15</v>
      </c>
      <c r="E96" s="12" t="s">
        <v>182</v>
      </c>
      <c r="F96" t="s">
        <v>187</v>
      </c>
      <c r="G96" t="s">
        <v>12</v>
      </c>
      <c r="H96" t="s">
        <v>72</v>
      </c>
      <c r="I96" t="s">
        <v>175</v>
      </c>
      <c r="J96" s="12">
        <v>0.5</v>
      </c>
      <c r="K96" t="s">
        <v>62</v>
      </c>
      <c r="L96" t="s">
        <v>11</v>
      </c>
      <c r="M96" t="s">
        <v>199</v>
      </c>
      <c r="O96" t="s">
        <v>197</v>
      </c>
      <c r="P96">
        <v>4</v>
      </c>
      <c r="Q96" t="s">
        <v>198</v>
      </c>
      <c r="R96" s="6">
        <v>1.0240804784441147</v>
      </c>
      <c r="S96" s="6">
        <v>25.188188065908765</v>
      </c>
      <c r="T96" s="6">
        <v>10.729448722726705</v>
      </c>
      <c r="U96" s="6">
        <v>102.20577724947947</v>
      </c>
      <c r="V96" s="6">
        <v>0.32456804639218717</v>
      </c>
      <c r="W96" s="6">
        <v>10.01345952933227</v>
      </c>
      <c r="X96" s="6">
        <v>6.1637245405568848</v>
      </c>
      <c r="Y96" s="6">
        <v>58.453103546042477</v>
      </c>
    </row>
    <row r="97" spans="1:25" x14ac:dyDescent="0.25">
      <c r="A97" t="str">
        <f t="shared" si="1"/>
        <v>RTD Ice TeaFranceDecemberEUR (€)Fully-AutomatedOldPET Bottle0.5Small-scaleLow</v>
      </c>
      <c r="B97" t="s">
        <v>130</v>
      </c>
      <c r="C97" t="s">
        <v>130</v>
      </c>
      <c r="D97" t="s">
        <v>15</v>
      </c>
      <c r="E97" s="12" t="s">
        <v>182</v>
      </c>
      <c r="F97" t="s">
        <v>187</v>
      </c>
      <c r="G97" t="s">
        <v>12</v>
      </c>
      <c r="H97" t="s">
        <v>72</v>
      </c>
      <c r="I97" t="s">
        <v>175</v>
      </c>
      <c r="J97" s="12">
        <v>0.5</v>
      </c>
      <c r="K97" t="s">
        <v>60</v>
      </c>
      <c r="L97" t="s">
        <v>13</v>
      </c>
      <c r="M97" t="s">
        <v>199</v>
      </c>
      <c r="O97" t="s">
        <v>197</v>
      </c>
      <c r="P97">
        <v>4</v>
      </c>
      <c r="Q97" t="s">
        <v>198</v>
      </c>
      <c r="R97" s="6">
        <v>0.95102924958817192</v>
      </c>
      <c r="S97" s="6">
        <v>23.384277227589777</v>
      </c>
      <c r="T97" s="6">
        <v>9.966297946714036</v>
      </c>
      <c r="U97" s="6">
        <v>94.928670699523522</v>
      </c>
      <c r="V97" s="6">
        <v>0.30293641594487963</v>
      </c>
      <c r="W97" s="6">
        <v>9.3547701463965378</v>
      </c>
      <c r="X97" s="6">
        <v>5.7579007053796643</v>
      </c>
      <c r="Y97" s="6">
        <v>54.604733430645283</v>
      </c>
    </row>
    <row r="98" spans="1:25" x14ac:dyDescent="0.25">
      <c r="A98" t="str">
        <f t="shared" si="1"/>
        <v>RTD Ice TeaFranceDecemberEUR (€)Fully-AutomatedOldPET Bottle0.5Small-scaleMedium</v>
      </c>
      <c r="B98" t="s">
        <v>130</v>
      </c>
      <c r="C98" t="s">
        <v>130</v>
      </c>
      <c r="D98" t="s">
        <v>15</v>
      </c>
      <c r="E98" s="12" t="s">
        <v>182</v>
      </c>
      <c r="F98" t="s">
        <v>187</v>
      </c>
      <c r="G98" t="s">
        <v>12</v>
      </c>
      <c r="H98" t="s">
        <v>72</v>
      </c>
      <c r="I98" t="s">
        <v>175</v>
      </c>
      <c r="J98" s="12">
        <v>0.5</v>
      </c>
      <c r="K98" t="s">
        <v>60</v>
      </c>
      <c r="L98" t="s">
        <v>63</v>
      </c>
      <c r="M98" t="s">
        <v>199</v>
      </c>
      <c r="O98" t="s">
        <v>197</v>
      </c>
      <c r="P98">
        <v>4</v>
      </c>
      <c r="Q98" t="s">
        <v>198</v>
      </c>
      <c r="R98" s="6">
        <v>0.98725402129597928</v>
      </c>
      <c r="S98" s="6">
        <v>24.275883305120828</v>
      </c>
      <c r="T98" s="6">
        <v>10.345636555419302</v>
      </c>
      <c r="U98" s="6">
        <v>98.542805224562784</v>
      </c>
      <c r="V98" s="6">
        <v>0.31414864924397695</v>
      </c>
      <c r="W98" s="6">
        <v>9.6984584728304561</v>
      </c>
      <c r="X98" s="6">
        <v>5.9698994122736533</v>
      </c>
      <c r="Y98" s="6">
        <v>56.614766781700816</v>
      </c>
    </row>
    <row r="99" spans="1:25" x14ac:dyDescent="0.25">
      <c r="A99" t="str">
        <f t="shared" si="1"/>
        <v>RTD Ice TeaFranceDecemberEUR (€)Fully-AutomatedOldPET Bottle0.5Small-scaleHigh</v>
      </c>
      <c r="B99" t="s">
        <v>130</v>
      </c>
      <c r="C99" t="s">
        <v>130</v>
      </c>
      <c r="D99" t="s">
        <v>15</v>
      </c>
      <c r="E99" s="12" t="s">
        <v>182</v>
      </c>
      <c r="F99" t="s">
        <v>187</v>
      </c>
      <c r="G99" t="s">
        <v>12</v>
      </c>
      <c r="H99" t="s">
        <v>72</v>
      </c>
      <c r="I99" t="s">
        <v>175</v>
      </c>
      <c r="J99" s="12">
        <v>0.5</v>
      </c>
      <c r="K99" t="s">
        <v>60</v>
      </c>
      <c r="L99" t="s">
        <v>11</v>
      </c>
      <c r="M99" t="s">
        <v>199</v>
      </c>
      <c r="O99" t="s">
        <v>197</v>
      </c>
      <c r="P99">
        <v>4</v>
      </c>
      <c r="Q99" t="s">
        <v>198</v>
      </c>
      <c r="R99" s="6">
        <v>1.0263767747404109</v>
      </c>
      <c r="S99" s="6">
        <v>25.238817868854369</v>
      </c>
      <c r="T99" s="6">
        <v>10.755322252820989</v>
      </c>
      <c r="U99" s="6">
        <v>102.44607051160517</v>
      </c>
      <c r="V99" s="6">
        <v>0.3262578612070019</v>
      </c>
      <c r="W99" s="6">
        <v>10.069641865379086</v>
      </c>
      <c r="X99" s="6">
        <v>6.1988580157191615</v>
      </c>
      <c r="Y99" s="6">
        <v>58.785602800840792</v>
      </c>
    </row>
    <row r="100" spans="1:25" x14ac:dyDescent="0.25">
      <c r="A100" t="str">
        <f t="shared" si="1"/>
        <v>RTD Ice TeaFranceDecemberEUR (€)Fully-AutomatedOldPET Bottle0.5High-scaleLow</v>
      </c>
      <c r="B100" t="s">
        <v>130</v>
      </c>
      <c r="C100" t="s">
        <v>130</v>
      </c>
      <c r="D100" t="s">
        <v>15</v>
      </c>
      <c r="E100" s="12" t="s">
        <v>182</v>
      </c>
      <c r="F100" t="s">
        <v>187</v>
      </c>
      <c r="G100" t="s">
        <v>12</v>
      </c>
      <c r="H100" t="s">
        <v>72</v>
      </c>
      <c r="I100" t="s">
        <v>175</v>
      </c>
      <c r="J100" s="12">
        <v>0.5</v>
      </c>
      <c r="K100" t="s">
        <v>107</v>
      </c>
      <c r="L100" t="s">
        <v>13</v>
      </c>
      <c r="M100" t="s">
        <v>200</v>
      </c>
      <c r="O100" t="s">
        <v>197</v>
      </c>
      <c r="P100">
        <v>4</v>
      </c>
      <c r="Q100" t="s">
        <v>198</v>
      </c>
      <c r="R100" s="6">
        <v>0.94735517551409787</v>
      </c>
      <c r="S100" s="6">
        <v>23.303269542876816</v>
      </c>
      <c r="T100" s="6">
        <v>9.924900298563184</v>
      </c>
      <c r="U100" s="6">
        <v>94.544201480122396</v>
      </c>
      <c r="V100" s="6">
        <v>0.26994800812659714</v>
      </c>
      <c r="W100" s="6">
        <v>11.228792786438035</v>
      </c>
      <c r="X100" s="6">
        <v>5.6606672126554969</v>
      </c>
      <c r="Y100" s="6">
        <v>54.985305328409865</v>
      </c>
    </row>
    <row r="101" spans="1:25" x14ac:dyDescent="0.25">
      <c r="A101" t="str">
        <f t="shared" si="1"/>
        <v>RTD Ice TeaFranceDecemberEUR (€)Fully-AutomatedOldPET Bottle0.5High-scaleMedium</v>
      </c>
      <c r="B101" t="s">
        <v>130</v>
      </c>
      <c r="C101" t="s">
        <v>130</v>
      </c>
      <c r="D101" t="s">
        <v>15</v>
      </c>
      <c r="E101" s="12" t="s">
        <v>182</v>
      </c>
      <c r="F101" t="s">
        <v>187</v>
      </c>
      <c r="G101" t="s">
        <v>12</v>
      </c>
      <c r="H101" t="s">
        <v>72</v>
      </c>
      <c r="I101" t="s">
        <v>175</v>
      </c>
      <c r="J101" s="12">
        <v>0.5</v>
      </c>
      <c r="K101" t="s">
        <v>107</v>
      </c>
      <c r="L101" t="s">
        <v>63</v>
      </c>
      <c r="M101" t="s">
        <v>200</v>
      </c>
      <c r="O101" t="s">
        <v>197</v>
      </c>
      <c r="P101">
        <v>4</v>
      </c>
      <c r="Q101" t="s">
        <v>198</v>
      </c>
      <c r="R101" s="6">
        <v>0.98357994722190512</v>
      </c>
      <c r="S101" s="6">
        <v>24.194875620407874</v>
      </c>
      <c r="T101" s="6">
        <v>10.304238907268452</v>
      </c>
      <c r="U101" s="6">
        <v>98.158336005161644</v>
      </c>
      <c r="V101" s="6">
        <v>0.28009694084009101</v>
      </c>
      <c r="W101" s="6">
        <v>11.648755255681337</v>
      </c>
      <c r="X101" s="6">
        <v>5.8728255994901941</v>
      </c>
      <c r="Y101" s="6">
        <v>57.045565952921002</v>
      </c>
    </row>
    <row r="102" spans="1:25" x14ac:dyDescent="0.25">
      <c r="A102" t="str">
        <f t="shared" si="1"/>
        <v>RTD Ice TeaFranceDecemberEUR (€)Fully-AutomatedOldPET Bottle0.5High-scaleHigh</v>
      </c>
      <c r="B102" t="s">
        <v>130</v>
      </c>
      <c r="C102" t="s">
        <v>130</v>
      </c>
      <c r="D102" t="s">
        <v>15</v>
      </c>
      <c r="E102" s="12" t="s">
        <v>182</v>
      </c>
      <c r="F102" t="s">
        <v>187</v>
      </c>
      <c r="G102" t="s">
        <v>12</v>
      </c>
      <c r="H102" t="s">
        <v>72</v>
      </c>
      <c r="I102" t="s">
        <v>175</v>
      </c>
      <c r="J102" s="12">
        <v>0.5</v>
      </c>
      <c r="K102" t="s">
        <v>107</v>
      </c>
      <c r="L102" t="s">
        <v>11</v>
      </c>
      <c r="M102" t="s">
        <v>200</v>
      </c>
      <c r="O102" t="s">
        <v>197</v>
      </c>
      <c r="P102">
        <v>4</v>
      </c>
      <c r="Q102" t="s">
        <v>198</v>
      </c>
      <c r="R102" s="6">
        <v>1.0227027006663367</v>
      </c>
      <c r="S102" s="6">
        <v>25.157810184141404</v>
      </c>
      <c r="T102" s="6">
        <v>10.71392460467014</v>
      </c>
      <c r="U102" s="6">
        <v>102.06160129220405</v>
      </c>
      <c r="V102" s="6">
        <v>0.29105778817066424</v>
      </c>
      <c r="W102" s="6">
        <v>12.102314722464103</v>
      </c>
      <c r="X102" s="6">
        <v>6.1019566572716677</v>
      </c>
      <c r="Y102" s="6">
        <v>59.27064742739303</v>
      </c>
    </row>
    <row r="103" spans="1:25" x14ac:dyDescent="0.25">
      <c r="A103" t="str">
        <f t="shared" si="1"/>
        <v>RTD Ice TeaFranceDecemberEUR (€)Fully-AutomatedOldPET Bottle0.5Medium-scaleLow</v>
      </c>
      <c r="B103" t="s">
        <v>130</v>
      </c>
      <c r="C103" t="s">
        <v>130</v>
      </c>
      <c r="D103" t="s">
        <v>15</v>
      </c>
      <c r="E103" s="12" t="s">
        <v>182</v>
      </c>
      <c r="F103" t="s">
        <v>187</v>
      </c>
      <c r="G103" t="s">
        <v>12</v>
      </c>
      <c r="H103" t="s">
        <v>72</v>
      </c>
      <c r="I103" t="s">
        <v>175</v>
      </c>
      <c r="J103" s="12">
        <v>0.5</v>
      </c>
      <c r="K103" t="s">
        <v>62</v>
      </c>
      <c r="L103" t="s">
        <v>13</v>
      </c>
      <c r="M103" t="s">
        <v>200</v>
      </c>
      <c r="O103" t="s">
        <v>197</v>
      </c>
      <c r="P103">
        <v>4</v>
      </c>
      <c r="Q103" t="s">
        <v>198</v>
      </c>
      <c r="R103" s="6">
        <v>0.94873295329187568</v>
      </c>
      <c r="S103" s="6">
        <v>23.333647424644177</v>
      </c>
      <c r="T103" s="6">
        <v>9.940424416619754</v>
      </c>
      <c r="U103" s="6">
        <v>94.688377437397804</v>
      </c>
      <c r="V103" s="6">
        <v>0.27086088691447591</v>
      </c>
      <c r="W103" s="6">
        <v>11.269678573119085</v>
      </c>
      <c r="X103" s="6">
        <v>5.6817472977528629</v>
      </c>
      <c r="Y103" s="6">
        <v>55.189403875007606</v>
      </c>
    </row>
    <row r="104" spans="1:25" x14ac:dyDescent="0.25">
      <c r="A104" t="str">
        <f t="shared" si="1"/>
        <v>RTD Ice TeaFranceDecemberEUR (€)Fully-AutomatedOldPET Bottle0.5Medium-scaleMedium</v>
      </c>
      <c r="B104" t="s">
        <v>130</v>
      </c>
      <c r="C104" t="s">
        <v>130</v>
      </c>
      <c r="D104" t="s">
        <v>15</v>
      </c>
      <c r="E104" s="12" t="s">
        <v>182</v>
      </c>
      <c r="F104" t="s">
        <v>187</v>
      </c>
      <c r="G104" t="s">
        <v>12</v>
      </c>
      <c r="H104" t="s">
        <v>72</v>
      </c>
      <c r="I104" t="s">
        <v>175</v>
      </c>
      <c r="J104" s="12">
        <v>0.5</v>
      </c>
      <c r="K104" t="s">
        <v>62</v>
      </c>
      <c r="L104" t="s">
        <v>63</v>
      </c>
      <c r="M104" t="s">
        <v>200</v>
      </c>
      <c r="O104" t="s">
        <v>197</v>
      </c>
      <c r="P104">
        <v>4</v>
      </c>
      <c r="Q104" t="s">
        <v>198</v>
      </c>
      <c r="R104" s="6">
        <v>0.98495772499968293</v>
      </c>
      <c r="S104" s="6">
        <v>24.225253502175232</v>
      </c>
      <c r="T104" s="6">
        <v>10.31976302532502</v>
      </c>
      <c r="U104" s="6">
        <v>98.30251196243708</v>
      </c>
      <c r="V104" s="6">
        <v>0.28100981962796973</v>
      </c>
      <c r="W104" s="6">
        <v>11.689641042362391</v>
      </c>
      <c r="X104" s="6">
        <v>5.893905684587561</v>
      </c>
      <c r="Y104" s="6">
        <v>57.249664499518758</v>
      </c>
    </row>
    <row r="105" spans="1:25" x14ac:dyDescent="0.25">
      <c r="A105" t="str">
        <f t="shared" si="1"/>
        <v>RTD Ice TeaFranceDecemberEUR (€)Fully-AutomatedOldPET Bottle0.5Medium-scaleHigh</v>
      </c>
      <c r="B105" t="s">
        <v>130</v>
      </c>
      <c r="C105" t="s">
        <v>130</v>
      </c>
      <c r="D105" t="s">
        <v>15</v>
      </c>
      <c r="E105" s="12" t="s">
        <v>182</v>
      </c>
      <c r="F105" t="s">
        <v>187</v>
      </c>
      <c r="G105" t="s">
        <v>12</v>
      </c>
      <c r="H105" t="s">
        <v>72</v>
      </c>
      <c r="I105" t="s">
        <v>175</v>
      </c>
      <c r="J105" s="12">
        <v>0.5</v>
      </c>
      <c r="K105" t="s">
        <v>62</v>
      </c>
      <c r="L105" t="s">
        <v>11</v>
      </c>
      <c r="M105" t="s">
        <v>200</v>
      </c>
      <c r="O105" t="s">
        <v>197</v>
      </c>
      <c r="P105">
        <v>4</v>
      </c>
      <c r="Q105" t="s">
        <v>198</v>
      </c>
      <c r="R105" s="6">
        <v>1.0240804784441147</v>
      </c>
      <c r="S105" s="6">
        <v>25.188188065908765</v>
      </c>
      <c r="T105" s="6">
        <v>10.729448722726705</v>
      </c>
      <c r="U105" s="6">
        <v>102.20577724947947</v>
      </c>
      <c r="V105" s="6">
        <v>0.29197066695854307</v>
      </c>
      <c r="W105" s="6">
        <v>12.143200509145153</v>
      </c>
      <c r="X105" s="6">
        <v>6.1230367423690337</v>
      </c>
      <c r="Y105" s="6">
        <v>59.474745973990771</v>
      </c>
    </row>
    <row r="106" spans="1:25" x14ac:dyDescent="0.25">
      <c r="A106" t="str">
        <f t="shared" si="1"/>
        <v>RTD Ice TeaFranceDecemberEUR (€)Fully-AutomatedOldPET Bottle0.5Small-scaleLow</v>
      </c>
      <c r="B106" t="s">
        <v>130</v>
      </c>
      <c r="C106" t="s">
        <v>130</v>
      </c>
      <c r="D106" t="s">
        <v>15</v>
      </c>
      <c r="E106" s="12" t="s">
        <v>182</v>
      </c>
      <c r="F106" t="s">
        <v>187</v>
      </c>
      <c r="G106" t="s">
        <v>12</v>
      </c>
      <c r="H106" t="s">
        <v>72</v>
      </c>
      <c r="I106" t="s">
        <v>175</v>
      </c>
      <c r="J106" s="12">
        <v>0.5</v>
      </c>
      <c r="K106" t="s">
        <v>60</v>
      </c>
      <c r="L106" t="s">
        <v>13</v>
      </c>
      <c r="M106" t="s">
        <v>200</v>
      </c>
      <c r="O106" t="s">
        <v>197</v>
      </c>
      <c r="P106">
        <v>4</v>
      </c>
      <c r="Q106" t="s">
        <v>198</v>
      </c>
      <c r="R106" s="6">
        <v>0.95102924958817192</v>
      </c>
      <c r="S106" s="6">
        <v>23.384277227589777</v>
      </c>
      <c r="T106" s="6">
        <v>9.966297946714036</v>
      </c>
      <c r="U106" s="6">
        <v>94.928670699523522</v>
      </c>
      <c r="V106" s="6">
        <v>0.27238235156094054</v>
      </c>
      <c r="W106" s="6">
        <v>11.337821550920838</v>
      </c>
      <c r="X106" s="6">
        <v>5.7168807729151396</v>
      </c>
      <c r="Y106" s="6">
        <v>55.529568119337192</v>
      </c>
    </row>
    <row r="107" spans="1:25" x14ac:dyDescent="0.25">
      <c r="A107" t="str">
        <f t="shared" si="1"/>
        <v>RTD Ice TeaFranceDecemberEUR (€)Fully-AutomatedOldPET Bottle0.5Small-scaleMedium</v>
      </c>
      <c r="B107" t="s">
        <v>130</v>
      </c>
      <c r="C107" t="s">
        <v>130</v>
      </c>
      <c r="D107" t="s">
        <v>15</v>
      </c>
      <c r="E107" s="12" t="s">
        <v>182</v>
      </c>
      <c r="F107" t="s">
        <v>187</v>
      </c>
      <c r="G107" t="s">
        <v>12</v>
      </c>
      <c r="H107" t="s">
        <v>72</v>
      </c>
      <c r="I107" t="s">
        <v>175</v>
      </c>
      <c r="J107" s="12">
        <v>0.5</v>
      </c>
      <c r="K107" t="s">
        <v>60</v>
      </c>
      <c r="L107" t="s">
        <v>63</v>
      </c>
      <c r="M107" t="s">
        <v>200</v>
      </c>
      <c r="O107" t="s">
        <v>197</v>
      </c>
      <c r="P107">
        <v>4</v>
      </c>
      <c r="Q107" t="s">
        <v>198</v>
      </c>
      <c r="R107" s="6">
        <v>0.98725402129597928</v>
      </c>
      <c r="S107" s="6">
        <v>24.275883305120828</v>
      </c>
      <c r="T107" s="6">
        <v>10.345636555419302</v>
      </c>
      <c r="U107" s="6">
        <v>98.542805224562784</v>
      </c>
      <c r="V107" s="6">
        <v>0.28253128427443441</v>
      </c>
      <c r="W107" s="6">
        <v>11.757784020164141</v>
      </c>
      <c r="X107" s="6">
        <v>5.9290391597498378</v>
      </c>
      <c r="Y107" s="6">
        <v>57.589828743848329</v>
      </c>
    </row>
    <row r="108" spans="1:25" x14ac:dyDescent="0.25">
      <c r="A108" t="str">
        <f t="shared" si="1"/>
        <v>RTD Ice TeaFranceDecemberEUR (€)Fully-AutomatedOldPET Bottle0.5Small-scaleHigh</v>
      </c>
      <c r="B108" t="s">
        <v>130</v>
      </c>
      <c r="C108" t="s">
        <v>130</v>
      </c>
      <c r="D108" t="s">
        <v>15</v>
      </c>
      <c r="E108" s="12" t="s">
        <v>182</v>
      </c>
      <c r="F108" t="s">
        <v>187</v>
      </c>
      <c r="G108" t="s">
        <v>12</v>
      </c>
      <c r="H108" t="s">
        <v>72</v>
      </c>
      <c r="I108" t="s">
        <v>175</v>
      </c>
      <c r="J108" s="12">
        <v>0.5</v>
      </c>
      <c r="K108" t="s">
        <v>60</v>
      </c>
      <c r="L108" t="s">
        <v>11</v>
      </c>
      <c r="M108" t="s">
        <v>200</v>
      </c>
      <c r="O108" t="s">
        <v>197</v>
      </c>
      <c r="P108">
        <v>4</v>
      </c>
      <c r="Q108" t="s">
        <v>198</v>
      </c>
      <c r="R108" s="6">
        <v>1.0263767747404109</v>
      </c>
      <c r="S108" s="6">
        <v>25.238817868854369</v>
      </c>
      <c r="T108" s="6">
        <v>10.755322252820989</v>
      </c>
      <c r="U108" s="6">
        <v>102.44607051160517</v>
      </c>
      <c r="V108" s="6">
        <v>0.2934921316050077</v>
      </c>
      <c r="W108" s="6">
        <v>12.211343486946905</v>
      </c>
      <c r="X108" s="6">
        <v>6.1581702175313104</v>
      </c>
      <c r="Y108" s="6">
        <v>59.814910218320364</v>
      </c>
    </row>
    <row r="109" spans="1:25" x14ac:dyDescent="0.25">
      <c r="A109" t="str">
        <f t="shared" si="1"/>
        <v>RTD Ice TeaFranceDecemberEUR (€)Fully-AutomatedOldPET Bottle0.5High-scaleLow</v>
      </c>
      <c r="B109" t="s">
        <v>130</v>
      </c>
      <c r="C109" t="s">
        <v>130</v>
      </c>
      <c r="D109" t="s">
        <v>15</v>
      </c>
      <c r="E109" s="12" t="s">
        <v>182</v>
      </c>
      <c r="F109" t="s">
        <v>187</v>
      </c>
      <c r="G109" t="s">
        <v>12</v>
      </c>
      <c r="H109" t="s">
        <v>72</v>
      </c>
      <c r="I109" t="s">
        <v>175</v>
      </c>
      <c r="J109" s="12">
        <v>0.5</v>
      </c>
      <c r="K109" t="s">
        <v>107</v>
      </c>
      <c r="L109" t="s">
        <v>13</v>
      </c>
      <c r="M109" t="s">
        <v>199</v>
      </c>
      <c r="O109" t="s">
        <v>197</v>
      </c>
      <c r="P109">
        <v>6</v>
      </c>
      <c r="Q109" t="s">
        <v>201</v>
      </c>
      <c r="R109" s="6">
        <v>0.94735517551409787</v>
      </c>
      <c r="S109" s="6">
        <v>23.303269542876816</v>
      </c>
      <c r="T109" s="6">
        <v>9.924900298563184</v>
      </c>
      <c r="U109" s="6">
        <v>94.544201480122396</v>
      </c>
      <c r="V109" s="6">
        <v>0.27601473690710132</v>
      </c>
      <c r="W109" s="6">
        <v>8.6186113008416427</v>
      </c>
      <c r="X109" s="6">
        <v>5.3619144989896528</v>
      </c>
      <c r="Y109" s="6">
        <v>50.785138839340931</v>
      </c>
    </row>
    <row r="110" spans="1:25" x14ac:dyDescent="0.25">
      <c r="A110" t="str">
        <f t="shared" si="1"/>
        <v>RTD Ice TeaFranceDecemberEUR (€)Fully-AutomatedOldPET Bottle0.5High-scaleMedium</v>
      </c>
      <c r="B110" t="s">
        <v>130</v>
      </c>
      <c r="C110" t="s">
        <v>130</v>
      </c>
      <c r="D110" t="s">
        <v>15</v>
      </c>
      <c r="E110" s="12" t="s">
        <v>182</v>
      </c>
      <c r="F110" t="s">
        <v>187</v>
      </c>
      <c r="G110" t="s">
        <v>12</v>
      </c>
      <c r="H110" t="s">
        <v>72</v>
      </c>
      <c r="I110" t="s">
        <v>175</v>
      </c>
      <c r="J110" s="12">
        <v>0.5</v>
      </c>
      <c r="K110" t="s">
        <v>107</v>
      </c>
      <c r="L110" t="s">
        <v>63</v>
      </c>
      <c r="M110" t="s">
        <v>199</v>
      </c>
      <c r="O110" t="s">
        <v>197</v>
      </c>
      <c r="P110">
        <v>6</v>
      </c>
      <c r="Q110" t="s">
        <v>201</v>
      </c>
      <c r="R110" s="6">
        <v>0.98357994722190512</v>
      </c>
      <c r="S110" s="6">
        <v>24.194875620407874</v>
      </c>
      <c r="T110" s="6">
        <v>10.304238907268452</v>
      </c>
      <c r="U110" s="6">
        <v>98.158336005161644</v>
      </c>
      <c r="V110" s="6">
        <v>0.28629550961642658</v>
      </c>
      <c r="W110" s="6">
        <v>8.9374432000494082</v>
      </c>
      <c r="X110" s="6">
        <v>5.5608450271863203</v>
      </c>
      <c r="Y110" s="6">
        <v>52.668726198718474</v>
      </c>
    </row>
    <row r="111" spans="1:25" x14ac:dyDescent="0.25">
      <c r="A111" t="str">
        <f t="shared" si="1"/>
        <v>RTD Ice TeaFranceDecemberEUR (€)Fully-AutomatedOldPET Bottle0.5High-scaleHigh</v>
      </c>
      <c r="B111" t="s">
        <v>130</v>
      </c>
      <c r="C111" t="s">
        <v>130</v>
      </c>
      <c r="D111" t="s">
        <v>15</v>
      </c>
      <c r="E111" s="12" t="s">
        <v>182</v>
      </c>
      <c r="F111" t="s">
        <v>187</v>
      </c>
      <c r="G111" t="s">
        <v>12</v>
      </c>
      <c r="H111" t="s">
        <v>72</v>
      </c>
      <c r="I111" t="s">
        <v>175</v>
      </c>
      <c r="J111" s="12">
        <v>0.5</v>
      </c>
      <c r="K111" t="s">
        <v>107</v>
      </c>
      <c r="L111" t="s">
        <v>11</v>
      </c>
      <c r="M111" t="s">
        <v>199</v>
      </c>
      <c r="O111" t="s">
        <v>197</v>
      </c>
      <c r="P111">
        <v>6</v>
      </c>
      <c r="Q111" t="s">
        <v>201</v>
      </c>
      <c r="R111" s="6">
        <v>1.0227027006663367</v>
      </c>
      <c r="S111" s="6">
        <v>25.157810184141404</v>
      </c>
      <c r="T111" s="6">
        <v>10.71392460467014</v>
      </c>
      <c r="U111" s="6">
        <v>102.06160129220405</v>
      </c>
      <c r="V111" s="6">
        <v>0.29739874414249762</v>
      </c>
      <c r="W111" s="6">
        <v>9.2817816511937927</v>
      </c>
      <c r="X111" s="6">
        <v>5.7756899976387208</v>
      </c>
      <c r="Y111" s="6">
        <v>54.703000546846248</v>
      </c>
    </row>
    <row r="112" spans="1:25" x14ac:dyDescent="0.25">
      <c r="A112" t="str">
        <f t="shared" si="1"/>
        <v>RTD Ice TeaFranceDecemberEUR (€)Fully-AutomatedOldPET Bottle0.5Medium-scaleLow</v>
      </c>
      <c r="B112" t="s">
        <v>130</v>
      </c>
      <c r="C112" t="s">
        <v>130</v>
      </c>
      <c r="D112" t="s">
        <v>15</v>
      </c>
      <c r="E112" s="12" t="s">
        <v>182</v>
      </c>
      <c r="F112" t="s">
        <v>187</v>
      </c>
      <c r="G112" t="s">
        <v>12</v>
      </c>
      <c r="H112" t="s">
        <v>72</v>
      </c>
      <c r="I112" t="s">
        <v>175</v>
      </c>
      <c r="J112" s="12">
        <v>0.5</v>
      </c>
      <c r="K112" t="s">
        <v>62</v>
      </c>
      <c r="L112" t="s">
        <v>13</v>
      </c>
      <c r="M112" t="s">
        <v>199</v>
      </c>
      <c r="O112" t="s">
        <v>197</v>
      </c>
      <c r="P112">
        <v>6</v>
      </c>
      <c r="Q112" t="s">
        <v>201</v>
      </c>
      <c r="R112" s="6">
        <v>0.94873295329187568</v>
      </c>
      <c r="S112" s="6">
        <v>23.333647424644177</v>
      </c>
      <c r="T112" s="6">
        <v>9.940424416619754</v>
      </c>
      <c r="U112" s="6">
        <v>94.688377437397804</v>
      </c>
      <c r="V112" s="6">
        <v>0.27702862579599019</v>
      </c>
      <c r="W112" s="6">
        <v>8.65232070246973</v>
      </c>
      <c r="X112" s="6">
        <v>5.3829945840870188</v>
      </c>
      <c r="Y112" s="6">
        <v>50.984638392219907</v>
      </c>
    </row>
    <row r="113" spans="1:25" x14ac:dyDescent="0.25">
      <c r="A113" t="str">
        <f t="shared" si="1"/>
        <v>RTD Ice TeaFranceDecemberEUR (€)Fully-AutomatedOldPET Bottle0.5Medium-scaleMedium</v>
      </c>
      <c r="B113" t="s">
        <v>130</v>
      </c>
      <c r="C113" t="s">
        <v>130</v>
      </c>
      <c r="D113" t="s">
        <v>15</v>
      </c>
      <c r="E113" s="12" t="s">
        <v>182</v>
      </c>
      <c r="F113" t="s">
        <v>187</v>
      </c>
      <c r="G113" t="s">
        <v>12</v>
      </c>
      <c r="H113" t="s">
        <v>72</v>
      </c>
      <c r="I113" t="s">
        <v>175</v>
      </c>
      <c r="J113" s="12">
        <v>0.5</v>
      </c>
      <c r="K113" t="s">
        <v>62</v>
      </c>
      <c r="L113" t="s">
        <v>63</v>
      </c>
      <c r="M113" t="s">
        <v>199</v>
      </c>
      <c r="O113" t="s">
        <v>197</v>
      </c>
      <c r="P113">
        <v>6</v>
      </c>
      <c r="Q113" t="s">
        <v>201</v>
      </c>
      <c r="R113" s="6">
        <v>0.98495772499968293</v>
      </c>
      <c r="S113" s="6">
        <v>24.225253502175232</v>
      </c>
      <c r="T113" s="6">
        <v>10.31976302532502</v>
      </c>
      <c r="U113" s="6">
        <v>98.30251196243708</v>
      </c>
      <c r="V113" s="6">
        <v>0.28730939850531545</v>
      </c>
      <c r="W113" s="6">
        <v>8.971152601677499</v>
      </c>
      <c r="X113" s="6">
        <v>5.5819251122836864</v>
      </c>
      <c r="Y113" s="6">
        <v>52.868225751597478</v>
      </c>
    </row>
    <row r="114" spans="1:25" x14ac:dyDescent="0.25">
      <c r="A114" t="str">
        <f t="shared" si="1"/>
        <v>RTD Ice TeaFranceDecemberEUR (€)Fully-AutomatedOldPET Bottle0.5Medium-scaleHigh</v>
      </c>
      <c r="B114" t="s">
        <v>130</v>
      </c>
      <c r="C114" t="s">
        <v>130</v>
      </c>
      <c r="D114" t="s">
        <v>15</v>
      </c>
      <c r="E114" s="12" t="s">
        <v>182</v>
      </c>
      <c r="F114" t="s">
        <v>187</v>
      </c>
      <c r="G114" t="s">
        <v>12</v>
      </c>
      <c r="H114" t="s">
        <v>72</v>
      </c>
      <c r="I114" t="s">
        <v>175</v>
      </c>
      <c r="J114" s="12">
        <v>0.5</v>
      </c>
      <c r="K114" t="s">
        <v>62</v>
      </c>
      <c r="L114" t="s">
        <v>11</v>
      </c>
      <c r="M114" t="s">
        <v>199</v>
      </c>
      <c r="O114" t="s">
        <v>197</v>
      </c>
      <c r="P114">
        <v>6</v>
      </c>
      <c r="Q114" t="s">
        <v>201</v>
      </c>
      <c r="R114" s="6">
        <v>1.0240804784441147</v>
      </c>
      <c r="S114" s="6">
        <v>25.188188065908765</v>
      </c>
      <c r="T114" s="6">
        <v>10.729448722726705</v>
      </c>
      <c r="U114" s="6">
        <v>102.20577724947947</v>
      </c>
      <c r="V114" s="6">
        <v>0.2984126330313866</v>
      </c>
      <c r="W114" s="6">
        <v>9.3154910528218817</v>
      </c>
      <c r="X114" s="6">
        <v>5.7967700827360868</v>
      </c>
      <c r="Y114" s="6">
        <v>54.902500099725231</v>
      </c>
    </row>
    <row r="115" spans="1:25" x14ac:dyDescent="0.25">
      <c r="A115" t="str">
        <f t="shared" si="1"/>
        <v>RTD Ice TeaFranceDecemberEUR (€)Fully-AutomatedOldPET Bottle0.5Small-scaleLow</v>
      </c>
      <c r="B115" t="s">
        <v>130</v>
      </c>
      <c r="C115" t="s">
        <v>130</v>
      </c>
      <c r="D115" t="s">
        <v>15</v>
      </c>
      <c r="E115" s="12" t="s">
        <v>182</v>
      </c>
      <c r="F115" t="s">
        <v>187</v>
      </c>
      <c r="G115" t="s">
        <v>12</v>
      </c>
      <c r="H115" t="s">
        <v>72</v>
      </c>
      <c r="I115" t="s">
        <v>175</v>
      </c>
      <c r="J115" s="12">
        <v>0.5</v>
      </c>
      <c r="K115" t="s">
        <v>60</v>
      </c>
      <c r="L115" t="s">
        <v>13</v>
      </c>
      <c r="M115" t="s">
        <v>199</v>
      </c>
      <c r="O115" t="s">
        <v>197</v>
      </c>
      <c r="P115">
        <v>6</v>
      </c>
      <c r="Q115" t="s">
        <v>201</v>
      </c>
      <c r="R115" s="6">
        <v>0.95102924958817192</v>
      </c>
      <c r="S115" s="6">
        <v>23.384277227589777</v>
      </c>
      <c r="T115" s="6">
        <v>9.966297946714036</v>
      </c>
      <c r="U115" s="6">
        <v>94.928670699523522</v>
      </c>
      <c r="V115" s="6">
        <v>0.27871844061080503</v>
      </c>
      <c r="W115" s="6">
        <v>8.7085030385165485</v>
      </c>
      <c r="X115" s="6">
        <v>5.4181280592492955</v>
      </c>
      <c r="Y115" s="6">
        <v>51.3171376470182</v>
      </c>
    </row>
    <row r="116" spans="1:25" x14ac:dyDescent="0.25">
      <c r="A116" t="str">
        <f t="shared" si="1"/>
        <v>RTD Ice TeaFranceDecemberEUR (€)Fully-AutomatedOldPET Bottle0.5Small-scaleMedium</v>
      </c>
      <c r="B116" t="s">
        <v>130</v>
      </c>
      <c r="C116" t="s">
        <v>130</v>
      </c>
      <c r="D116" t="s">
        <v>15</v>
      </c>
      <c r="E116" s="12" t="s">
        <v>182</v>
      </c>
      <c r="F116" t="s">
        <v>187</v>
      </c>
      <c r="G116" t="s">
        <v>12</v>
      </c>
      <c r="H116" t="s">
        <v>72</v>
      </c>
      <c r="I116" t="s">
        <v>175</v>
      </c>
      <c r="J116" s="12">
        <v>0.5</v>
      </c>
      <c r="K116" t="s">
        <v>60</v>
      </c>
      <c r="L116" t="s">
        <v>63</v>
      </c>
      <c r="M116" t="s">
        <v>199</v>
      </c>
      <c r="O116" t="s">
        <v>197</v>
      </c>
      <c r="P116">
        <v>6</v>
      </c>
      <c r="Q116" t="s">
        <v>201</v>
      </c>
      <c r="R116" s="6">
        <v>0.98725402129597928</v>
      </c>
      <c r="S116" s="6">
        <v>24.275883305120828</v>
      </c>
      <c r="T116" s="6">
        <v>10.345636555419302</v>
      </c>
      <c r="U116" s="6">
        <v>98.542805224562784</v>
      </c>
      <c r="V116" s="6">
        <v>0.28899921332013023</v>
      </c>
      <c r="W116" s="6">
        <v>9.0273349377243139</v>
      </c>
      <c r="X116" s="6">
        <v>5.6170585874459631</v>
      </c>
      <c r="Y116" s="6">
        <v>53.200725006395771</v>
      </c>
    </row>
    <row r="117" spans="1:25" x14ac:dyDescent="0.25">
      <c r="A117" t="str">
        <f t="shared" si="1"/>
        <v>RTD Ice TeaFranceDecemberEUR (€)Fully-AutomatedOldPET Bottle0.5Small-scaleHigh</v>
      </c>
      <c r="B117" t="s">
        <v>130</v>
      </c>
      <c r="C117" t="s">
        <v>130</v>
      </c>
      <c r="D117" t="s">
        <v>15</v>
      </c>
      <c r="E117" s="12" t="s">
        <v>182</v>
      </c>
      <c r="F117" t="s">
        <v>187</v>
      </c>
      <c r="G117" t="s">
        <v>12</v>
      </c>
      <c r="H117" t="s">
        <v>72</v>
      </c>
      <c r="I117" t="s">
        <v>175</v>
      </c>
      <c r="J117" s="12">
        <v>0.5</v>
      </c>
      <c r="K117" t="s">
        <v>60</v>
      </c>
      <c r="L117" t="s">
        <v>11</v>
      </c>
      <c r="M117" t="s">
        <v>199</v>
      </c>
      <c r="O117" t="s">
        <v>197</v>
      </c>
      <c r="P117">
        <v>6</v>
      </c>
      <c r="Q117" t="s">
        <v>201</v>
      </c>
      <c r="R117" s="6">
        <v>1.0263767747404109</v>
      </c>
      <c r="S117" s="6">
        <v>25.238817868854369</v>
      </c>
      <c r="T117" s="6">
        <v>10.755322252820989</v>
      </c>
      <c r="U117" s="6">
        <v>102.44607051160517</v>
      </c>
      <c r="V117" s="6">
        <v>0.30010244784620133</v>
      </c>
      <c r="W117" s="6">
        <v>9.3716733888686985</v>
      </c>
      <c r="X117" s="6">
        <v>5.8319035578983636</v>
      </c>
      <c r="Y117" s="6">
        <v>55.234999354523531</v>
      </c>
    </row>
    <row r="118" spans="1:25" x14ac:dyDescent="0.25">
      <c r="A118" t="str">
        <f t="shared" si="1"/>
        <v>RTD Ice TeaFranceDecemberEUR (€)Fully-AutomatedOldPET Bottle0.5High-scaleLow</v>
      </c>
      <c r="B118" t="s">
        <v>130</v>
      </c>
      <c r="C118" t="s">
        <v>130</v>
      </c>
      <c r="D118" t="s">
        <v>15</v>
      </c>
      <c r="E118" s="12" t="s">
        <v>182</v>
      </c>
      <c r="F118" t="s">
        <v>187</v>
      </c>
      <c r="G118" t="s">
        <v>12</v>
      </c>
      <c r="H118" t="s">
        <v>72</v>
      </c>
      <c r="I118" t="s">
        <v>175</v>
      </c>
      <c r="J118" s="12">
        <v>0.5</v>
      </c>
      <c r="K118" t="s">
        <v>107</v>
      </c>
      <c r="L118" t="s">
        <v>13</v>
      </c>
      <c r="M118" t="s">
        <v>200</v>
      </c>
      <c r="O118" t="s">
        <v>197</v>
      </c>
      <c r="P118">
        <v>6</v>
      </c>
      <c r="Q118" t="s">
        <v>201</v>
      </c>
      <c r="R118" s="6">
        <v>0.94735517551409787</v>
      </c>
      <c r="S118" s="6">
        <v>23.303269542876816</v>
      </c>
      <c r="T118" s="6">
        <v>9.924900298563184</v>
      </c>
      <c r="U118" s="6">
        <v>94.544201480122396</v>
      </c>
      <c r="V118" s="6">
        <v>0.24573003279252253</v>
      </c>
      <c r="W118" s="6">
        <v>10.582525678558046</v>
      </c>
      <c r="X118" s="6">
        <v>5.3208945665251282</v>
      </c>
      <c r="Y118" s="6">
        <v>51.697709544782782</v>
      </c>
    </row>
    <row r="119" spans="1:25" x14ac:dyDescent="0.25">
      <c r="A119" t="str">
        <f t="shared" si="1"/>
        <v>RTD Ice TeaFranceDecemberEUR (€)Fully-AutomatedOldPET Bottle0.5High-scaleMedium</v>
      </c>
      <c r="B119" t="s">
        <v>130</v>
      </c>
      <c r="C119" t="s">
        <v>130</v>
      </c>
      <c r="D119" t="s">
        <v>15</v>
      </c>
      <c r="E119" s="12" t="s">
        <v>182</v>
      </c>
      <c r="F119" t="s">
        <v>187</v>
      </c>
      <c r="G119" t="s">
        <v>12</v>
      </c>
      <c r="H119" t="s">
        <v>72</v>
      </c>
      <c r="I119" t="s">
        <v>175</v>
      </c>
      <c r="J119" s="12">
        <v>0.5</v>
      </c>
      <c r="K119" t="s">
        <v>107</v>
      </c>
      <c r="L119" t="s">
        <v>63</v>
      </c>
      <c r="M119" t="s">
        <v>200</v>
      </c>
      <c r="O119" t="s">
        <v>197</v>
      </c>
      <c r="P119">
        <v>6</v>
      </c>
      <c r="Q119" t="s">
        <v>201</v>
      </c>
      <c r="R119" s="6">
        <v>0.98357994722190512</v>
      </c>
      <c r="S119" s="6">
        <v>24.194875620407874</v>
      </c>
      <c r="T119" s="6">
        <v>10.304238907268452</v>
      </c>
      <c r="U119" s="6">
        <v>98.158336005161644</v>
      </c>
      <c r="V119" s="6">
        <v>0.25494750491624429</v>
      </c>
      <c r="W119" s="6">
        <v>10.977631720575197</v>
      </c>
      <c r="X119" s="6">
        <v>5.5199847746625039</v>
      </c>
      <c r="Y119" s="6">
        <v>53.631524177615958</v>
      </c>
    </row>
    <row r="120" spans="1:25" x14ac:dyDescent="0.25">
      <c r="A120" t="str">
        <f t="shared" si="1"/>
        <v>RTD Ice TeaFranceDecemberEUR (€)Fully-AutomatedOldPET Bottle0.5High-scaleHigh</v>
      </c>
      <c r="B120" t="s">
        <v>130</v>
      </c>
      <c r="C120" t="s">
        <v>130</v>
      </c>
      <c r="D120" t="s">
        <v>15</v>
      </c>
      <c r="E120" s="12" t="s">
        <v>182</v>
      </c>
      <c r="F120" t="s">
        <v>187</v>
      </c>
      <c r="G120" t="s">
        <v>12</v>
      </c>
      <c r="H120" t="s">
        <v>72</v>
      </c>
      <c r="I120" t="s">
        <v>175</v>
      </c>
      <c r="J120" s="12">
        <v>0.5</v>
      </c>
      <c r="K120" t="s">
        <v>107</v>
      </c>
      <c r="L120" t="s">
        <v>11</v>
      </c>
      <c r="M120" t="s">
        <v>200</v>
      </c>
      <c r="O120" t="s">
        <v>197</v>
      </c>
      <c r="P120">
        <v>6</v>
      </c>
      <c r="Q120" t="s">
        <v>201</v>
      </c>
      <c r="R120" s="6">
        <v>1.0227027006663367</v>
      </c>
      <c r="S120" s="6">
        <v>25.157810184141404</v>
      </c>
      <c r="T120" s="6">
        <v>10.71392460467014</v>
      </c>
      <c r="U120" s="6">
        <v>102.06160129220405</v>
      </c>
      <c r="V120" s="6">
        <v>0.26490237480986362</v>
      </c>
      <c r="W120" s="6">
        <v>11.404346245953713</v>
      </c>
      <c r="X120" s="6">
        <v>5.7350021994508698</v>
      </c>
      <c r="Y120" s="6">
        <v>55.720043981075776</v>
      </c>
    </row>
    <row r="121" spans="1:25" x14ac:dyDescent="0.25">
      <c r="A121" t="str">
        <f t="shared" si="1"/>
        <v>RTD Ice TeaFranceDecemberEUR (€)Fully-AutomatedOldPET Bottle0.5Medium-scaleLow</v>
      </c>
      <c r="B121" t="s">
        <v>130</v>
      </c>
      <c r="C121" t="s">
        <v>130</v>
      </c>
      <c r="D121" t="s">
        <v>15</v>
      </c>
      <c r="E121" s="12" t="s">
        <v>182</v>
      </c>
      <c r="F121" t="s">
        <v>187</v>
      </c>
      <c r="G121" t="s">
        <v>12</v>
      </c>
      <c r="H121" t="s">
        <v>72</v>
      </c>
      <c r="I121" t="s">
        <v>175</v>
      </c>
      <c r="J121" s="12">
        <v>0.5</v>
      </c>
      <c r="K121" t="s">
        <v>62</v>
      </c>
      <c r="L121" t="s">
        <v>13</v>
      </c>
      <c r="M121" t="s">
        <v>200</v>
      </c>
      <c r="O121" t="s">
        <v>197</v>
      </c>
      <c r="P121">
        <v>6</v>
      </c>
      <c r="Q121" t="s">
        <v>201</v>
      </c>
      <c r="R121" s="6">
        <v>0.94873295329187568</v>
      </c>
      <c r="S121" s="6">
        <v>23.333647424644177</v>
      </c>
      <c r="T121" s="6">
        <v>9.940424416619754</v>
      </c>
      <c r="U121" s="6">
        <v>94.688377437397804</v>
      </c>
      <c r="V121" s="6">
        <v>0.24664291158040136</v>
      </c>
      <c r="W121" s="6">
        <v>10.623411465239096</v>
      </c>
      <c r="X121" s="6">
        <v>5.3419746516224942</v>
      </c>
      <c r="Y121" s="6">
        <v>51.901808091380531</v>
      </c>
    </row>
    <row r="122" spans="1:25" x14ac:dyDescent="0.25">
      <c r="A122" t="str">
        <f t="shared" si="1"/>
        <v>RTD Ice TeaFranceDecemberEUR (€)Fully-AutomatedOldPET Bottle0.5Medium-scaleMedium</v>
      </c>
      <c r="B122" t="s">
        <v>130</v>
      </c>
      <c r="C122" t="s">
        <v>130</v>
      </c>
      <c r="D122" t="s">
        <v>15</v>
      </c>
      <c r="E122" s="12" t="s">
        <v>182</v>
      </c>
      <c r="F122" t="s">
        <v>187</v>
      </c>
      <c r="G122" t="s">
        <v>12</v>
      </c>
      <c r="H122" t="s">
        <v>72</v>
      </c>
      <c r="I122" t="s">
        <v>175</v>
      </c>
      <c r="J122" s="12">
        <v>0.5</v>
      </c>
      <c r="K122" t="s">
        <v>62</v>
      </c>
      <c r="L122" t="s">
        <v>63</v>
      </c>
      <c r="M122" t="s">
        <v>200</v>
      </c>
      <c r="O122" t="s">
        <v>197</v>
      </c>
      <c r="P122">
        <v>6</v>
      </c>
      <c r="Q122" t="s">
        <v>201</v>
      </c>
      <c r="R122" s="6">
        <v>0.98495772499968293</v>
      </c>
      <c r="S122" s="6">
        <v>24.225253502175232</v>
      </c>
      <c r="T122" s="6">
        <v>10.31976302532502</v>
      </c>
      <c r="U122" s="6">
        <v>98.30251196243708</v>
      </c>
      <c r="V122" s="6">
        <v>0.25586038370412306</v>
      </c>
      <c r="W122" s="6">
        <v>11.018517507256247</v>
      </c>
      <c r="X122" s="6">
        <v>5.54106485975987</v>
      </c>
      <c r="Y122" s="6">
        <v>53.835622724213721</v>
      </c>
    </row>
    <row r="123" spans="1:25" x14ac:dyDescent="0.25">
      <c r="A123" t="str">
        <f t="shared" si="1"/>
        <v>RTD Ice TeaFranceDecemberEUR (€)Fully-AutomatedOldPET Bottle0.5Medium-scaleHigh</v>
      </c>
      <c r="B123" t="s">
        <v>130</v>
      </c>
      <c r="C123" t="s">
        <v>130</v>
      </c>
      <c r="D123" t="s">
        <v>15</v>
      </c>
      <c r="E123" s="12" t="s">
        <v>182</v>
      </c>
      <c r="F123" t="s">
        <v>187</v>
      </c>
      <c r="G123" t="s">
        <v>12</v>
      </c>
      <c r="H123" t="s">
        <v>72</v>
      </c>
      <c r="I123" t="s">
        <v>175</v>
      </c>
      <c r="J123" s="12">
        <v>0.5</v>
      </c>
      <c r="K123" t="s">
        <v>62</v>
      </c>
      <c r="L123" t="s">
        <v>11</v>
      </c>
      <c r="M123" t="s">
        <v>200</v>
      </c>
      <c r="O123" t="s">
        <v>197</v>
      </c>
      <c r="P123">
        <v>6</v>
      </c>
      <c r="Q123" t="s">
        <v>201</v>
      </c>
      <c r="R123" s="6">
        <v>1.0240804784441147</v>
      </c>
      <c r="S123" s="6">
        <v>25.188188065908765</v>
      </c>
      <c r="T123" s="6">
        <v>10.729448722726705</v>
      </c>
      <c r="U123" s="6">
        <v>102.20577724947947</v>
      </c>
      <c r="V123" s="6">
        <v>0.26581525359774255</v>
      </c>
      <c r="W123" s="6">
        <v>11.445232032634767</v>
      </c>
      <c r="X123" s="6">
        <v>5.7560822845482358</v>
      </c>
      <c r="Y123" s="6">
        <v>55.924142527673531</v>
      </c>
    </row>
    <row r="124" spans="1:25" x14ac:dyDescent="0.25">
      <c r="A124" t="str">
        <f t="shared" si="1"/>
        <v>RTD Ice TeaFranceDecemberEUR (€)Fully-AutomatedOldPET Bottle0.5Small-scaleLow</v>
      </c>
      <c r="B124" t="s">
        <v>130</v>
      </c>
      <c r="C124" t="s">
        <v>130</v>
      </c>
      <c r="D124" t="s">
        <v>15</v>
      </c>
      <c r="E124" s="12" t="s">
        <v>182</v>
      </c>
      <c r="F124" t="s">
        <v>187</v>
      </c>
      <c r="G124" t="s">
        <v>12</v>
      </c>
      <c r="H124" t="s">
        <v>72</v>
      </c>
      <c r="I124" t="s">
        <v>175</v>
      </c>
      <c r="J124" s="12">
        <v>0.5</v>
      </c>
      <c r="K124" t="s">
        <v>60</v>
      </c>
      <c r="L124" t="s">
        <v>13</v>
      </c>
      <c r="M124" t="s">
        <v>200</v>
      </c>
      <c r="O124" t="s">
        <v>197</v>
      </c>
      <c r="P124">
        <v>6</v>
      </c>
      <c r="Q124" t="s">
        <v>201</v>
      </c>
      <c r="R124" s="6">
        <v>0.95102924958817192</v>
      </c>
      <c r="S124" s="6">
        <v>23.384277227589777</v>
      </c>
      <c r="T124" s="6">
        <v>9.966297946714036</v>
      </c>
      <c r="U124" s="6">
        <v>94.928670699523522</v>
      </c>
      <c r="V124" s="6">
        <v>0.24816437622686593</v>
      </c>
      <c r="W124" s="6">
        <v>10.691554443040848</v>
      </c>
      <c r="X124" s="6">
        <v>5.3771081267847709</v>
      </c>
      <c r="Y124" s="6">
        <v>52.241972335710109</v>
      </c>
    </row>
    <row r="125" spans="1:25" x14ac:dyDescent="0.25">
      <c r="A125" t="str">
        <f t="shared" si="1"/>
        <v>RTD Ice TeaFranceDecemberEUR (€)Fully-AutomatedOldPET Bottle0.5Small-scaleMedium</v>
      </c>
      <c r="B125" t="s">
        <v>130</v>
      </c>
      <c r="C125" t="s">
        <v>130</v>
      </c>
      <c r="D125" t="s">
        <v>15</v>
      </c>
      <c r="E125" s="12" t="s">
        <v>182</v>
      </c>
      <c r="F125" t="s">
        <v>187</v>
      </c>
      <c r="G125" t="s">
        <v>12</v>
      </c>
      <c r="H125" t="s">
        <v>72</v>
      </c>
      <c r="I125" t="s">
        <v>175</v>
      </c>
      <c r="J125" s="12">
        <v>0.5</v>
      </c>
      <c r="K125" t="s">
        <v>60</v>
      </c>
      <c r="L125" t="s">
        <v>63</v>
      </c>
      <c r="M125" t="s">
        <v>200</v>
      </c>
      <c r="O125" t="s">
        <v>197</v>
      </c>
      <c r="P125">
        <v>6</v>
      </c>
      <c r="Q125" t="s">
        <v>201</v>
      </c>
      <c r="R125" s="6">
        <v>0.98725402129597928</v>
      </c>
      <c r="S125" s="6">
        <v>24.275883305120828</v>
      </c>
      <c r="T125" s="6">
        <v>10.345636555419302</v>
      </c>
      <c r="U125" s="6">
        <v>98.542805224562784</v>
      </c>
      <c r="V125" s="6">
        <v>0.25738184835058769</v>
      </c>
      <c r="W125" s="6">
        <v>11.086660485057999</v>
      </c>
      <c r="X125" s="6">
        <v>5.5761983349221476</v>
      </c>
      <c r="Y125" s="6">
        <v>54.175786968543278</v>
      </c>
    </row>
    <row r="126" spans="1:25" x14ac:dyDescent="0.25">
      <c r="A126" t="str">
        <f t="shared" si="1"/>
        <v>RTD Ice TeaFranceDecemberEUR (€)Fully-AutomatedOldPET Bottle0.5Small-scaleHigh</v>
      </c>
      <c r="B126" t="s">
        <v>130</v>
      </c>
      <c r="C126" t="s">
        <v>130</v>
      </c>
      <c r="D126" t="s">
        <v>15</v>
      </c>
      <c r="E126" s="12" t="s">
        <v>182</v>
      </c>
      <c r="F126" t="s">
        <v>187</v>
      </c>
      <c r="G126" t="s">
        <v>12</v>
      </c>
      <c r="H126" t="s">
        <v>72</v>
      </c>
      <c r="I126" t="s">
        <v>175</v>
      </c>
      <c r="J126" s="12">
        <v>0.5</v>
      </c>
      <c r="K126" t="s">
        <v>60</v>
      </c>
      <c r="L126" t="s">
        <v>11</v>
      </c>
      <c r="M126" t="s">
        <v>200</v>
      </c>
      <c r="O126" t="s">
        <v>197</v>
      </c>
      <c r="P126">
        <v>6</v>
      </c>
      <c r="Q126" t="s">
        <v>201</v>
      </c>
      <c r="R126" s="6">
        <v>1.0263767747404109</v>
      </c>
      <c r="S126" s="6">
        <v>25.238817868854369</v>
      </c>
      <c r="T126" s="6">
        <v>10.755322252820989</v>
      </c>
      <c r="U126" s="6">
        <v>102.44607051160517</v>
      </c>
      <c r="V126" s="6">
        <v>0.26733671824420713</v>
      </c>
      <c r="W126" s="6">
        <v>11.513375010436517</v>
      </c>
      <c r="X126" s="6">
        <v>5.7912157597105125</v>
      </c>
      <c r="Y126" s="6">
        <v>56.264306772003117</v>
      </c>
    </row>
    <row r="127" spans="1:25" x14ac:dyDescent="0.25">
      <c r="A127" t="str">
        <f t="shared" si="1"/>
        <v>RTD Ice TeaFranceDecemberEUR (€)Fully-AutomatedOldPET Bottle0.5High-scaleLow</v>
      </c>
      <c r="B127" t="s">
        <v>130</v>
      </c>
      <c r="C127" t="s">
        <v>130</v>
      </c>
      <c r="D127" t="s">
        <v>15</v>
      </c>
      <c r="E127" s="12" t="s">
        <v>182</v>
      </c>
      <c r="F127" t="s">
        <v>187</v>
      </c>
      <c r="G127" t="s">
        <v>12</v>
      </c>
      <c r="H127" t="s">
        <v>72</v>
      </c>
      <c r="I127" t="s">
        <v>175</v>
      </c>
      <c r="J127" s="12">
        <v>0.5</v>
      </c>
      <c r="K127" t="s">
        <v>107</v>
      </c>
      <c r="L127" t="s">
        <v>13</v>
      </c>
      <c r="M127" t="s">
        <v>199</v>
      </c>
      <c r="O127" t="s">
        <v>197</v>
      </c>
      <c r="P127">
        <v>8</v>
      </c>
      <c r="Q127" t="s">
        <v>202</v>
      </c>
      <c r="R127" s="6">
        <v>0.94735517551409787</v>
      </c>
      <c r="S127" s="6">
        <v>23.303269542876816</v>
      </c>
      <c r="T127" s="6">
        <v>9.924900298563184</v>
      </c>
      <c r="U127" s="6">
        <v>94.544201480122396</v>
      </c>
      <c r="V127" s="6">
        <v>0.26282508443682728</v>
      </c>
      <c r="W127" s="6">
        <v>8.2666397409436172</v>
      </c>
      <c r="X127" s="6">
        <v>5.1768666962916488</v>
      </c>
      <c r="Y127" s="6">
        <v>48.994640449173318</v>
      </c>
    </row>
    <row r="128" spans="1:25" x14ac:dyDescent="0.25">
      <c r="A128" t="str">
        <f t="shared" si="1"/>
        <v>RTD Ice TeaFranceDecemberEUR (€)Fully-AutomatedOldPET Bottle0.5High-scaleMedium</v>
      </c>
      <c r="B128" t="s">
        <v>130</v>
      </c>
      <c r="C128" t="s">
        <v>130</v>
      </c>
      <c r="D128" t="s">
        <v>15</v>
      </c>
      <c r="E128" s="12" t="s">
        <v>182</v>
      </c>
      <c r="F128" t="s">
        <v>187</v>
      </c>
      <c r="G128" t="s">
        <v>12</v>
      </c>
      <c r="H128" t="s">
        <v>72</v>
      </c>
      <c r="I128" t="s">
        <v>175</v>
      </c>
      <c r="J128" s="12">
        <v>0.5</v>
      </c>
      <c r="K128" t="s">
        <v>107</v>
      </c>
      <c r="L128" t="s">
        <v>63</v>
      </c>
      <c r="M128" t="s">
        <v>199</v>
      </c>
      <c r="O128" t="s">
        <v>197</v>
      </c>
      <c r="P128">
        <v>8</v>
      </c>
      <c r="Q128" t="s">
        <v>202</v>
      </c>
      <c r="R128" s="6">
        <v>0.98357994722190512</v>
      </c>
      <c r="S128" s="6">
        <v>24.194875620407874</v>
      </c>
      <c r="T128" s="6">
        <v>10.304238907268452</v>
      </c>
      <c r="U128" s="6">
        <v>98.158336005161644</v>
      </c>
      <c r="V128" s="6">
        <v>0.27259856282037276</v>
      </c>
      <c r="W128" s="6">
        <v>8.5719342724629968</v>
      </c>
      <c r="X128" s="6">
        <v>5.3686800013076237</v>
      </c>
      <c r="Y128" s="6">
        <v>50.809362485852112</v>
      </c>
    </row>
    <row r="129" spans="1:25" x14ac:dyDescent="0.25">
      <c r="A129" t="str">
        <f t="shared" si="1"/>
        <v>RTD Ice TeaFranceDecemberEUR (€)Fully-AutomatedOldPET Bottle0.5High-scaleHigh</v>
      </c>
      <c r="B129" t="s">
        <v>130</v>
      </c>
      <c r="C129" t="s">
        <v>130</v>
      </c>
      <c r="D129" t="s">
        <v>15</v>
      </c>
      <c r="E129" s="12" t="s">
        <v>182</v>
      </c>
      <c r="F129" t="s">
        <v>187</v>
      </c>
      <c r="G129" t="s">
        <v>12</v>
      </c>
      <c r="H129" t="s">
        <v>72</v>
      </c>
      <c r="I129" t="s">
        <v>175</v>
      </c>
      <c r="J129" s="12">
        <v>0.5</v>
      </c>
      <c r="K129" t="s">
        <v>107</v>
      </c>
      <c r="L129" t="s">
        <v>11</v>
      </c>
      <c r="M129" t="s">
        <v>199</v>
      </c>
      <c r="O129" t="s">
        <v>197</v>
      </c>
      <c r="P129">
        <v>8</v>
      </c>
      <c r="Q129" t="s">
        <v>202</v>
      </c>
      <c r="R129" s="6">
        <v>1.0227027006663367</v>
      </c>
      <c r="S129" s="6">
        <v>25.157810184141404</v>
      </c>
      <c r="T129" s="6">
        <v>10.71392460467014</v>
      </c>
      <c r="U129" s="6">
        <v>102.06160129220405</v>
      </c>
      <c r="V129" s="6">
        <v>0.28315391947460167</v>
      </c>
      <c r="W129" s="6">
        <v>8.9016523665039244</v>
      </c>
      <c r="X129" s="6">
        <v>5.5758383707248766</v>
      </c>
      <c r="Y129" s="6">
        <v>52.769262285465217</v>
      </c>
    </row>
    <row r="130" spans="1:25" x14ac:dyDescent="0.25">
      <c r="A130" t="str">
        <f t="shared" ref="A130:A193" si="2">C130&amp;D130&amp;E130&amp;F130&amp;G130&amp;H130&amp;I130&amp;J130&amp;K130&amp;L130</f>
        <v>RTD Ice TeaFranceDecemberEUR (€)Fully-AutomatedOldPET Bottle0.5Medium-scaleLow</v>
      </c>
      <c r="B130" t="s">
        <v>130</v>
      </c>
      <c r="C130" t="s">
        <v>130</v>
      </c>
      <c r="D130" t="s">
        <v>15</v>
      </c>
      <c r="E130" s="12" t="s">
        <v>182</v>
      </c>
      <c r="F130" t="s">
        <v>187</v>
      </c>
      <c r="G130" t="s">
        <v>12</v>
      </c>
      <c r="H130" t="s">
        <v>72</v>
      </c>
      <c r="I130" t="s">
        <v>175</v>
      </c>
      <c r="J130" s="12">
        <v>0.5</v>
      </c>
      <c r="K130" t="s">
        <v>62</v>
      </c>
      <c r="L130" t="s">
        <v>13</v>
      </c>
      <c r="M130" t="s">
        <v>199</v>
      </c>
      <c r="O130" t="s">
        <v>197</v>
      </c>
      <c r="P130">
        <v>8</v>
      </c>
      <c r="Q130" t="s">
        <v>202</v>
      </c>
      <c r="R130" s="6">
        <v>0.94873295329187568</v>
      </c>
      <c r="S130" s="6">
        <v>23.333647424644177</v>
      </c>
      <c r="T130" s="6">
        <v>9.940424416619754</v>
      </c>
      <c r="U130" s="6">
        <v>94.688377437397804</v>
      </c>
      <c r="V130" s="6">
        <v>0.26383897332571615</v>
      </c>
      <c r="W130" s="6">
        <v>8.3003491425717044</v>
      </c>
      <c r="X130" s="6">
        <v>5.1979467813890148</v>
      </c>
      <c r="Y130" s="6">
        <v>49.194140002052293</v>
      </c>
    </row>
    <row r="131" spans="1:25" x14ac:dyDescent="0.25">
      <c r="A131" t="str">
        <f t="shared" si="2"/>
        <v>RTD Ice TeaFranceDecemberEUR (€)Fully-AutomatedOldPET Bottle0.5Medium-scaleMedium</v>
      </c>
      <c r="B131" t="s">
        <v>130</v>
      </c>
      <c r="C131" t="s">
        <v>130</v>
      </c>
      <c r="D131" t="s">
        <v>15</v>
      </c>
      <c r="E131" s="12" t="s">
        <v>182</v>
      </c>
      <c r="F131" t="s">
        <v>187</v>
      </c>
      <c r="G131" t="s">
        <v>12</v>
      </c>
      <c r="H131" t="s">
        <v>72</v>
      </c>
      <c r="I131" t="s">
        <v>175</v>
      </c>
      <c r="J131" s="12">
        <v>0.5</v>
      </c>
      <c r="K131" t="s">
        <v>62</v>
      </c>
      <c r="L131" t="s">
        <v>63</v>
      </c>
      <c r="M131" t="s">
        <v>199</v>
      </c>
      <c r="O131" t="s">
        <v>197</v>
      </c>
      <c r="P131">
        <v>8</v>
      </c>
      <c r="Q131" t="s">
        <v>202</v>
      </c>
      <c r="R131" s="6">
        <v>0.98495772499968293</v>
      </c>
      <c r="S131" s="6">
        <v>24.225253502175232</v>
      </c>
      <c r="T131" s="6">
        <v>10.31976302532502</v>
      </c>
      <c r="U131" s="6">
        <v>98.30251196243708</v>
      </c>
      <c r="V131" s="6">
        <v>0.27361245170926157</v>
      </c>
      <c r="W131" s="6">
        <v>8.6056436740910858</v>
      </c>
      <c r="X131" s="6">
        <v>5.3897600864049897</v>
      </c>
      <c r="Y131" s="6">
        <v>51.008862038731102</v>
      </c>
    </row>
    <row r="132" spans="1:25" x14ac:dyDescent="0.25">
      <c r="A132" t="str">
        <f t="shared" si="2"/>
        <v>RTD Ice TeaFranceDecemberEUR (€)Fully-AutomatedOldPET Bottle0.5Medium-scaleHigh</v>
      </c>
      <c r="B132" t="s">
        <v>130</v>
      </c>
      <c r="C132" t="s">
        <v>130</v>
      </c>
      <c r="D132" t="s">
        <v>15</v>
      </c>
      <c r="E132" s="12" t="s">
        <v>182</v>
      </c>
      <c r="F132" t="s">
        <v>187</v>
      </c>
      <c r="G132" t="s">
        <v>12</v>
      </c>
      <c r="H132" t="s">
        <v>72</v>
      </c>
      <c r="I132" t="s">
        <v>175</v>
      </c>
      <c r="J132" s="12">
        <v>0.5</v>
      </c>
      <c r="K132" t="s">
        <v>62</v>
      </c>
      <c r="L132" t="s">
        <v>11</v>
      </c>
      <c r="M132" t="s">
        <v>199</v>
      </c>
      <c r="O132" t="s">
        <v>197</v>
      </c>
      <c r="P132">
        <v>8</v>
      </c>
      <c r="Q132" t="s">
        <v>202</v>
      </c>
      <c r="R132" s="6">
        <v>1.0240804784441147</v>
      </c>
      <c r="S132" s="6">
        <v>25.188188065908765</v>
      </c>
      <c r="T132" s="6">
        <v>10.729448722726705</v>
      </c>
      <c r="U132" s="6">
        <v>102.20577724947947</v>
      </c>
      <c r="V132" s="6">
        <v>0.28416780836349065</v>
      </c>
      <c r="W132" s="6">
        <v>8.9353617681320134</v>
      </c>
      <c r="X132" s="6">
        <v>5.5969184558222427</v>
      </c>
      <c r="Y132" s="6">
        <v>52.968761838344193</v>
      </c>
    </row>
    <row r="133" spans="1:25" x14ac:dyDescent="0.25">
      <c r="A133" t="str">
        <f t="shared" si="2"/>
        <v>RTD Ice TeaFranceDecemberEUR (€)Fully-AutomatedOldPET Bottle0.5Small-scaleLow</v>
      </c>
      <c r="B133" t="s">
        <v>130</v>
      </c>
      <c r="C133" t="s">
        <v>130</v>
      </c>
      <c r="D133" t="s">
        <v>15</v>
      </c>
      <c r="E133" s="12" t="s">
        <v>182</v>
      </c>
      <c r="F133" t="s">
        <v>187</v>
      </c>
      <c r="G133" t="s">
        <v>12</v>
      </c>
      <c r="H133" t="s">
        <v>72</v>
      </c>
      <c r="I133" t="s">
        <v>175</v>
      </c>
      <c r="J133" s="12">
        <v>0.5</v>
      </c>
      <c r="K133" t="s">
        <v>60</v>
      </c>
      <c r="L133" t="s">
        <v>13</v>
      </c>
      <c r="M133" t="s">
        <v>199</v>
      </c>
      <c r="O133" t="s">
        <v>197</v>
      </c>
      <c r="P133">
        <v>8</v>
      </c>
      <c r="Q133" t="s">
        <v>202</v>
      </c>
      <c r="R133" s="6">
        <v>0.95102924958817192</v>
      </c>
      <c r="S133" s="6">
        <v>23.384277227589777</v>
      </c>
      <c r="T133" s="6">
        <v>9.966297946714036</v>
      </c>
      <c r="U133" s="6">
        <v>94.928670699523522</v>
      </c>
      <c r="V133" s="6">
        <v>0.26552878814053099</v>
      </c>
      <c r="W133" s="6">
        <v>8.3565314786185212</v>
      </c>
      <c r="X133" s="6">
        <v>5.2330802565512915</v>
      </c>
      <c r="Y133" s="6">
        <v>49.526639256850601</v>
      </c>
    </row>
    <row r="134" spans="1:25" x14ac:dyDescent="0.25">
      <c r="A134" t="str">
        <f t="shared" si="2"/>
        <v>RTD Ice TeaFranceDecemberEUR (€)Fully-AutomatedOldPET Bottle0.5Small-scaleMedium</v>
      </c>
      <c r="B134" t="s">
        <v>130</v>
      </c>
      <c r="C134" t="s">
        <v>130</v>
      </c>
      <c r="D134" t="s">
        <v>15</v>
      </c>
      <c r="E134" s="12" t="s">
        <v>182</v>
      </c>
      <c r="F134" t="s">
        <v>187</v>
      </c>
      <c r="G134" t="s">
        <v>12</v>
      </c>
      <c r="H134" t="s">
        <v>72</v>
      </c>
      <c r="I134" t="s">
        <v>175</v>
      </c>
      <c r="J134" s="12">
        <v>0.5</v>
      </c>
      <c r="K134" t="s">
        <v>60</v>
      </c>
      <c r="L134" t="s">
        <v>63</v>
      </c>
      <c r="M134" t="s">
        <v>199</v>
      </c>
      <c r="O134" t="s">
        <v>197</v>
      </c>
      <c r="P134">
        <v>8</v>
      </c>
      <c r="Q134" t="s">
        <v>202</v>
      </c>
      <c r="R134" s="6">
        <v>0.98725402129597928</v>
      </c>
      <c r="S134" s="6">
        <v>24.275883305120828</v>
      </c>
      <c r="T134" s="6">
        <v>10.345636555419302</v>
      </c>
      <c r="U134" s="6">
        <v>98.542805224562784</v>
      </c>
      <c r="V134" s="6">
        <v>0.27530226652407641</v>
      </c>
      <c r="W134" s="6">
        <v>8.6618260101379025</v>
      </c>
      <c r="X134" s="6">
        <v>5.4248935615672664</v>
      </c>
      <c r="Y134" s="6">
        <v>51.34136129352941</v>
      </c>
    </row>
    <row r="135" spans="1:25" x14ac:dyDescent="0.25">
      <c r="A135" t="str">
        <f t="shared" si="2"/>
        <v>RTD Ice TeaFranceDecemberEUR (€)Fully-AutomatedOldPET Bottle0.5Small-scaleHigh</v>
      </c>
      <c r="B135" t="s">
        <v>130</v>
      </c>
      <c r="C135" t="s">
        <v>130</v>
      </c>
      <c r="D135" t="s">
        <v>15</v>
      </c>
      <c r="E135" s="12" t="s">
        <v>182</v>
      </c>
      <c r="F135" t="s">
        <v>187</v>
      </c>
      <c r="G135" t="s">
        <v>12</v>
      </c>
      <c r="H135" t="s">
        <v>72</v>
      </c>
      <c r="I135" t="s">
        <v>175</v>
      </c>
      <c r="J135" s="12">
        <v>0.5</v>
      </c>
      <c r="K135" t="s">
        <v>60</v>
      </c>
      <c r="L135" t="s">
        <v>11</v>
      </c>
      <c r="M135" t="s">
        <v>199</v>
      </c>
      <c r="O135" t="s">
        <v>197</v>
      </c>
      <c r="P135">
        <v>8</v>
      </c>
      <c r="Q135" t="s">
        <v>202</v>
      </c>
      <c r="R135" s="6">
        <v>1.0263767747404109</v>
      </c>
      <c r="S135" s="6">
        <v>25.238817868854369</v>
      </c>
      <c r="T135" s="6">
        <v>10.755322252820989</v>
      </c>
      <c r="U135" s="6">
        <v>102.44607051160517</v>
      </c>
      <c r="V135" s="6">
        <v>0.28585762317830538</v>
      </c>
      <c r="W135" s="6">
        <v>8.9915441041788302</v>
      </c>
      <c r="X135" s="6">
        <v>5.6320519309845194</v>
      </c>
      <c r="Y135" s="6">
        <v>53.3012610931425</v>
      </c>
    </row>
    <row r="136" spans="1:25" x14ac:dyDescent="0.25">
      <c r="A136" t="str">
        <f t="shared" si="2"/>
        <v>RTD Ice TeaFranceDecemberEUR (€)Fully-AutomatedOldPET Bottle0.5High-scaleLow</v>
      </c>
      <c r="B136" t="s">
        <v>130</v>
      </c>
      <c r="C136" t="s">
        <v>130</v>
      </c>
      <c r="D136" t="s">
        <v>15</v>
      </c>
      <c r="E136" s="12" t="s">
        <v>182</v>
      </c>
      <c r="F136" t="s">
        <v>187</v>
      </c>
      <c r="G136" t="s">
        <v>12</v>
      </c>
      <c r="H136" t="s">
        <v>72</v>
      </c>
      <c r="I136" t="s">
        <v>175</v>
      </c>
      <c r="J136" s="12">
        <v>0.5</v>
      </c>
      <c r="K136" t="s">
        <v>107</v>
      </c>
      <c r="L136" t="s">
        <v>13</v>
      </c>
      <c r="M136" t="s">
        <v>200</v>
      </c>
      <c r="O136" t="s">
        <v>197</v>
      </c>
      <c r="P136">
        <v>8</v>
      </c>
      <c r="Q136" t="s">
        <v>202</v>
      </c>
      <c r="R136" s="6">
        <v>0.94735517551409787</v>
      </c>
      <c r="S136" s="6">
        <v>23.303269542876816</v>
      </c>
      <c r="T136" s="6">
        <v>9.924900298563184</v>
      </c>
      <c r="U136" s="6">
        <v>94.544201480122396</v>
      </c>
      <c r="V136" s="6">
        <v>0.2325403803222485</v>
      </c>
      <c r="W136" s="6">
        <v>10.230554118660018</v>
      </c>
      <c r="X136" s="6">
        <v>5.1358467638271241</v>
      </c>
      <c r="Y136" s="6">
        <v>49.907211154615169</v>
      </c>
    </row>
    <row r="137" spans="1:25" x14ac:dyDescent="0.25">
      <c r="A137" t="str">
        <f t="shared" si="2"/>
        <v>RTD Ice TeaFranceDecemberEUR (€)Fully-AutomatedOldPET Bottle0.5High-scaleMedium</v>
      </c>
      <c r="B137" t="s">
        <v>130</v>
      </c>
      <c r="C137" t="s">
        <v>130</v>
      </c>
      <c r="D137" t="s">
        <v>15</v>
      </c>
      <c r="E137" s="12" t="s">
        <v>182</v>
      </c>
      <c r="F137" t="s">
        <v>187</v>
      </c>
      <c r="G137" t="s">
        <v>12</v>
      </c>
      <c r="H137" t="s">
        <v>72</v>
      </c>
      <c r="I137" t="s">
        <v>175</v>
      </c>
      <c r="J137" s="12">
        <v>0.5</v>
      </c>
      <c r="K137" t="s">
        <v>107</v>
      </c>
      <c r="L137" t="s">
        <v>63</v>
      </c>
      <c r="M137" t="s">
        <v>200</v>
      </c>
      <c r="O137" t="s">
        <v>197</v>
      </c>
      <c r="P137">
        <v>8</v>
      </c>
      <c r="Q137" t="s">
        <v>202</v>
      </c>
      <c r="R137" s="6">
        <v>0.98357994722190512</v>
      </c>
      <c r="S137" s="6">
        <v>24.194875620407874</v>
      </c>
      <c r="T137" s="6">
        <v>10.304238907268452</v>
      </c>
      <c r="U137" s="6">
        <v>98.158336005161644</v>
      </c>
      <c r="V137" s="6">
        <v>0.24125055812019044</v>
      </c>
      <c r="W137" s="6">
        <v>10.612122792988785</v>
      </c>
      <c r="X137" s="6">
        <v>5.3278197487838082</v>
      </c>
      <c r="Y137" s="6">
        <v>51.772160464749589</v>
      </c>
    </row>
    <row r="138" spans="1:25" x14ac:dyDescent="0.25">
      <c r="A138" t="str">
        <f t="shared" si="2"/>
        <v>RTD Ice TeaFranceDecemberEUR (€)Fully-AutomatedOldPET Bottle0.5High-scaleHigh</v>
      </c>
      <c r="B138" t="s">
        <v>130</v>
      </c>
      <c r="C138" t="s">
        <v>130</v>
      </c>
      <c r="D138" t="s">
        <v>15</v>
      </c>
      <c r="E138" s="12" t="s">
        <v>182</v>
      </c>
      <c r="F138" t="s">
        <v>187</v>
      </c>
      <c r="G138" t="s">
        <v>12</v>
      </c>
      <c r="H138" t="s">
        <v>72</v>
      </c>
      <c r="I138" t="s">
        <v>175</v>
      </c>
      <c r="J138" s="12">
        <v>0.5</v>
      </c>
      <c r="K138" t="s">
        <v>107</v>
      </c>
      <c r="L138" t="s">
        <v>11</v>
      </c>
      <c r="M138" t="s">
        <v>200</v>
      </c>
      <c r="O138" t="s">
        <v>197</v>
      </c>
      <c r="P138">
        <v>8</v>
      </c>
      <c r="Q138" t="s">
        <v>202</v>
      </c>
      <c r="R138" s="6">
        <v>1.0227027006663367</v>
      </c>
      <c r="S138" s="6">
        <v>25.157810184141404</v>
      </c>
      <c r="T138" s="6">
        <v>10.71392460467014</v>
      </c>
      <c r="U138" s="6">
        <v>102.06160129220405</v>
      </c>
      <c r="V138" s="6">
        <v>0.25065755014196772</v>
      </c>
      <c r="W138" s="6">
        <v>11.024216961263846</v>
      </c>
      <c r="X138" s="6">
        <v>5.5351505725370256</v>
      </c>
      <c r="Y138" s="6">
        <v>53.786305719694766</v>
      </c>
    </row>
    <row r="139" spans="1:25" x14ac:dyDescent="0.25">
      <c r="A139" t="str">
        <f t="shared" si="2"/>
        <v>RTD Ice TeaFranceDecemberEUR (€)Fully-AutomatedOldPET Bottle0.5Medium-scaleLow</v>
      </c>
      <c r="B139" t="s">
        <v>130</v>
      </c>
      <c r="C139" t="s">
        <v>130</v>
      </c>
      <c r="D139" t="s">
        <v>15</v>
      </c>
      <c r="E139" s="12" t="s">
        <v>182</v>
      </c>
      <c r="F139" t="s">
        <v>187</v>
      </c>
      <c r="G139" t="s">
        <v>12</v>
      </c>
      <c r="H139" t="s">
        <v>72</v>
      </c>
      <c r="I139" t="s">
        <v>175</v>
      </c>
      <c r="J139" s="12">
        <v>0.5</v>
      </c>
      <c r="K139" t="s">
        <v>62</v>
      </c>
      <c r="L139" t="s">
        <v>13</v>
      </c>
      <c r="M139" t="s">
        <v>200</v>
      </c>
      <c r="O139" t="s">
        <v>197</v>
      </c>
      <c r="P139">
        <v>8</v>
      </c>
      <c r="Q139" t="s">
        <v>202</v>
      </c>
      <c r="R139" s="6">
        <v>0.94873295329187568</v>
      </c>
      <c r="S139" s="6">
        <v>23.333647424644177</v>
      </c>
      <c r="T139" s="6">
        <v>9.940424416619754</v>
      </c>
      <c r="U139" s="6">
        <v>94.688377437397804</v>
      </c>
      <c r="V139" s="6">
        <v>0.23345325911012732</v>
      </c>
      <c r="W139" s="6">
        <v>10.271439905341071</v>
      </c>
      <c r="X139" s="6">
        <v>5.1569268489244902</v>
      </c>
      <c r="Y139" s="6">
        <v>50.111309701212917</v>
      </c>
    </row>
    <row r="140" spans="1:25" x14ac:dyDescent="0.25">
      <c r="A140" t="str">
        <f t="shared" si="2"/>
        <v>RTD Ice TeaFranceDecemberEUR (€)Fully-AutomatedOldPET Bottle0.5Medium-scaleMedium</v>
      </c>
      <c r="B140" t="s">
        <v>130</v>
      </c>
      <c r="C140" t="s">
        <v>130</v>
      </c>
      <c r="D140" t="s">
        <v>15</v>
      </c>
      <c r="E140" s="12" t="s">
        <v>182</v>
      </c>
      <c r="F140" t="s">
        <v>187</v>
      </c>
      <c r="G140" t="s">
        <v>12</v>
      </c>
      <c r="H140" t="s">
        <v>72</v>
      </c>
      <c r="I140" t="s">
        <v>175</v>
      </c>
      <c r="J140" s="12">
        <v>0.5</v>
      </c>
      <c r="K140" t="s">
        <v>62</v>
      </c>
      <c r="L140" t="s">
        <v>63</v>
      </c>
      <c r="M140" t="s">
        <v>200</v>
      </c>
      <c r="O140" t="s">
        <v>197</v>
      </c>
      <c r="P140">
        <v>8</v>
      </c>
      <c r="Q140" t="s">
        <v>202</v>
      </c>
      <c r="R140" s="6">
        <v>0.98495772499968293</v>
      </c>
      <c r="S140" s="6">
        <v>24.225253502175232</v>
      </c>
      <c r="T140" s="6">
        <v>10.31976302532502</v>
      </c>
      <c r="U140" s="6">
        <v>98.30251196243708</v>
      </c>
      <c r="V140" s="6">
        <v>0.24216343690806919</v>
      </c>
      <c r="W140" s="6">
        <v>10.653008579669835</v>
      </c>
      <c r="X140" s="6">
        <v>5.3488998338811733</v>
      </c>
      <c r="Y140" s="6">
        <v>51.976259011347352</v>
      </c>
    </row>
    <row r="141" spans="1:25" x14ac:dyDescent="0.25">
      <c r="A141" t="str">
        <f t="shared" si="2"/>
        <v>RTD Ice TeaFranceDecemberEUR (€)Fully-AutomatedOldPET Bottle0.5Medium-scaleHigh</v>
      </c>
      <c r="B141" t="s">
        <v>130</v>
      </c>
      <c r="C141" t="s">
        <v>130</v>
      </c>
      <c r="D141" t="s">
        <v>15</v>
      </c>
      <c r="E141" s="12" t="s">
        <v>182</v>
      </c>
      <c r="F141" t="s">
        <v>187</v>
      </c>
      <c r="G141" t="s">
        <v>12</v>
      </c>
      <c r="H141" t="s">
        <v>72</v>
      </c>
      <c r="I141" t="s">
        <v>175</v>
      </c>
      <c r="J141" s="12">
        <v>0.5</v>
      </c>
      <c r="K141" t="s">
        <v>62</v>
      </c>
      <c r="L141" t="s">
        <v>11</v>
      </c>
      <c r="M141" t="s">
        <v>200</v>
      </c>
      <c r="O141" t="s">
        <v>197</v>
      </c>
      <c r="P141">
        <v>8</v>
      </c>
      <c r="Q141" t="s">
        <v>202</v>
      </c>
      <c r="R141" s="6">
        <v>1.0240804784441147</v>
      </c>
      <c r="S141" s="6">
        <v>25.188188065908765</v>
      </c>
      <c r="T141" s="6">
        <v>10.729448722726705</v>
      </c>
      <c r="U141" s="6">
        <v>102.20577724947947</v>
      </c>
      <c r="V141" s="6">
        <v>0.25157042892984655</v>
      </c>
      <c r="W141" s="6">
        <v>11.065102747944897</v>
      </c>
      <c r="X141" s="6">
        <v>5.5562306576343916</v>
      </c>
      <c r="Y141" s="6">
        <v>53.990404266292501</v>
      </c>
    </row>
    <row r="142" spans="1:25" x14ac:dyDescent="0.25">
      <c r="A142" t="str">
        <f t="shared" si="2"/>
        <v>RTD Ice TeaFranceDecemberEUR (€)Fully-AutomatedOldPET Bottle0.5Small-scaleLow</v>
      </c>
      <c r="B142" t="s">
        <v>130</v>
      </c>
      <c r="C142" t="s">
        <v>130</v>
      </c>
      <c r="D142" t="s">
        <v>15</v>
      </c>
      <c r="E142" s="12" t="s">
        <v>182</v>
      </c>
      <c r="F142" t="s">
        <v>187</v>
      </c>
      <c r="G142" t="s">
        <v>12</v>
      </c>
      <c r="H142" t="s">
        <v>72</v>
      </c>
      <c r="I142" t="s">
        <v>175</v>
      </c>
      <c r="J142" s="12">
        <v>0.5</v>
      </c>
      <c r="K142" t="s">
        <v>60</v>
      </c>
      <c r="L142" t="s">
        <v>13</v>
      </c>
      <c r="M142" t="s">
        <v>200</v>
      </c>
      <c r="O142" t="s">
        <v>197</v>
      </c>
      <c r="P142">
        <v>8</v>
      </c>
      <c r="Q142" t="s">
        <v>202</v>
      </c>
      <c r="R142" s="6">
        <v>0.95102924958817192</v>
      </c>
      <c r="S142" s="6">
        <v>23.384277227589777</v>
      </c>
      <c r="T142" s="6">
        <v>9.966297946714036</v>
      </c>
      <c r="U142" s="6">
        <v>94.928670699523522</v>
      </c>
      <c r="V142" s="6">
        <v>0.23497472375659192</v>
      </c>
      <c r="W142" s="6">
        <v>10.339582883142823</v>
      </c>
      <c r="X142" s="6">
        <v>5.1920603240867669</v>
      </c>
      <c r="Y142" s="6">
        <v>50.451473945542503</v>
      </c>
    </row>
    <row r="143" spans="1:25" x14ac:dyDescent="0.25">
      <c r="A143" t="str">
        <f t="shared" si="2"/>
        <v>RTD Ice TeaFranceDecemberEUR (€)Fully-AutomatedOldPET Bottle0.5Small-scaleMedium</v>
      </c>
      <c r="B143" t="s">
        <v>130</v>
      </c>
      <c r="C143" t="s">
        <v>130</v>
      </c>
      <c r="D143" t="s">
        <v>15</v>
      </c>
      <c r="E143" s="12" t="s">
        <v>182</v>
      </c>
      <c r="F143" t="s">
        <v>187</v>
      </c>
      <c r="G143" t="s">
        <v>12</v>
      </c>
      <c r="H143" t="s">
        <v>72</v>
      </c>
      <c r="I143" t="s">
        <v>175</v>
      </c>
      <c r="J143" s="12">
        <v>0.5</v>
      </c>
      <c r="K143" t="s">
        <v>60</v>
      </c>
      <c r="L143" t="s">
        <v>63</v>
      </c>
      <c r="M143" t="s">
        <v>200</v>
      </c>
      <c r="O143" t="s">
        <v>197</v>
      </c>
      <c r="P143">
        <v>8</v>
      </c>
      <c r="Q143" t="s">
        <v>202</v>
      </c>
      <c r="R143" s="6">
        <v>0.98725402129597928</v>
      </c>
      <c r="S143" s="6">
        <v>24.275883305120828</v>
      </c>
      <c r="T143" s="6">
        <v>10.345636555419302</v>
      </c>
      <c r="U143" s="6">
        <v>98.542805224562784</v>
      </c>
      <c r="V143" s="6">
        <v>0.24368490155453387</v>
      </c>
      <c r="W143" s="6">
        <v>10.721151557471588</v>
      </c>
      <c r="X143" s="6">
        <v>5.38403330904345</v>
      </c>
      <c r="Y143" s="6">
        <v>52.316423255676916</v>
      </c>
    </row>
    <row r="144" spans="1:25" x14ac:dyDescent="0.25">
      <c r="A144" t="str">
        <f t="shared" si="2"/>
        <v>RTD Ice TeaFranceDecemberEUR (€)Fully-AutomatedOldPET Bottle0.5Small-scaleHigh</v>
      </c>
      <c r="B144" t="s">
        <v>130</v>
      </c>
      <c r="C144" t="s">
        <v>130</v>
      </c>
      <c r="D144" t="s">
        <v>15</v>
      </c>
      <c r="E144" s="12" t="s">
        <v>182</v>
      </c>
      <c r="F144" t="s">
        <v>187</v>
      </c>
      <c r="G144" t="s">
        <v>12</v>
      </c>
      <c r="H144" t="s">
        <v>72</v>
      </c>
      <c r="I144" t="s">
        <v>175</v>
      </c>
      <c r="J144" s="12">
        <v>0.5</v>
      </c>
      <c r="K144" t="s">
        <v>60</v>
      </c>
      <c r="L144" t="s">
        <v>11</v>
      </c>
      <c r="M144" t="s">
        <v>200</v>
      </c>
      <c r="O144" t="s">
        <v>197</v>
      </c>
      <c r="P144">
        <v>8</v>
      </c>
      <c r="Q144" t="s">
        <v>202</v>
      </c>
      <c r="R144" s="6">
        <v>1.0263767747404109</v>
      </c>
      <c r="S144" s="6">
        <v>25.238817868854369</v>
      </c>
      <c r="T144" s="6">
        <v>10.755322252820989</v>
      </c>
      <c r="U144" s="6">
        <v>102.44607051160517</v>
      </c>
      <c r="V144" s="6">
        <v>0.25309189357631123</v>
      </c>
      <c r="W144" s="6">
        <v>11.133245725746649</v>
      </c>
      <c r="X144" s="6">
        <v>5.5913641327966683</v>
      </c>
      <c r="Y144" s="6">
        <v>54.330568510622086</v>
      </c>
    </row>
    <row r="145" spans="1:25" x14ac:dyDescent="0.25">
      <c r="A145" t="str">
        <f t="shared" si="2"/>
        <v>RTD Ice TeaFranceDecemberEUR (€)Fully-AutomatedOldPET Bottle0.5High-scaleLow</v>
      </c>
      <c r="B145" t="s">
        <v>130</v>
      </c>
      <c r="C145" t="s">
        <v>130</v>
      </c>
      <c r="D145" t="s">
        <v>15</v>
      </c>
      <c r="E145" s="12" t="s">
        <v>182</v>
      </c>
      <c r="F145" t="s">
        <v>187</v>
      </c>
      <c r="G145" t="s">
        <v>12</v>
      </c>
      <c r="H145" t="s">
        <v>72</v>
      </c>
      <c r="I145" t="s">
        <v>175</v>
      </c>
      <c r="J145" s="12">
        <v>0.5</v>
      </c>
      <c r="K145" t="s">
        <v>107</v>
      </c>
      <c r="L145" t="s">
        <v>13</v>
      </c>
      <c r="M145" t="s">
        <v>199</v>
      </c>
      <c r="O145" t="s">
        <v>197</v>
      </c>
      <c r="P145">
        <v>12</v>
      </c>
      <c r="Q145" t="s">
        <v>203</v>
      </c>
      <c r="R145" s="6">
        <v>0.94735517551409787</v>
      </c>
      <c r="S145" s="6">
        <v>23.303269542876816</v>
      </c>
      <c r="T145" s="6">
        <v>9.924900298563184</v>
      </c>
      <c r="U145" s="6">
        <v>94.544201480122396</v>
      </c>
      <c r="V145" s="6">
        <v>0.24924750101154522</v>
      </c>
      <c r="W145" s="6">
        <v>7.9043160763427078</v>
      </c>
      <c r="X145" s="6">
        <v>4.9863763111613508</v>
      </c>
      <c r="Y145" s="6">
        <v>47.15148034164784</v>
      </c>
    </row>
    <row r="146" spans="1:25" x14ac:dyDescent="0.25">
      <c r="A146" t="str">
        <f t="shared" si="2"/>
        <v>RTD Ice TeaFranceDecemberEUR (€)Fully-AutomatedOldPET Bottle0.5High-scaleMedium</v>
      </c>
      <c r="B146" t="s">
        <v>130</v>
      </c>
      <c r="C146" t="s">
        <v>130</v>
      </c>
      <c r="D146" t="s">
        <v>15</v>
      </c>
      <c r="E146" s="12" t="s">
        <v>182</v>
      </c>
      <c r="F146" t="s">
        <v>187</v>
      </c>
      <c r="G146" t="s">
        <v>12</v>
      </c>
      <c r="H146" t="s">
        <v>72</v>
      </c>
      <c r="I146" t="s">
        <v>175</v>
      </c>
      <c r="J146" s="12">
        <v>0.5</v>
      </c>
      <c r="K146" t="s">
        <v>107</v>
      </c>
      <c r="L146" t="s">
        <v>63</v>
      </c>
      <c r="M146" t="s">
        <v>199</v>
      </c>
      <c r="O146" t="s">
        <v>197</v>
      </c>
      <c r="P146">
        <v>12</v>
      </c>
      <c r="Q146" t="s">
        <v>203</v>
      </c>
      <c r="R146" s="6">
        <v>0.98357994722190512</v>
      </c>
      <c r="S146" s="6">
        <v>24.194875620407874</v>
      </c>
      <c r="T146" s="6">
        <v>10.304238907268452</v>
      </c>
      <c r="U146" s="6">
        <v>98.158336005161644</v>
      </c>
      <c r="V146" s="6">
        <v>0.2584987646479644</v>
      </c>
      <c r="W146" s="6">
        <v>8.1956750823005127</v>
      </c>
      <c r="X146" s="6">
        <v>5.1708630629030834</v>
      </c>
      <c r="Y146" s="6">
        <v>48.89531160496027</v>
      </c>
    </row>
    <row r="147" spans="1:25" x14ac:dyDescent="0.25">
      <c r="A147" t="str">
        <f t="shared" si="2"/>
        <v>RTD Ice TeaFranceDecemberEUR (€)Fully-AutomatedOldPET Bottle0.5High-scaleHigh</v>
      </c>
      <c r="B147" t="s">
        <v>130</v>
      </c>
      <c r="C147" t="s">
        <v>130</v>
      </c>
      <c r="D147" t="s">
        <v>15</v>
      </c>
      <c r="E147" s="12" t="s">
        <v>182</v>
      </c>
      <c r="F147" t="s">
        <v>187</v>
      </c>
      <c r="G147" t="s">
        <v>12</v>
      </c>
      <c r="H147" t="s">
        <v>72</v>
      </c>
      <c r="I147" t="s">
        <v>175</v>
      </c>
      <c r="J147" s="12">
        <v>0.5</v>
      </c>
      <c r="K147" t="s">
        <v>107</v>
      </c>
      <c r="L147" t="s">
        <v>11</v>
      </c>
      <c r="M147" t="s">
        <v>199</v>
      </c>
      <c r="O147" t="s">
        <v>197</v>
      </c>
      <c r="P147">
        <v>12</v>
      </c>
      <c r="Q147" t="s">
        <v>203</v>
      </c>
      <c r="R147" s="6">
        <v>1.0227027006663367</v>
      </c>
      <c r="S147" s="6">
        <v>25.157810184141404</v>
      </c>
      <c r="T147" s="6">
        <v>10.71392460467014</v>
      </c>
      <c r="U147" s="6">
        <v>102.06160129220405</v>
      </c>
      <c r="V147" s="6">
        <v>0.26849012937529704</v>
      </c>
      <c r="W147" s="6">
        <v>8.5103428087349418</v>
      </c>
      <c r="X147" s="6">
        <v>5.3701087547841544</v>
      </c>
      <c r="Y147" s="6">
        <v>50.7786493693377</v>
      </c>
    </row>
    <row r="148" spans="1:25" x14ac:dyDescent="0.25">
      <c r="A148" t="str">
        <f t="shared" si="2"/>
        <v>RTD Ice TeaFranceDecemberEUR (€)Fully-AutomatedOldPET Bottle0.5Medium-scaleLow</v>
      </c>
      <c r="B148" t="s">
        <v>130</v>
      </c>
      <c r="C148" t="s">
        <v>130</v>
      </c>
      <c r="D148" t="s">
        <v>15</v>
      </c>
      <c r="E148" s="12" t="s">
        <v>182</v>
      </c>
      <c r="F148" t="s">
        <v>187</v>
      </c>
      <c r="G148" t="s">
        <v>12</v>
      </c>
      <c r="H148" t="s">
        <v>72</v>
      </c>
      <c r="I148" t="s">
        <v>175</v>
      </c>
      <c r="J148" s="12">
        <v>0.5</v>
      </c>
      <c r="K148" t="s">
        <v>62</v>
      </c>
      <c r="L148" t="s">
        <v>13</v>
      </c>
      <c r="M148" t="s">
        <v>199</v>
      </c>
      <c r="O148" t="s">
        <v>197</v>
      </c>
      <c r="P148">
        <v>12</v>
      </c>
      <c r="Q148" t="s">
        <v>203</v>
      </c>
      <c r="R148" s="6">
        <v>0.94873295329187568</v>
      </c>
      <c r="S148" s="6">
        <v>23.333647424644177</v>
      </c>
      <c r="T148" s="6">
        <v>9.940424416619754</v>
      </c>
      <c r="U148" s="6">
        <v>94.688377437397804</v>
      </c>
      <c r="V148" s="6">
        <v>0.25026138990043412</v>
      </c>
      <c r="W148" s="6">
        <v>7.9380254779707959</v>
      </c>
      <c r="X148" s="6">
        <v>5.0074563962587169</v>
      </c>
      <c r="Y148" s="6">
        <v>47.35097989452683</v>
      </c>
    </row>
    <row r="149" spans="1:25" x14ac:dyDescent="0.25">
      <c r="A149" t="str">
        <f t="shared" si="2"/>
        <v>RTD Ice TeaFranceDecemberEUR (€)Fully-AutomatedOldPET Bottle0.5Medium-scaleMedium</v>
      </c>
      <c r="B149" t="s">
        <v>130</v>
      </c>
      <c r="C149" t="s">
        <v>130</v>
      </c>
      <c r="D149" t="s">
        <v>15</v>
      </c>
      <c r="E149" s="12" t="s">
        <v>182</v>
      </c>
      <c r="F149" t="s">
        <v>187</v>
      </c>
      <c r="G149" t="s">
        <v>12</v>
      </c>
      <c r="H149" t="s">
        <v>72</v>
      </c>
      <c r="I149" t="s">
        <v>175</v>
      </c>
      <c r="J149" s="12">
        <v>0.5</v>
      </c>
      <c r="K149" t="s">
        <v>62</v>
      </c>
      <c r="L149" t="s">
        <v>63</v>
      </c>
      <c r="M149" t="s">
        <v>199</v>
      </c>
      <c r="O149" t="s">
        <v>197</v>
      </c>
      <c r="P149">
        <v>12</v>
      </c>
      <c r="Q149" t="s">
        <v>203</v>
      </c>
      <c r="R149" s="6">
        <v>0.98495772499968293</v>
      </c>
      <c r="S149" s="6">
        <v>24.225253502175232</v>
      </c>
      <c r="T149" s="6">
        <v>10.31976302532502</v>
      </c>
      <c r="U149" s="6">
        <v>98.30251196243708</v>
      </c>
      <c r="V149" s="6">
        <v>0.25951265353685327</v>
      </c>
      <c r="W149" s="6">
        <v>8.2293844839286034</v>
      </c>
      <c r="X149" s="6">
        <v>5.1919431480004494</v>
      </c>
      <c r="Y149" s="6">
        <v>49.09481115783926</v>
      </c>
    </row>
    <row r="150" spans="1:25" x14ac:dyDescent="0.25">
      <c r="A150" t="str">
        <f t="shared" si="2"/>
        <v>RTD Ice TeaFranceDecemberEUR (€)Fully-AutomatedOldPET Bottle0.5Medium-scaleHigh</v>
      </c>
      <c r="B150" t="s">
        <v>130</v>
      </c>
      <c r="C150" t="s">
        <v>130</v>
      </c>
      <c r="D150" t="s">
        <v>15</v>
      </c>
      <c r="E150" s="12" t="s">
        <v>182</v>
      </c>
      <c r="F150" t="s">
        <v>187</v>
      </c>
      <c r="G150" t="s">
        <v>12</v>
      </c>
      <c r="H150" t="s">
        <v>72</v>
      </c>
      <c r="I150" t="s">
        <v>175</v>
      </c>
      <c r="J150" s="12">
        <v>0.5</v>
      </c>
      <c r="K150" t="s">
        <v>62</v>
      </c>
      <c r="L150" t="s">
        <v>11</v>
      </c>
      <c r="M150" t="s">
        <v>199</v>
      </c>
      <c r="O150" t="s">
        <v>197</v>
      </c>
      <c r="P150">
        <v>12</v>
      </c>
      <c r="Q150" t="s">
        <v>203</v>
      </c>
      <c r="R150" s="6">
        <v>1.0240804784441147</v>
      </c>
      <c r="S150" s="6">
        <v>25.188188065908765</v>
      </c>
      <c r="T150" s="6">
        <v>10.729448722726705</v>
      </c>
      <c r="U150" s="6">
        <v>102.20577724947947</v>
      </c>
      <c r="V150" s="6">
        <v>0.26950401826418596</v>
      </c>
      <c r="W150" s="6">
        <v>8.5440522103630325</v>
      </c>
      <c r="X150" s="6">
        <v>5.3911888398815204</v>
      </c>
      <c r="Y150" s="6">
        <v>50.97814892221669</v>
      </c>
    </row>
    <row r="151" spans="1:25" x14ac:dyDescent="0.25">
      <c r="A151" t="str">
        <f t="shared" si="2"/>
        <v>RTD Ice TeaFranceDecemberEUR (€)Fully-AutomatedOldPET Bottle0.5Small-scaleLow</v>
      </c>
      <c r="B151" t="s">
        <v>130</v>
      </c>
      <c r="C151" t="s">
        <v>130</v>
      </c>
      <c r="D151" t="s">
        <v>15</v>
      </c>
      <c r="E151" s="12" t="s">
        <v>182</v>
      </c>
      <c r="F151" t="s">
        <v>187</v>
      </c>
      <c r="G151" t="s">
        <v>12</v>
      </c>
      <c r="H151" t="s">
        <v>72</v>
      </c>
      <c r="I151" t="s">
        <v>175</v>
      </c>
      <c r="J151" s="12">
        <v>0.5</v>
      </c>
      <c r="K151" t="s">
        <v>60</v>
      </c>
      <c r="L151" t="s">
        <v>13</v>
      </c>
      <c r="M151" t="s">
        <v>199</v>
      </c>
      <c r="O151" t="s">
        <v>197</v>
      </c>
      <c r="P151">
        <v>12</v>
      </c>
      <c r="Q151" t="s">
        <v>203</v>
      </c>
      <c r="R151" s="6">
        <v>0.95102924958817192</v>
      </c>
      <c r="S151" s="6">
        <v>23.384277227589777</v>
      </c>
      <c r="T151" s="6">
        <v>9.966297946714036</v>
      </c>
      <c r="U151" s="6">
        <v>94.928670699523522</v>
      </c>
      <c r="V151" s="6">
        <v>0.2519512047152489</v>
      </c>
      <c r="W151" s="6">
        <v>7.9942078140176127</v>
      </c>
      <c r="X151" s="6">
        <v>5.0425898714209927</v>
      </c>
      <c r="Y151" s="6">
        <v>47.683479149325123</v>
      </c>
    </row>
    <row r="152" spans="1:25" x14ac:dyDescent="0.25">
      <c r="A152" t="str">
        <f t="shared" si="2"/>
        <v>RTD Ice TeaFranceDecemberEUR (€)Fully-AutomatedOldPET Bottle0.5Small-scaleMedium</v>
      </c>
      <c r="B152" t="s">
        <v>130</v>
      </c>
      <c r="C152" t="s">
        <v>130</v>
      </c>
      <c r="D152" t="s">
        <v>15</v>
      </c>
      <c r="E152" s="12" t="s">
        <v>182</v>
      </c>
      <c r="F152" t="s">
        <v>187</v>
      </c>
      <c r="G152" t="s">
        <v>12</v>
      </c>
      <c r="H152" t="s">
        <v>72</v>
      </c>
      <c r="I152" t="s">
        <v>175</v>
      </c>
      <c r="J152" s="12">
        <v>0.5</v>
      </c>
      <c r="K152" t="s">
        <v>60</v>
      </c>
      <c r="L152" t="s">
        <v>63</v>
      </c>
      <c r="M152" t="s">
        <v>199</v>
      </c>
      <c r="O152" t="s">
        <v>197</v>
      </c>
      <c r="P152">
        <v>12</v>
      </c>
      <c r="Q152" t="s">
        <v>203</v>
      </c>
      <c r="R152" s="6">
        <v>0.98725402129597928</v>
      </c>
      <c r="S152" s="6">
        <v>24.275883305120828</v>
      </c>
      <c r="T152" s="6">
        <v>10.345636555419302</v>
      </c>
      <c r="U152" s="6">
        <v>98.542805224562784</v>
      </c>
      <c r="V152" s="6">
        <v>0.2612024683516681</v>
      </c>
      <c r="W152" s="6">
        <v>8.2855668199754184</v>
      </c>
      <c r="X152" s="6">
        <v>5.2270766231627261</v>
      </c>
      <c r="Y152" s="6">
        <v>49.42731041263756</v>
      </c>
    </row>
    <row r="153" spans="1:25" x14ac:dyDescent="0.25">
      <c r="A153" t="str">
        <f t="shared" si="2"/>
        <v>RTD Ice TeaFranceDecemberEUR (€)Fully-AutomatedOldPET Bottle0.5Small-scaleHigh</v>
      </c>
      <c r="B153" t="s">
        <v>130</v>
      </c>
      <c r="C153" t="s">
        <v>130</v>
      </c>
      <c r="D153" t="s">
        <v>15</v>
      </c>
      <c r="E153" s="12" t="s">
        <v>182</v>
      </c>
      <c r="F153" t="s">
        <v>187</v>
      </c>
      <c r="G153" t="s">
        <v>12</v>
      </c>
      <c r="H153" t="s">
        <v>72</v>
      </c>
      <c r="I153" t="s">
        <v>175</v>
      </c>
      <c r="J153" s="12">
        <v>0.5</v>
      </c>
      <c r="K153" t="s">
        <v>60</v>
      </c>
      <c r="L153" t="s">
        <v>11</v>
      </c>
      <c r="M153" t="s">
        <v>199</v>
      </c>
      <c r="O153" t="s">
        <v>197</v>
      </c>
      <c r="P153">
        <v>12</v>
      </c>
      <c r="Q153" t="s">
        <v>203</v>
      </c>
      <c r="R153" s="6">
        <v>1.0263767747404109</v>
      </c>
      <c r="S153" s="6">
        <v>25.238817868854369</v>
      </c>
      <c r="T153" s="6">
        <v>10.755322252820989</v>
      </c>
      <c r="U153" s="6">
        <v>102.44607051160517</v>
      </c>
      <c r="V153" s="6">
        <v>0.27119383307900075</v>
      </c>
      <c r="W153" s="6">
        <v>8.6002345464098475</v>
      </c>
      <c r="X153" s="6">
        <v>5.4263223150437971</v>
      </c>
      <c r="Y153" s="6">
        <v>51.310648177014997</v>
      </c>
    </row>
    <row r="154" spans="1:25" x14ac:dyDescent="0.25">
      <c r="A154" t="str">
        <f t="shared" si="2"/>
        <v>RTD Ice TeaFranceDecemberEUR (€)Fully-AutomatedOldPET Bottle0.5High-scaleLow</v>
      </c>
      <c r="B154" t="s">
        <v>130</v>
      </c>
      <c r="C154" t="s">
        <v>130</v>
      </c>
      <c r="D154" t="s">
        <v>15</v>
      </c>
      <c r="E154" s="12" t="s">
        <v>182</v>
      </c>
      <c r="F154" t="s">
        <v>187</v>
      </c>
      <c r="G154" t="s">
        <v>12</v>
      </c>
      <c r="H154" t="s">
        <v>72</v>
      </c>
      <c r="I154" t="s">
        <v>175</v>
      </c>
      <c r="J154" s="12">
        <v>0.5</v>
      </c>
      <c r="K154" t="s">
        <v>107</v>
      </c>
      <c r="L154" t="s">
        <v>13</v>
      </c>
      <c r="M154" t="s">
        <v>200</v>
      </c>
      <c r="O154" t="s">
        <v>197</v>
      </c>
      <c r="P154">
        <v>12</v>
      </c>
      <c r="Q154" t="s">
        <v>203</v>
      </c>
      <c r="R154" s="6">
        <v>0.94735517551409787</v>
      </c>
      <c r="S154" s="6">
        <v>23.303269542876816</v>
      </c>
      <c r="T154" s="6">
        <v>9.924900298563184</v>
      </c>
      <c r="U154" s="6">
        <v>94.544201480122396</v>
      </c>
      <c r="V154" s="6">
        <v>0.21896279689696641</v>
      </c>
      <c r="W154" s="6">
        <v>9.8682304540591108</v>
      </c>
      <c r="X154" s="6">
        <v>4.9453563786968262</v>
      </c>
      <c r="Y154" s="6">
        <v>48.064051047089691</v>
      </c>
    </row>
    <row r="155" spans="1:25" x14ac:dyDescent="0.25">
      <c r="A155" t="str">
        <f t="shared" si="2"/>
        <v>RTD Ice TeaFranceDecemberEUR (€)Fully-AutomatedOldPET Bottle0.5High-scaleMedium</v>
      </c>
      <c r="B155" t="s">
        <v>130</v>
      </c>
      <c r="C155" t="s">
        <v>130</v>
      </c>
      <c r="D155" t="s">
        <v>15</v>
      </c>
      <c r="E155" s="12" t="s">
        <v>182</v>
      </c>
      <c r="F155" t="s">
        <v>187</v>
      </c>
      <c r="G155" t="s">
        <v>12</v>
      </c>
      <c r="H155" t="s">
        <v>72</v>
      </c>
      <c r="I155" t="s">
        <v>175</v>
      </c>
      <c r="J155" s="12">
        <v>0.5</v>
      </c>
      <c r="K155" t="s">
        <v>107</v>
      </c>
      <c r="L155" t="s">
        <v>63</v>
      </c>
      <c r="M155" t="s">
        <v>200</v>
      </c>
      <c r="O155" t="s">
        <v>197</v>
      </c>
      <c r="P155">
        <v>12</v>
      </c>
      <c r="Q155" t="s">
        <v>203</v>
      </c>
      <c r="R155" s="6">
        <v>0.98357994722190512</v>
      </c>
      <c r="S155" s="6">
        <v>24.194875620407874</v>
      </c>
      <c r="T155" s="6">
        <v>10.304238907268452</v>
      </c>
      <c r="U155" s="6">
        <v>98.158336005161644</v>
      </c>
      <c r="V155" s="6">
        <v>0.22715075994778211</v>
      </c>
      <c r="W155" s="6">
        <v>10.235863602826299</v>
      </c>
      <c r="X155" s="6">
        <v>5.1300028103792679</v>
      </c>
      <c r="Y155" s="6">
        <v>49.858109583857747</v>
      </c>
    </row>
    <row r="156" spans="1:25" x14ac:dyDescent="0.25">
      <c r="A156" t="str">
        <f t="shared" si="2"/>
        <v>RTD Ice TeaFranceDecemberEUR (€)Fully-AutomatedOldPET Bottle0.5High-scaleHigh</v>
      </c>
      <c r="B156" t="s">
        <v>130</v>
      </c>
      <c r="C156" t="s">
        <v>130</v>
      </c>
      <c r="D156" t="s">
        <v>15</v>
      </c>
      <c r="E156" s="12" t="s">
        <v>182</v>
      </c>
      <c r="F156" t="s">
        <v>187</v>
      </c>
      <c r="G156" t="s">
        <v>12</v>
      </c>
      <c r="H156" t="s">
        <v>72</v>
      </c>
      <c r="I156" t="s">
        <v>175</v>
      </c>
      <c r="J156" s="12">
        <v>0.5</v>
      </c>
      <c r="K156" t="s">
        <v>107</v>
      </c>
      <c r="L156" t="s">
        <v>11</v>
      </c>
      <c r="M156" t="s">
        <v>200</v>
      </c>
      <c r="O156" t="s">
        <v>197</v>
      </c>
      <c r="P156">
        <v>12</v>
      </c>
      <c r="Q156" t="s">
        <v>203</v>
      </c>
      <c r="R156" s="6">
        <v>1.0227027006663367</v>
      </c>
      <c r="S156" s="6">
        <v>25.157810184141404</v>
      </c>
      <c r="T156" s="6">
        <v>10.71392460467014</v>
      </c>
      <c r="U156" s="6">
        <v>102.06160129220405</v>
      </c>
      <c r="V156" s="6">
        <v>0.23599376004266309</v>
      </c>
      <c r="W156" s="6">
        <v>10.632907403494864</v>
      </c>
      <c r="X156" s="6">
        <v>5.3294209565963033</v>
      </c>
      <c r="Y156" s="6">
        <v>51.795692803567249</v>
      </c>
    </row>
    <row r="157" spans="1:25" x14ac:dyDescent="0.25">
      <c r="A157" t="str">
        <f t="shared" si="2"/>
        <v>RTD Ice TeaFranceDecemberEUR (€)Fully-AutomatedOldPET Bottle0.5Medium-scaleLow</v>
      </c>
      <c r="B157" t="s">
        <v>130</v>
      </c>
      <c r="C157" t="s">
        <v>130</v>
      </c>
      <c r="D157" t="s">
        <v>15</v>
      </c>
      <c r="E157" s="12" t="s">
        <v>182</v>
      </c>
      <c r="F157" t="s">
        <v>187</v>
      </c>
      <c r="G157" t="s">
        <v>12</v>
      </c>
      <c r="H157" t="s">
        <v>72</v>
      </c>
      <c r="I157" t="s">
        <v>175</v>
      </c>
      <c r="J157" s="12">
        <v>0.5</v>
      </c>
      <c r="K157" t="s">
        <v>62</v>
      </c>
      <c r="L157" t="s">
        <v>13</v>
      </c>
      <c r="M157" t="s">
        <v>200</v>
      </c>
      <c r="O157" t="s">
        <v>197</v>
      </c>
      <c r="P157">
        <v>12</v>
      </c>
      <c r="Q157" t="s">
        <v>203</v>
      </c>
      <c r="R157" s="6">
        <v>0.94873295329187568</v>
      </c>
      <c r="S157" s="6">
        <v>23.333647424644177</v>
      </c>
      <c r="T157" s="6">
        <v>9.940424416619754</v>
      </c>
      <c r="U157" s="6">
        <v>94.688377437397804</v>
      </c>
      <c r="V157" s="6">
        <v>0.21987567568484523</v>
      </c>
      <c r="W157" s="6">
        <v>9.9091162407401612</v>
      </c>
      <c r="X157" s="6">
        <v>4.9664364637941922</v>
      </c>
      <c r="Y157" s="6">
        <v>48.268149593687454</v>
      </c>
    </row>
    <row r="158" spans="1:25" x14ac:dyDescent="0.25">
      <c r="A158" t="str">
        <f t="shared" si="2"/>
        <v>RTD Ice TeaFranceDecemberEUR (€)Fully-AutomatedOldPET Bottle0.5Medium-scaleMedium</v>
      </c>
      <c r="B158" t="s">
        <v>130</v>
      </c>
      <c r="C158" t="s">
        <v>130</v>
      </c>
      <c r="D158" t="s">
        <v>15</v>
      </c>
      <c r="E158" s="12" t="s">
        <v>182</v>
      </c>
      <c r="F158" t="s">
        <v>187</v>
      </c>
      <c r="G158" t="s">
        <v>12</v>
      </c>
      <c r="H158" t="s">
        <v>72</v>
      </c>
      <c r="I158" t="s">
        <v>175</v>
      </c>
      <c r="J158" s="12">
        <v>0.5</v>
      </c>
      <c r="K158" t="s">
        <v>62</v>
      </c>
      <c r="L158" t="s">
        <v>63</v>
      </c>
      <c r="M158" t="s">
        <v>200</v>
      </c>
      <c r="O158" t="s">
        <v>197</v>
      </c>
      <c r="P158">
        <v>12</v>
      </c>
      <c r="Q158" t="s">
        <v>203</v>
      </c>
      <c r="R158" s="6">
        <v>0.98495772499968293</v>
      </c>
      <c r="S158" s="6">
        <v>24.225253502175232</v>
      </c>
      <c r="T158" s="6">
        <v>10.31976302532502</v>
      </c>
      <c r="U158" s="6">
        <v>98.30251196243708</v>
      </c>
      <c r="V158" s="6">
        <v>0.22806363873566088</v>
      </c>
      <c r="W158" s="6">
        <v>10.276749389507353</v>
      </c>
      <c r="X158" s="6">
        <v>5.151082895476633</v>
      </c>
      <c r="Y158" s="6">
        <v>50.062208130455495</v>
      </c>
    </row>
    <row r="159" spans="1:25" x14ac:dyDescent="0.25">
      <c r="A159" t="str">
        <f t="shared" si="2"/>
        <v>RTD Ice TeaFranceDecemberEUR (€)Fully-AutomatedOldPET Bottle0.5Medium-scaleHigh</v>
      </c>
      <c r="B159" t="s">
        <v>130</v>
      </c>
      <c r="C159" t="s">
        <v>130</v>
      </c>
      <c r="D159" t="s">
        <v>15</v>
      </c>
      <c r="E159" s="12" t="s">
        <v>182</v>
      </c>
      <c r="F159" t="s">
        <v>187</v>
      </c>
      <c r="G159" t="s">
        <v>12</v>
      </c>
      <c r="H159" t="s">
        <v>72</v>
      </c>
      <c r="I159" t="s">
        <v>175</v>
      </c>
      <c r="J159" s="12">
        <v>0.5</v>
      </c>
      <c r="K159" t="s">
        <v>62</v>
      </c>
      <c r="L159" t="s">
        <v>11</v>
      </c>
      <c r="M159" t="s">
        <v>200</v>
      </c>
      <c r="O159" t="s">
        <v>197</v>
      </c>
      <c r="P159">
        <v>12</v>
      </c>
      <c r="Q159" t="s">
        <v>203</v>
      </c>
      <c r="R159" s="6">
        <v>1.0240804784441147</v>
      </c>
      <c r="S159" s="6">
        <v>25.188188065908765</v>
      </c>
      <c r="T159" s="6">
        <v>10.729448722726705</v>
      </c>
      <c r="U159" s="6">
        <v>102.20577724947947</v>
      </c>
      <c r="V159" s="6">
        <v>0.23690663883054186</v>
      </c>
      <c r="W159" s="6">
        <v>10.673793190175916</v>
      </c>
      <c r="X159" s="6">
        <v>5.3505010416936694</v>
      </c>
      <c r="Y159" s="6">
        <v>51.99979135016499</v>
      </c>
    </row>
    <row r="160" spans="1:25" x14ac:dyDescent="0.25">
      <c r="A160" t="str">
        <f t="shared" si="2"/>
        <v>RTD Ice TeaFranceDecemberEUR (€)Fully-AutomatedOldPET Bottle0.5Small-scaleLow</v>
      </c>
      <c r="B160" t="s">
        <v>130</v>
      </c>
      <c r="C160" t="s">
        <v>130</v>
      </c>
      <c r="D160" t="s">
        <v>15</v>
      </c>
      <c r="E160" s="12" t="s">
        <v>182</v>
      </c>
      <c r="F160" t="s">
        <v>187</v>
      </c>
      <c r="G160" t="s">
        <v>12</v>
      </c>
      <c r="H160" t="s">
        <v>72</v>
      </c>
      <c r="I160" t="s">
        <v>175</v>
      </c>
      <c r="J160" s="12">
        <v>0.5</v>
      </c>
      <c r="K160" t="s">
        <v>60</v>
      </c>
      <c r="L160" t="s">
        <v>13</v>
      </c>
      <c r="M160" t="s">
        <v>200</v>
      </c>
      <c r="O160" t="s">
        <v>197</v>
      </c>
      <c r="P160">
        <v>12</v>
      </c>
      <c r="Q160" t="s">
        <v>203</v>
      </c>
      <c r="R160" s="6">
        <v>0.95102924958817192</v>
      </c>
      <c r="S160" s="6">
        <v>23.384277227589777</v>
      </c>
      <c r="T160" s="6">
        <v>9.966297946714036</v>
      </c>
      <c r="U160" s="6">
        <v>94.928670699523522</v>
      </c>
      <c r="V160" s="6">
        <v>0.22139714033130981</v>
      </c>
      <c r="W160" s="6">
        <v>9.9772592185419136</v>
      </c>
      <c r="X160" s="6">
        <v>5.0015699389564681</v>
      </c>
      <c r="Y160" s="6">
        <v>48.608313838017025</v>
      </c>
    </row>
    <row r="161" spans="1:25" x14ac:dyDescent="0.25">
      <c r="A161" t="str">
        <f t="shared" si="2"/>
        <v>RTD Ice TeaFranceDecemberEUR (€)Fully-AutomatedOldPET Bottle0.5Small-scaleMedium</v>
      </c>
      <c r="B161" t="s">
        <v>130</v>
      </c>
      <c r="C161" t="s">
        <v>130</v>
      </c>
      <c r="D161" t="s">
        <v>15</v>
      </c>
      <c r="E161" s="12" t="s">
        <v>182</v>
      </c>
      <c r="F161" t="s">
        <v>187</v>
      </c>
      <c r="G161" t="s">
        <v>12</v>
      </c>
      <c r="H161" t="s">
        <v>72</v>
      </c>
      <c r="I161" t="s">
        <v>175</v>
      </c>
      <c r="J161" s="12">
        <v>0.5</v>
      </c>
      <c r="K161" t="s">
        <v>60</v>
      </c>
      <c r="L161" t="s">
        <v>63</v>
      </c>
      <c r="M161" t="s">
        <v>200</v>
      </c>
      <c r="O161" t="s">
        <v>197</v>
      </c>
      <c r="P161">
        <v>12</v>
      </c>
      <c r="Q161" t="s">
        <v>203</v>
      </c>
      <c r="R161" s="6">
        <v>0.98725402129597928</v>
      </c>
      <c r="S161" s="6">
        <v>24.275883305120828</v>
      </c>
      <c r="T161" s="6">
        <v>10.345636555419302</v>
      </c>
      <c r="U161" s="6">
        <v>98.542805224562784</v>
      </c>
      <c r="V161" s="6">
        <v>0.22958510338212554</v>
      </c>
      <c r="W161" s="6">
        <v>10.344892367309104</v>
      </c>
      <c r="X161" s="6">
        <v>5.1862163706389106</v>
      </c>
      <c r="Y161" s="6">
        <v>50.402372374785088</v>
      </c>
    </row>
    <row r="162" spans="1:25" x14ac:dyDescent="0.25">
      <c r="A162" t="str">
        <f t="shared" si="2"/>
        <v>RTD Ice TeaFranceDecemberEUR (€)Fully-AutomatedOldPET Bottle0.5Small-scaleHigh</v>
      </c>
      <c r="B162" t="s">
        <v>130</v>
      </c>
      <c r="C162" t="s">
        <v>130</v>
      </c>
      <c r="D162" t="s">
        <v>15</v>
      </c>
      <c r="E162" s="12" t="s">
        <v>182</v>
      </c>
      <c r="F162" t="s">
        <v>187</v>
      </c>
      <c r="G162" t="s">
        <v>12</v>
      </c>
      <c r="H162" t="s">
        <v>72</v>
      </c>
      <c r="I162" t="s">
        <v>175</v>
      </c>
      <c r="J162" s="12">
        <v>0.5</v>
      </c>
      <c r="K162" t="s">
        <v>60</v>
      </c>
      <c r="L162" t="s">
        <v>11</v>
      </c>
      <c r="M162" t="s">
        <v>200</v>
      </c>
      <c r="O162" t="s">
        <v>197</v>
      </c>
      <c r="P162">
        <v>12</v>
      </c>
      <c r="Q162" t="s">
        <v>203</v>
      </c>
      <c r="R162" s="6">
        <v>1.0263767747404109</v>
      </c>
      <c r="S162" s="6">
        <v>25.238817868854369</v>
      </c>
      <c r="T162" s="6">
        <v>10.755322252820989</v>
      </c>
      <c r="U162" s="6">
        <v>102.44607051160517</v>
      </c>
      <c r="V162" s="6">
        <v>0.23842810347700655</v>
      </c>
      <c r="W162" s="6">
        <v>10.741936167977668</v>
      </c>
      <c r="X162" s="6">
        <v>5.3856345168559461</v>
      </c>
      <c r="Y162" s="6">
        <v>52.339955594494583</v>
      </c>
    </row>
    <row r="163" spans="1:25" x14ac:dyDescent="0.25">
      <c r="A163" t="str">
        <f t="shared" si="2"/>
        <v>RTD Ice TeaFranceDecemberEUR (€)Fully-AutomatedOldPET Bottle0.5High-scaleLow</v>
      </c>
      <c r="B163" t="s">
        <v>130</v>
      </c>
      <c r="C163" t="s">
        <v>130</v>
      </c>
      <c r="D163" t="s">
        <v>15</v>
      </c>
      <c r="E163" s="12" t="s">
        <v>182</v>
      </c>
      <c r="F163" t="s">
        <v>187</v>
      </c>
      <c r="G163" t="s">
        <v>12</v>
      </c>
      <c r="H163" t="s">
        <v>72</v>
      </c>
      <c r="I163" t="s">
        <v>175</v>
      </c>
      <c r="J163" s="12">
        <v>0.5</v>
      </c>
      <c r="K163" t="s">
        <v>107</v>
      </c>
      <c r="L163" t="s">
        <v>13</v>
      </c>
      <c r="M163" t="s">
        <v>199</v>
      </c>
      <c r="O163" t="s">
        <v>197</v>
      </c>
      <c r="P163">
        <v>24</v>
      </c>
      <c r="Q163" t="s">
        <v>204</v>
      </c>
      <c r="R163" s="6">
        <v>0.94735517551409787</v>
      </c>
      <c r="S163" s="6">
        <v>23.303269542876816</v>
      </c>
      <c r="T163" s="6">
        <v>9.924900298563184</v>
      </c>
      <c r="U163" s="6">
        <v>94.544201480122396</v>
      </c>
      <c r="V163" s="6">
        <v>0.20179293078418536</v>
      </c>
      <c r="W163" s="6">
        <v>6.5703147049836108</v>
      </c>
      <c r="X163" s="6">
        <v>4.2608079913747963</v>
      </c>
      <c r="Y163" s="6">
        <v>40.163692450276713</v>
      </c>
    </row>
    <row r="164" spans="1:25" x14ac:dyDescent="0.25">
      <c r="A164" t="str">
        <f t="shared" si="2"/>
        <v>RTD Ice TeaFranceDecemberEUR (€)Fully-AutomatedOldPET Bottle0.5High-scaleMedium</v>
      </c>
      <c r="B164" t="s">
        <v>130</v>
      </c>
      <c r="C164" t="s">
        <v>130</v>
      </c>
      <c r="D164" t="s">
        <v>15</v>
      </c>
      <c r="E164" s="12" t="s">
        <v>182</v>
      </c>
      <c r="F164" t="s">
        <v>187</v>
      </c>
      <c r="G164" t="s">
        <v>12</v>
      </c>
      <c r="H164" t="s">
        <v>72</v>
      </c>
      <c r="I164" t="s">
        <v>175</v>
      </c>
      <c r="J164" s="12">
        <v>0.5</v>
      </c>
      <c r="K164" t="s">
        <v>107</v>
      </c>
      <c r="L164" t="s">
        <v>63</v>
      </c>
      <c r="M164" t="s">
        <v>199</v>
      </c>
      <c r="O164" t="s">
        <v>197</v>
      </c>
      <c r="P164">
        <v>24</v>
      </c>
      <c r="Q164" t="s">
        <v>204</v>
      </c>
      <c r="R164" s="6">
        <v>0.98357994722190512</v>
      </c>
      <c r="S164" s="6">
        <v>24.194875620407874</v>
      </c>
      <c r="T164" s="6">
        <v>10.304238907268452</v>
      </c>
      <c r="U164" s="6">
        <v>98.158336005161644</v>
      </c>
      <c r="V164" s="6">
        <v>0.20925204117565172</v>
      </c>
      <c r="W164" s="6">
        <v>6.8112471864130288</v>
      </c>
      <c r="X164" s="6">
        <v>4.4178515678521526</v>
      </c>
      <c r="Y164" s="6">
        <v>41.643245457381489</v>
      </c>
    </row>
    <row r="165" spans="1:25" x14ac:dyDescent="0.25">
      <c r="A165" t="str">
        <f t="shared" si="2"/>
        <v>RTD Ice TeaFranceDecemberEUR (€)Fully-AutomatedOldPET Bottle0.5High-scaleHigh</v>
      </c>
      <c r="B165" t="s">
        <v>130</v>
      </c>
      <c r="C165" t="s">
        <v>130</v>
      </c>
      <c r="D165" t="s">
        <v>15</v>
      </c>
      <c r="E165" s="12" t="s">
        <v>182</v>
      </c>
      <c r="F165" t="s">
        <v>187</v>
      </c>
      <c r="G165" t="s">
        <v>12</v>
      </c>
      <c r="H165" t="s">
        <v>72</v>
      </c>
      <c r="I165" t="s">
        <v>175</v>
      </c>
      <c r="J165" s="12">
        <v>0.5</v>
      </c>
      <c r="K165" t="s">
        <v>107</v>
      </c>
      <c r="L165" t="s">
        <v>11</v>
      </c>
      <c r="M165" t="s">
        <v>199</v>
      </c>
      <c r="O165" t="s">
        <v>197</v>
      </c>
      <c r="P165">
        <v>24</v>
      </c>
      <c r="Q165" t="s">
        <v>204</v>
      </c>
      <c r="R165" s="6">
        <v>1.0227027006663367</v>
      </c>
      <c r="S165" s="6">
        <v>25.157810184141404</v>
      </c>
      <c r="T165" s="6">
        <v>10.71392460467014</v>
      </c>
      <c r="U165" s="6">
        <v>102.06160129220405</v>
      </c>
      <c r="V165" s="6">
        <v>0.21730788039843529</v>
      </c>
      <c r="W165" s="6">
        <v>7.0714542663567981</v>
      </c>
      <c r="X165" s="6">
        <v>4.5874586304476974</v>
      </c>
      <c r="Y165" s="6">
        <v>43.241162705054649</v>
      </c>
    </row>
    <row r="166" spans="1:25" x14ac:dyDescent="0.25">
      <c r="A166" t="str">
        <f t="shared" si="2"/>
        <v>RTD Ice TeaFranceDecemberEUR (€)Fully-AutomatedOldPET Bottle0.5Medium-scaleLow</v>
      </c>
      <c r="B166" t="s">
        <v>130</v>
      </c>
      <c r="C166" t="s">
        <v>130</v>
      </c>
      <c r="D166" t="s">
        <v>15</v>
      </c>
      <c r="E166" s="12" t="s">
        <v>182</v>
      </c>
      <c r="F166" t="s">
        <v>187</v>
      </c>
      <c r="G166" t="s">
        <v>12</v>
      </c>
      <c r="H166" t="s">
        <v>72</v>
      </c>
      <c r="I166" t="s">
        <v>175</v>
      </c>
      <c r="J166" s="12">
        <v>0.5</v>
      </c>
      <c r="K166" t="s">
        <v>62</v>
      </c>
      <c r="L166" t="s">
        <v>13</v>
      </c>
      <c r="M166" t="s">
        <v>199</v>
      </c>
      <c r="O166" t="s">
        <v>197</v>
      </c>
      <c r="P166">
        <v>24</v>
      </c>
      <c r="Q166" t="s">
        <v>204</v>
      </c>
      <c r="R166" s="6">
        <v>0.94873295329187568</v>
      </c>
      <c r="S166" s="6">
        <v>23.333647424644177</v>
      </c>
      <c r="T166" s="6">
        <v>9.940424416619754</v>
      </c>
      <c r="U166" s="6">
        <v>94.688377437397804</v>
      </c>
      <c r="V166" s="6">
        <v>0.20259217320842776</v>
      </c>
      <c r="W166" s="6">
        <v>6.5982961732064416</v>
      </c>
      <c r="X166" s="6">
        <v>4.2788766357439663</v>
      </c>
      <c r="Y166" s="6">
        <v>40.334053695662696</v>
      </c>
    </row>
    <row r="167" spans="1:25" x14ac:dyDescent="0.25">
      <c r="A167" t="str">
        <f t="shared" si="2"/>
        <v>RTD Ice TeaFranceDecemberEUR (€)Fully-AutomatedOldPET Bottle0.5Medium-scaleMedium</v>
      </c>
      <c r="B167" t="s">
        <v>130</v>
      </c>
      <c r="C167" t="s">
        <v>130</v>
      </c>
      <c r="D167" t="s">
        <v>15</v>
      </c>
      <c r="E167" s="12" t="s">
        <v>182</v>
      </c>
      <c r="F167" t="s">
        <v>187</v>
      </c>
      <c r="G167" t="s">
        <v>12</v>
      </c>
      <c r="H167" t="s">
        <v>72</v>
      </c>
      <c r="I167" t="s">
        <v>175</v>
      </c>
      <c r="J167" s="12">
        <v>0.5</v>
      </c>
      <c r="K167" t="s">
        <v>62</v>
      </c>
      <c r="L167" t="s">
        <v>63</v>
      </c>
      <c r="M167" t="s">
        <v>199</v>
      </c>
      <c r="O167" t="s">
        <v>197</v>
      </c>
      <c r="P167">
        <v>24</v>
      </c>
      <c r="Q167" t="s">
        <v>204</v>
      </c>
      <c r="R167" s="6">
        <v>0.98495772499968293</v>
      </c>
      <c r="S167" s="6">
        <v>24.225253502175232</v>
      </c>
      <c r="T167" s="6">
        <v>10.31976302532502</v>
      </c>
      <c r="U167" s="6">
        <v>98.30251196243708</v>
      </c>
      <c r="V167" s="6">
        <v>0.21005128359989411</v>
      </c>
      <c r="W167" s="6">
        <v>6.8392286546358614</v>
      </c>
      <c r="X167" s="6">
        <v>4.4359202122213235</v>
      </c>
      <c r="Y167" s="6">
        <v>41.813606702767466</v>
      </c>
    </row>
    <row r="168" spans="1:25" x14ac:dyDescent="0.25">
      <c r="A168" t="str">
        <f t="shared" si="2"/>
        <v>RTD Ice TeaFranceDecemberEUR (€)Fully-AutomatedOldPET Bottle0.5Medium-scaleHigh</v>
      </c>
      <c r="B168" t="s">
        <v>130</v>
      </c>
      <c r="C168" t="s">
        <v>130</v>
      </c>
      <c r="D168" t="s">
        <v>15</v>
      </c>
      <c r="E168" s="12" t="s">
        <v>182</v>
      </c>
      <c r="F168" t="s">
        <v>187</v>
      </c>
      <c r="G168" t="s">
        <v>12</v>
      </c>
      <c r="H168" t="s">
        <v>72</v>
      </c>
      <c r="I168" t="s">
        <v>175</v>
      </c>
      <c r="J168" s="12">
        <v>0.5</v>
      </c>
      <c r="K168" t="s">
        <v>62</v>
      </c>
      <c r="L168" t="s">
        <v>11</v>
      </c>
      <c r="M168" t="s">
        <v>199</v>
      </c>
      <c r="O168" t="s">
        <v>197</v>
      </c>
      <c r="P168">
        <v>24</v>
      </c>
      <c r="Q168" t="s">
        <v>204</v>
      </c>
      <c r="R168" s="6">
        <v>1.0240804784441147</v>
      </c>
      <c r="S168" s="6">
        <v>25.188188065908765</v>
      </c>
      <c r="T168" s="6">
        <v>10.729448722726705</v>
      </c>
      <c r="U168" s="6">
        <v>102.20577724947947</v>
      </c>
      <c r="V168" s="6">
        <v>0.21810712282267775</v>
      </c>
      <c r="W168" s="6">
        <v>7.0994357345796315</v>
      </c>
      <c r="X168" s="6">
        <v>4.6055272748168683</v>
      </c>
      <c r="Y168" s="6">
        <v>43.411523950440632</v>
      </c>
    </row>
    <row r="169" spans="1:25" x14ac:dyDescent="0.25">
      <c r="A169" t="str">
        <f t="shared" si="2"/>
        <v>RTD Ice TeaFranceDecemberEUR (€)Fully-AutomatedOldPET Bottle0.5Small-scaleLow</v>
      </c>
      <c r="B169" t="s">
        <v>130</v>
      </c>
      <c r="C169" t="s">
        <v>130</v>
      </c>
      <c r="D169" t="s">
        <v>15</v>
      </c>
      <c r="E169" s="12" t="s">
        <v>182</v>
      </c>
      <c r="F169" t="s">
        <v>187</v>
      </c>
      <c r="G169" t="s">
        <v>12</v>
      </c>
      <c r="H169" t="s">
        <v>72</v>
      </c>
      <c r="I169" t="s">
        <v>175</v>
      </c>
      <c r="J169" s="12">
        <v>0.5</v>
      </c>
      <c r="K169" t="s">
        <v>60</v>
      </c>
      <c r="L169" t="s">
        <v>13</v>
      </c>
      <c r="M169" t="s">
        <v>199</v>
      </c>
      <c r="O169" t="s">
        <v>197</v>
      </c>
      <c r="P169">
        <v>24</v>
      </c>
      <c r="Q169" t="s">
        <v>204</v>
      </c>
      <c r="R169" s="6">
        <v>0.95102924958817192</v>
      </c>
      <c r="S169" s="6">
        <v>23.384277227589777</v>
      </c>
      <c r="T169" s="6">
        <v>9.966297946714036</v>
      </c>
      <c r="U169" s="6">
        <v>94.928670699523522</v>
      </c>
      <c r="V169" s="6">
        <v>0.20392424391549846</v>
      </c>
      <c r="W169" s="6">
        <v>6.6449319535778306</v>
      </c>
      <c r="X169" s="6">
        <v>4.3089910430259186</v>
      </c>
      <c r="Y169" s="6">
        <v>40.617989104639321</v>
      </c>
    </row>
    <row r="170" spans="1:25" x14ac:dyDescent="0.25">
      <c r="A170" t="str">
        <f t="shared" si="2"/>
        <v>RTD Ice TeaFranceDecemberEUR (€)Fully-AutomatedOldPET Bottle0.5Small-scaleMedium</v>
      </c>
      <c r="B170" t="s">
        <v>130</v>
      </c>
      <c r="C170" t="s">
        <v>130</v>
      </c>
      <c r="D170" t="s">
        <v>15</v>
      </c>
      <c r="E170" s="12" t="s">
        <v>182</v>
      </c>
      <c r="F170" t="s">
        <v>187</v>
      </c>
      <c r="G170" t="s">
        <v>12</v>
      </c>
      <c r="H170" t="s">
        <v>72</v>
      </c>
      <c r="I170" t="s">
        <v>175</v>
      </c>
      <c r="J170" s="12">
        <v>0.5</v>
      </c>
      <c r="K170" t="s">
        <v>60</v>
      </c>
      <c r="L170" t="s">
        <v>63</v>
      </c>
      <c r="M170" t="s">
        <v>199</v>
      </c>
      <c r="O170" t="s">
        <v>197</v>
      </c>
      <c r="P170">
        <v>24</v>
      </c>
      <c r="Q170" t="s">
        <v>204</v>
      </c>
      <c r="R170" s="6">
        <v>0.98725402129597928</v>
      </c>
      <c r="S170" s="6">
        <v>24.275883305120828</v>
      </c>
      <c r="T170" s="6">
        <v>10.345636555419302</v>
      </c>
      <c r="U170" s="6">
        <v>98.542805224562784</v>
      </c>
      <c r="V170" s="6">
        <v>0.21138335430696481</v>
      </c>
      <c r="W170" s="6">
        <v>6.8858644350072495</v>
      </c>
      <c r="X170" s="6">
        <v>4.466034619503275</v>
      </c>
      <c r="Y170" s="6">
        <v>42.097542111744104</v>
      </c>
    </row>
    <row r="171" spans="1:25" x14ac:dyDescent="0.25">
      <c r="A171" t="str">
        <f t="shared" si="2"/>
        <v>RTD Ice TeaFranceDecemberEUR (€)Fully-AutomatedOldPET Bottle0.5Small-scaleHigh</v>
      </c>
      <c r="B171" t="s">
        <v>130</v>
      </c>
      <c r="C171" t="s">
        <v>130</v>
      </c>
      <c r="D171" t="s">
        <v>15</v>
      </c>
      <c r="E171" s="12" t="s">
        <v>182</v>
      </c>
      <c r="F171" t="s">
        <v>187</v>
      </c>
      <c r="G171" t="s">
        <v>12</v>
      </c>
      <c r="H171" t="s">
        <v>72</v>
      </c>
      <c r="I171" t="s">
        <v>175</v>
      </c>
      <c r="J171" s="12">
        <v>0.5</v>
      </c>
      <c r="K171" t="s">
        <v>60</v>
      </c>
      <c r="L171" t="s">
        <v>11</v>
      </c>
      <c r="M171" t="s">
        <v>199</v>
      </c>
      <c r="O171" t="s">
        <v>197</v>
      </c>
      <c r="P171">
        <v>24</v>
      </c>
      <c r="Q171" t="s">
        <v>204</v>
      </c>
      <c r="R171" s="6">
        <v>1.0263767747404109</v>
      </c>
      <c r="S171" s="6">
        <v>25.238817868854369</v>
      </c>
      <c r="T171" s="6">
        <v>10.755322252820989</v>
      </c>
      <c r="U171" s="6">
        <v>102.44607051160517</v>
      </c>
      <c r="V171" s="6">
        <v>0.21943919352974842</v>
      </c>
      <c r="W171" s="6">
        <v>7.1460715149510197</v>
      </c>
      <c r="X171" s="6">
        <v>4.6356416820988198</v>
      </c>
      <c r="Y171" s="6">
        <v>43.695459359417271</v>
      </c>
    </row>
    <row r="172" spans="1:25" x14ac:dyDescent="0.25">
      <c r="A172" t="str">
        <f t="shared" si="2"/>
        <v>RTD Ice TeaFranceDecemberEUR (€)Fully-AutomatedOldPET Bottle0.5High-scaleLow</v>
      </c>
      <c r="B172" t="s">
        <v>130</v>
      </c>
      <c r="C172" t="s">
        <v>130</v>
      </c>
      <c r="D172" t="s">
        <v>15</v>
      </c>
      <c r="E172" s="12" t="s">
        <v>182</v>
      </c>
      <c r="F172" t="s">
        <v>187</v>
      </c>
      <c r="G172" t="s">
        <v>12</v>
      </c>
      <c r="H172" t="s">
        <v>72</v>
      </c>
      <c r="I172" t="s">
        <v>175</v>
      </c>
      <c r="J172" s="12">
        <v>0.5</v>
      </c>
      <c r="K172" t="s">
        <v>107</v>
      </c>
      <c r="L172" t="s">
        <v>13</v>
      </c>
      <c r="M172" t="s">
        <v>200</v>
      </c>
      <c r="O172" t="s">
        <v>197</v>
      </c>
      <c r="P172">
        <v>24</v>
      </c>
      <c r="Q172" t="s">
        <v>204</v>
      </c>
      <c r="R172" s="6">
        <v>0.94735517551409787</v>
      </c>
      <c r="S172" s="6">
        <v>23.303269542876816</v>
      </c>
      <c r="T172" s="6">
        <v>9.924900298563184</v>
      </c>
      <c r="U172" s="6">
        <v>94.544201480122396</v>
      </c>
      <c r="V172" s="6">
        <v>0.17150822666960655</v>
      </c>
      <c r="W172" s="6">
        <v>8.5342290827000138</v>
      </c>
      <c r="X172" s="6">
        <v>4.2197880589102716</v>
      </c>
      <c r="Y172" s="6">
        <v>41.076263155718564</v>
      </c>
    </row>
    <row r="173" spans="1:25" x14ac:dyDescent="0.25">
      <c r="A173" t="str">
        <f t="shared" si="2"/>
        <v>RTD Ice TeaFranceDecemberEUR (€)Fully-AutomatedOldPET Bottle0.5High-scaleMedium</v>
      </c>
      <c r="B173" t="s">
        <v>130</v>
      </c>
      <c r="C173" t="s">
        <v>130</v>
      </c>
      <c r="D173" t="s">
        <v>15</v>
      </c>
      <c r="E173" s="12" t="s">
        <v>182</v>
      </c>
      <c r="F173" t="s">
        <v>187</v>
      </c>
      <c r="G173" t="s">
        <v>12</v>
      </c>
      <c r="H173" t="s">
        <v>72</v>
      </c>
      <c r="I173" t="s">
        <v>175</v>
      </c>
      <c r="J173" s="12">
        <v>0.5</v>
      </c>
      <c r="K173" t="s">
        <v>107</v>
      </c>
      <c r="L173" t="s">
        <v>63</v>
      </c>
      <c r="M173" t="s">
        <v>200</v>
      </c>
      <c r="O173" t="s">
        <v>197</v>
      </c>
      <c r="P173">
        <v>24</v>
      </c>
      <c r="Q173" t="s">
        <v>204</v>
      </c>
      <c r="R173" s="6">
        <v>0.98357994722190512</v>
      </c>
      <c r="S173" s="6">
        <v>24.194875620407874</v>
      </c>
      <c r="T173" s="6">
        <v>10.304238907268452</v>
      </c>
      <c r="U173" s="6">
        <v>98.158336005161644</v>
      </c>
      <c r="V173" s="6">
        <v>0.17790403647546943</v>
      </c>
      <c r="W173" s="6">
        <v>8.8514357069388154</v>
      </c>
      <c r="X173" s="6">
        <v>4.3769913153283362</v>
      </c>
      <c r="Y173" s="6">
        <v>42.606043436278966</v>
      </c>
    </row>
    <row r="174" spans="1:25" x14ac:dyDescent="0.25">
      <c r="A174" t="str">
        <f t="shared" si="2"/>
        <v>RTD Ice TeaFranceDecemberEUR (€)Fully-AutomatedOldPET Bottle0.5High-scaleHigh</v>
      </c>
      <c r="B174" t="s">
        <v>130</v>
      </c>
      <c r="C174" t="s">
        <v>130</v>
      </c>
      <c r="D174" t="s">
        <v>15</v>
      </c>
      <c r="E174" s="12" t="s">
        <v>182</v>
      </c>
      <c r="F174" t="s">
        <v>187</v>
      </c>
      <c r="G174" t="s">
        <v>12</v>
      </c>
      <c r="H174" t="s">
        <v>72</v>
      </c>
      <c r="I174" t="s">
        <v>175</v>
      </c>
      <c r="J174" s="12">
        <v>0.5</v>
      </c>
      <c r="K174" t="s">
        <v>107</v>
      </c>
      <c r="L174" t="s">
        <v>11</v>
      </c>
      <c r="M174" t="s">
        <v>200</v>
      </c>
      <c r="O174" t="s">
        <v>197</v>
      </c>
      <c r="P174">
        <v>24</v>
      </c>
      <c r="Q174" t="s">
        <v>204</v>
      </c>
      <c r="R174" s="6">
        <v>1.0227027006663367</v>
      </c>
      <c r="S174" s="6">
        <v>25.157810184141404</v>
      </c>
      <c r="T174" s="6">
        <v>10.71392460467014</v>
      </c>
      <c r="U174" s="6">
        <v>102.06160129220405</v>
      </c>
      <c r="V174" s="6">
        <v>0.18481151106580129</v>
      </c>
      <c r="W174" s="6">
        <v>9.1940188611167191</v>
      </c>
      <c r="X174" s="6">
        <v>4.5467708322598464</v>
      </c>
      <c r="Y174" s="6">
        <v>44.258206139284184</v>
      </c>
    </row>
    <row r="175" spans="1:25" x14ac:dyDescent="0.25">
      <c r="A175" t="str">
        <f t="shared" si="2"/>
        <v>RTD Ice TeaFranceDecemberEUR (€)Fully-AutomatedOldPET Bottle0.5Medium-scaleLow</v>
      </c>
      <c r="B175" t="s">
        <v>130</v>
      </c>
      <c r="C175" t="s">
        <v>130</v>
      </c>
      <c r="D175" t="s">
        <v>15</v>
      </c>
      <c r="E175" s="12" t="s">
        <v>182</v>
      </c>
      <c r="F175" t="s">
        <v>187</v>
      </c>
      <c r="G175" t="s">
        <v>12</v>
      </c>
      <c r="H175" t="s">
        <v>72</v>
      </c>
      <c r="I175" t="s">
        <v>175</v>
      </c>
      <c r="J175" s="12">
        <v>0.5</v>
      </c>
      <c r="K175" t="s">
        <v>62</v>
      </c>
      <c r="L175" t="s">
        <v>13</v>
      </c>
      <c r="M175" t="s">
        <v>200</v>
      </c>
      <c r="O175" t="s">
        <v>197</v>
      </c>
      <c r="P175">
        <v>24</v>
      </c>
      <c r="Q175" t="s">
        <v>204</v>
      </c>
      <c r="R175" s="6">
        <v>0.94873295329187568</v>
      </c>
      <c r="S175" s="6">
        <v>23.333647424644177</v>
      </c>
      <c r="T175" s="6">
        <v>9.940424416619754</v>
      </c>
      <c r="U175" s="6">
        <v>94.688377437397804</v>
      </c>
      <c r="V175" s="6">
        <v>0.17220645899283887</v>
      </c>
      <c r="W175" s="6">
        <v>8.5693869359758068</v>
      </c>
      <c r="X175" s="6">
        <v>4.2378567032794425</v>
      </c>
      <c r="Y175" s="6">
        <v>41.25122339482332</v>
      </c>
    </row>
    <row r="176" spans="1:25" x14ac:dyDescent="0.25">
      <c r="A176" t="str">
        <f t="shared" si="2"/>
        <v>RTD Ice TeaFranceDecemberEUR (€)Fully-AutomatedOldPET Bottle0.5Medium-scaleMedium</v>
      </c>
      <c r="B176" t="s">
        <v>130</v>
      </c>
      <c r="C176" t="s">
        <v>130</v>
      </c>
      <c r="D176" t="s">
        <v>15</v>
      </c>
      <c r="E176" s="12" t="s">
        <v>182</v>
      </c>
      <c r="F176" t="s">
        <v>187</v>
      </c>
      <c r="G176" t="s">
        <v>12</v>
      </c>
      <c r="H176" t="s">
        <v>72</v>
      </c>
      <c r="I176" t="s">
        <v>175</v>
      </c>
      <c r="J176" s="12">
        <v>0.5</v>
      </c>
      <c r="K176" t="s">
        <v>62</v>
      </c>
      <c r="L176" t="s">
        <v>63</v>
      </c>
      <c r="M176" t="s">
        <v>200</v>
      </c>
      <c r="O176" t="s">
        <v>197</v>
      </c>
      <c r="P176">
        <v>24</v>
      </c>
      <c r="Q176" t="s">
        <v>204</v>
      </c>
      <c r="R176" s="6">
        <v>0.98495772499968293</v>
      </c>
      <c r="S176" s="6">
        <v>24.225253502175232</v>
      </c>
      <c r="T176" s="6">
        <v>10.31976302532502</v>
      </c>
      <c r="U176" s="6">
        <v>98.30251196243708</v>
      </c>
      <c r="V176" s="6">
        <v>0.17860226879870172</v>
      </c>
      <c r="W176" s="6">
        <v>8.886593560214612</v>
      </c>
      <c r="X176" s="6">
        <v>4.3950599596975071</v>
      </c>
      <c r="Y176" s="6">
        <v>42.781003675383715</v>
      </c>
    </row>
    <row r="177" spans="1:25" x14ac:dyDescent="0.25">
      <c r="A177" t="str">
        <f t="shared" si="2"/>
        <v>RTD Ice TeaFranceDecemberEUR (€)Fully-AutomatedOldPET Bottle0.5Medium-scaleHigh</v>
      </c>
      <c r="B177" t="s">
        <v>130</v>
      </c>
      <c r="C177" t="s">
        <v>130</v>
      </c>
      <c r="D177" t="s">
        <v>15</v>
      </c>
      <c r="E177" s="12" t="s">
        <v>182</v>
      </c>
      <c r="F177" t="s">
        <v>187</v>
      </c>
      <c r="G177" t="s">
        <v>12</v>
      </c>
      <c r="H177" t="s">
        <v>72</v>
      </c>
      <c r="I177" t="s">
        <v>175</v>
      </c>
      <c r="J177" s="12">
        <v>0.5</v>
      </c>
      <c r="K177" t="s">
        <v>62</v>
      </c>
      <c r="L177" t="s">
        <v>11</v>
      </c>
      <c r="M177" t="s">
        <v>200</v>
      </c>
      <c r="O177" t="s">
        <v>197</v>
      </c>
      <c r="P177">
        <v>24</v>
      </c>
      <c r="Q177" t="s">
        <v>204</v>
      </c>
      <c r="R177" s="6">
        <v>1.0240804784441147</v>
      </c>
      <c r="S177" s="6">
        <v>25.188188065908765</v>
      </c>
      <c r="T177" s="6">
        <v>10.729448722726705</v>
      </c>
      <c r="U177" s="6">
        <v>102.20577724947947</v>
      </c>
      <c r="V177" s="6">
        <v>0.18550974338903364</v>
      </c>
      <c r="W177" s="6">
        <v>9.2291767143925156</v>
      </c>
      <c r="X177" s="6">
        <v>4.5648394766290172</v>
      </c>
      <c r="Y177" s="6">
        <v>44.433166378388933</v>
      </c>
    </row>
    <row r="178" spans="1:25" x14ac:dyDescent="0.25">
      <c r="A178" t="str">
        <f t="shared" si="2"/>
        <v>RTD Ice TeaFranceDecemberEUR (€)Fully-AutomatedOldPET Bottle0.5Small-scaleLow</v>
      </c>
      <c r="B178" t="s">
        <v>130</v>
      </c>
      <c r="C178" t="s">
        <v>130</v>
      </c>
      <c r="D178" t="s">
        <v>15</v>
      </c>
      <c r="E178" s="12" t="s">
        <v>182</v>
      </c>
      <c r="F178" t="s">
        <v>187</v>
      </c>
      <c r="G178" t="s">
        <v>12</v>
      </c>
      <c r="H178" t="s">
        <v>72</v>
      </c>
      <c r="I178" t="s">
        <v>175</v>
      </c>
      <c r="J178" s="12">
        <v>0.5</v>
      </c>
      <c r="K178" t="s">
        <v>60</v>
      </c>
      <c r="L178" t="s">
        <v>13</v>
      </c>
      <c r="M178" t="s">
        <v>200</v>
      </c>
      <c r="O178" t="s">
        <v>197</v>
      </c>
      <c r="P178">
        <v>24</v>
      </c>
      <c r="Q178" t="s">
        <v>204</v>
      </c>
      <c r="R178" s="6">
        <v>0.95102924958817192</v>
      </c>
      <c r="S178" s="6">
        <v>23.384277227589777</v>
      </c>
      <c r="T178" s="6">
        <v>9.966297946714036</v>
      </c>
      <c r="U178" s="6">
        <v>94.928670699523522</v>
      </c>
      <c r="V178" s="6">
        <v>0.17337017953155939</v>
      </c>
      <c r="W178" s="6">
        <v>8.6279833581021315</v>
      </c>
      <c r="X178" s="6">
        <v>4.267971110561394</v>
      </c>
      <c r="Y178" s="6">
        <v>41.542823793331223</v>
      </c>
    </row>
    <row r="179" spans="1:25" x14ac:dyDescent="0.25">
      <c r="A179" t="str">
        <f t="shared" si="2"/>
        <v>RTD Ice TeaFranceDecemberEUR (€)Fully-AutomatedOldPET Bottle0.5Small-scaleMedium</v>
      </c>
      <c r="B179" t="s">
        <v>130</v>
      </c>
      <c r="C179" t="s">
        <v>130</v>
      </c>
      <c r="D179" t="s">
        <v>15</v>
      </c>
      <c r="E179" s="12" t="s">
        <v>182</v>
      </c>
      <c r="F179" t="s">
        <v>187</v>
      </c>
      <c r="G179" t="s">
        <v>12</v>
      </c>
      <c r="H179" t="s">
        <v>72</v>
      </c>
      <c r="I179" t="s">
        <v>175</v>
      </c>
      <c r="J179" s="12">
        <v>0.5</v>
      </c>
      <c r="K179" t="s">
        <v>60</v>
      </c>
      <c r="L179" t="s">
        <v>63</v>
      </c>
      <c r="M179" t="s">
        <v>200</v>
      </c>
      <c r="O179" t="s">
        <v>197</v>
      </c>
      <c r="P179">
        <v>24</v>
      </c>
      <c r="Q179" t="s">
        <v>204</v>
      </c>
      <c r="R179" s="6">
        <v>0.98725402129597928</v>
      </c>
      <c r="S179" s="6">
        <v>24.275883305120828</v>
      </c>
      <c r="T179" s="6">
        <v>10.345636555419302</v>
      </c>
      <c r="U179" s="6">
        <v>98.542805224562784</v>
      </c>
      <c r="V179" s="6">
        <v>0.17976598933742227</v>
      </c>
      <c r="W179" s="6">
        <v>8.9451899823409349</v>
      </c>
      <c r="X179" s="6">
        <v>4.4251743669794594</v>
      </c>
      <c r="Y179" s="6">
        <v>43.072604073891625</v>
      </c>
    </row>
    <row r="180" spans="1:25" x14ac:dyDescent="0.25">
      <c r="A180" t="str">
        <f t="shared" si="2"/>
        <v>RTD Ice TeaFranceDecemberEUR (€)Fully-AutomatedOldPET Bottle0.5Small-scaleHigh</v>
      </c>
      <c r="B180" t="s">
        <v>130</v>
      </c>
      <c r="C180" t="s">
        <v>130</v>
      </c>
      <c r="D180" t="s">
        <v>15</v>
      </c>
      <c r="E180" s="12" t="s">
        <v>182</v>
      </c>
      <c r="F180" t="s">
        <v>187</v>
      </c>
      <c r="G180" t="s">
        <v>12</v>
      </c>
      <c r="H180" t="s">
        <v>72</v>
      </c>
      <c r="I180" t="s">
        <v>175</v>
      </c>
      <c r="J180" s="12">
        <v>0.5</v>
      </c>
      <c r="K180" t="s">
        <v>60</v>
      </c>
      <c r="L180" t="s">
        <v>11</v>
      </c>
      <c r="M180" t="s">
        <v>200</v>
      </c>
      <c r="O180" t="s">
        <v>197</v>
      </c>
      <c r="P180">
        <v>24</v>
      </c>
      <c r="Q180" t="s">
        <v>204</v>
      </c>
      <c r="R180" s="6">
        <v>1.0263767747404109</v>
      </c>
      <c r="S180" s="6">
        <v>25.238817868854369</v>
      </c>
      <c r="T180" s="6">
        <v>10.755322252820989</v>
      </c>
      <c r="U180" s="6">
        <v>102.44607051160517</v>
      </c>
      <c r="V180" s="6">
        <v>0.18667346392775419</v>
      </c>
      <c r="W180" s="6">
        <v>9.2877731365188385</v>
      </c>
      <c r="X180" s="6">
        <v>4.5949538839109687</v>
      </c>
      <c r="Y180" s="6">
        <v>44.724766776896857</v>
      </c>
    </row>
    <row r="181" spans="1:25" x14ac:dyDescent="0.25">
      <c r="A181" t="str">
        <f t="shared" si="2"/>
        <v>RTD Ice TeaFranceDecemberEUR (€)Fully-AutomatedOldPET Bottle1High-scaleLow</v>
      </c>
      <c r="B181" t="s">
        <v>130</v>
      </c>
      <c r="C181" t="s">
        <v>130</v>
      </c>
      <c r="D181" t="s">
        <v>15</v>
      </c>
      <c r="E181" s="12" t="s">
        <v>182</v>
      </c>
      <c r="F181" t="s">
        <v>187</v>
      </c>
      <c r="G181" t="s">
        <v>12</v>
      </c>
      <c r="H181" t="s">
        <v>72</v>
      </c>
      <c r="I181" t="s">
        <v>175</v>
      </c>
      <c r="J181" s="12">
        <v>1</v>
      </c>
      <c r="K181" t="s">
        <v>107</v>
      </c>
      <c r="L181" t="s">
        <v>13</v>
      </c>
      <c r="M181" t="s">
        <v>199</v>
      </c>
      <c r="O181" t="s">
        <v>197</v>
      </c>
      <c r="P181">
        <v>4</v>
      </c>
      <c r="Q181" t="s">
        <v>198</v>
      </c>
      <c r="R181" s="6">
        <v>0.94735517551409787</v>
      </c>
      <c r="S181" s="6">
        <v>23.303269542876816</v>
      </c>
      <c r="T181" s="6">
        <v>9.924900298563184</v>
      </c>
      <c r="U181" s="6">
        <v>94.544201480122396</v>
      </c>
      <c r="V181" s="6">
        <v>0.1544736793529112</v>
      </c>
      <c r="W181" s="6">
        <v>4.7969301650807061</v>
      </c>
      <c r="X181" s="6">
        <v>2.9457039554981579</v>
      </c>
      <c r="Y181" s="6">
        <v>27.942301059246201</v>
      </c>
    </row>
    <row r="182" spans="1:25" x14ac:dyDescent="0.25">
      <c r="A182" t="str">
        <f t="shared" si="2"/>
        <v>RTD Ice TeaFranceDecemberEUR (€)Fully-AutomatedOldPET Bottle1High-scaleMedium</v>
      </c>
      <c r="B182" t="s">
        <v>130</v>
      </c>
      <c r="C182" t="s">
        <v>130</v>
      </c>
      <c r="D182" t="s">
        <v>15</v>
      </c>
      <c r="E182" s="12" t="s">
        <v>182</v>
      </c>
      <c r="F182" t="s">
        <v>187</v>
      </c>
      <c r="G182" t="s">
        <v>12</v>
      </c>
      <c r="H182" t="s">
        <v>72</v>
      </c>
      <c r="I182" t="s">
        <v>175</v>
      </c>
      <c r="J182" s="12">
        <v>1</v>
      </c>
      <c r="K182" t="s">
        <v>107</v>
      </c>
      <c r="L182" t="s">
        <v>63</v>
      </c>
      <c r="M182" t="s">
        <v>199</v>
      </c>
      <c r="O182" t="s">
        <v>197</v>
      </c>
      <c r="P182">
        <v>4</v>
      </c>
      <c r="Q182" t="s">
        <v>198</v>
      </c>
      <c r="R182" s="6">
        <v>0.98357994722190512</v>
      </c>
      <c r="S182" s="6">
        <v>24.194875620407874</v>
      </c>
      <c r="T182" s="6">
        <v>10.304238907268452</v>
      </c>
      <c r="U182" s="6">
        <v>98.158336005161644</v>
      </c>
      <c r="V182" s="6">
        <v>0.16007979600245986</v>
      </c>
      <c r="W182" s="6">
        <v>4.9687743282976653</v>
      </c>
      <c r="X182" s="6">
        <v>3.0517033089451524</v>
      </c>
      <c r="Y182" s="6">
        <v>28.947317734773961</v>
      </c>
    </row>
    <row r="183" spans="1:25" x14ac:dyDescent="0.25">
      <c r="A183" t="str">
        <f t="shared" si="2"/>
        <v>RTD Ice TeaFranceDecemberEUR (€)Fully-AutomatedOldPET Bottle1High-scaleHigh</v>
      </c>
      <c r="B183" t="s">
        <v>130</v>
      </c>
      <c r="C183" t="s">
        <v>130</v>
      </c>
      <c r="D183" t="s">
        <v>15</v>
      </c>
      <c r="E183" s="12" t="s">
        <v>182</v>
      </c>
      <c r="F183" t="s">
        <v>187</v>
      </c>
      <c r="G183" t="s">
        <v>12</v>
      </c>
      <c r="H183" t="s">
        <v>72</v>
      </c>
      <c r="I183" t="s">
        <v>175</v>
      </c>
      <c r="J183" s="12">
        <v>1</v>
      </c>
      <c r="K183" t="s">
        <v>107</v>
      </c>
      <c r="L183" t="s">
        <v>11</v>
      </c>
      <c r="M183" t="s">
        <v>199</v>
      </c>
      <c r="O183" t="s">
        <v>197</v>
      </c>
      <c r="P183">
        <v>4</v>
      </c>
      <c r="Q183" t="s">
        <v>198</v>
      </c>
      <c r="R183" s="6">
        <v>1.0227027006663367</v>
      </c>
      <c r="S183" s="6">
        <v>25.157810184141404</v>
      </c>
      <c r="T183" s="6">
        <v>10.71392460467014</v>
      </c>
      <c r="U183" s="6">
        <v>102.06160129220405</v>
      </c>
      <c r="V183" s="6">
        <v>0.16613440198397236</v>
      </c>
      <c r="W183" s="6">
        <v>5.1543660245719805</v>
      </c>
      <c r="X183" s="6">
        <v>3.166182610667907</v>
      </c>
      <c r="Y183" s="6">
        <v>30.032735744343935</v>
      </c>
    </row>
    <row r="184" spans="1:25" x14ac:dyDescent="0.25">
      <c r="A184" t="str">
        <f t="shared" si="2"/>
        <v>RTD Ice TeaFranceDecemberEUR (€)Fully-AutomatedOldPET Bottle1Medium-scaleLow</v>
      </c>
      <c r="B184" t="s">
        <v>130</v>
      </c>
      <c r="C184" t="s">
        <v>130</v>
      </c>
      <c r="D184" t="s">
        <v>15</v>
      </c>
      <c r="E184" s="12" t="s">
        <v>182</v>
      </c>
      <c r="F184" t="s">
        <v>187</v>
      </c>
      <c r="G184" t="s">
        <v>12</v>
      </c>
      <c r="H184" t="s">
        <v>72</v>
      </c>
      <c r="I184" t="s">
        <v>175</v>
      </c>
      <c r="J184" s="12">
        <v>1</v>
      </c>
      <c r="K184" t="s">
        <v>62</v>
      </c>
      <c r="L184" t="s">
        <v>13</v>
      </c>
      <c r="M184" t="s">
        <v>199</v>
      </c>
      <c r="O184" t="s">
        <v>197</v>
      </c>
      <c r="P184">
        <v>4</v>
      </c>
      <c r="Q184" t="s">
        <v>198</v>
      </c>
      <c r="R184" s="6">
        <v>0.94873295329187568</v>
      </c>
      <c r="S184" s="6">
        <v>23.333647424644177</v>
      </c>
      <c r="T184" s="6">
        <v>9.940424416619754</v>
      </c>
      <c r="U184" s="6">
        <v>94.688377437397804</v>
      </c>
      <c r="V184" s="6">
        <v>0.1554875682418001</v>
      </c>
      <c r="W184" s="6">
        <v>4.8306395667087969</v>
      </c>
      <c r="X184" s="6">
        <v>2.9667840405955239</v>
      </c>
      <c r="Y184" s="6">
        <v>28.141800612125181</v>
      </c>
    </row>
    <row r="185" spans="1:25" x14ac:dyDescent="0.25">
      <c r="A185" t="str">
        <f t="shared" si="2"/>
        <v>RTD Ice TeaFranceDecemberEUR (€)Fully-AutomatedOldPET Bottle1Medium-scaleMedium</v>
      </c>
      <c r="B185" t="s">
        <v>130</v>
      </c>
      <c r="C185" t="s">
        <v>130</v>
      </c>
      <c r="D185" t="s">
        <v>15</v>
      </c>
      <c r="E185" s="12" t="s">
        <v>182</v>
      </c>
      <c r="F185" t="s">
        <v>187</v>
      </c>
      <c r="G185" t="s">
        <v>12</v>
      </c>
      <c r="H185" t="s">
        <v>72</v>
      </c>
      <c r="I185" t="s">
        <v>175</v>
      </c>
      <c r="J185" s="12">
        <v>1</v>
      </c>
      <c r="K185" t="s">
        <v>62</v>
      </c>
      <c r="L185" t="s">
        <v>63</v>
      </c>
      <c r="M185" t="s">
        <v>199</v>
      </c>
      <c r="O185" t="s">
        <v>197</v>
      </c>
      <c r="P185">
        <v>4</v>
      </c>
      <c r="Q185" t="s">
        <v>198</v>
      </c>
      <c r="R185" s="6">
        <v>0.98495772499968293</v>
      </c>
      <c r="S185" s="6">
        <v>24.225253502175232</v>
      </c>
      <c r="T185" s="6">
        <v>10.31976302532502</v>
      </c>
      <c r="U185" s="6">
        <v>98.30251196243708</v>
      </c>
      <c r="V185" s="6">
        <v>0.16109368489134876</v>
      </c>
      <c r="W185" s="6">
        <v>5.0024837299257534</v>
      </c>
      <c r="X185" s="6">
        <v>3.0727833940425189</v>
      </c>
      <c r="Y185" s="6">
        <v>29.14681728765294</v>
      </c>
    </row>
    <row r="186" spans="1:25" x14ac:dyDescent="0.25">
      <c r="A186" t="str">
        <f t="shared" si="2"/>
        <v>RTD Ice TeaFranceDecemberEUR (€)Fully-AutomatedOldPET Bottle1Medium-scaleHigh</v>
      </c>
      <c r="B186" t="s">
        <v>130</v>
      </c>
      <c r="C186" t="s">
        <v>130</v>
      </c>
      <c r="D186" t="s">
        <v>15</v>
      </c>
      <c r="E186" s="12" t="s">
        <v>182</v>
      </c>
      <c r="F186" t="s">
        <v>187</v>
      </c>
      <c r="G186" t="s">
        <v>12</v>
      </c>
      <c r="H186" t="s">
        <v>72</v>
      </c>
      <c r="I186" t="s">
        <v>175</v>
      </c>
      <c r="J186" s="12">
        <v>1</v>
      </c>
      <c r="K186" t="s">
        <v>62</v>
      </c>
      <c r="L186" t="s">
        <v>11</v>
      </c>
      <c r="M186" t="s">
        <v>199</v>
      </c>
      <c r="O186" t="s">
        <v>197</v>
      </c>
      <c r="P186">
        <v>4</v>
      </c>
      <c r="Q186" t="s">
        <v>198</v>
      </c>
      <c r="R186" s="6">
        <v>1.0240804784441147</v>
      </c>
      <c r="S186" s="6">
        <v>25.188188065908765</v>
      </c>
      <c r="T186" s="6">
        <v>10.729448722726705</v>
      </c>
      <c r="U186" s="6">
        <v>102.20577724947947</v>
      </c>
      <c r="V186" s="6">
        <v>0.16714829087286126</v>
      </c>
      <c r="W186" s="6">
        <v>5.1880754262000686</v>
      </c>
      <c r="X186" s="6">
        <v>3.187262695765273</v>
      </c>
      <c r="Y186" s="6">
        <v>30.232235297222921</v>
      </c>
    </row>
    <row r="187" spans="1:25" x14ac:dyDescent="0.25">
      <c r="A187" t="str">
        <f t="shared" si="2"/>
        <v>RTD Ice TeaFranceDecemberEUR (€)Fully-AutomatedOldPET Bottle1Small-scaleLow</v>
      </c>
      <c r="B187" t="s">
        <v>130</v>
      </c>
      <c r="C187" t="s">
        <v>130</v>
      </c>
      <c r="D187" t="s">
        <v>15</v>
      </c>
      <c r="E187" s="12" t="s">
        <v>182</v>
      </c>
      <c r="F187" t="s">
        <v>187</v>
      </c>
      <c r="G187" t="s">
        <v>12</v>
      </c>
      <c r="H187" t="s">
        <v>72</v>
      </c>
      <c r="I187" t="s">
        <v>175</v>
      </c>
      <c r="J187" s="12">
        <v>1</v>
      </c>
      <c r="K187" t="s">
        <v>60</v>
      </c>
      <c r="L187" t="s">
        <v>13</v>
      </c>
      <c r="M187" t="s">
        <v>199</v>
      </c>
      <c r="O187" t="s">
        <v>197</v>
      </c>
      <c r="P187">
        <v>4</v>
      </c>
      <c r="Q187" t="s">
        <v>198</v>
      </c>
      <c r="R187" s="6">
        <v>0.95102924958817192</v>
      </c>
      <c r="S187" s="6">
        <v>23.384277227589777</v>
      </c>
      <c r="T187" s="6">
        <v>9.966297946714036</v>
      </c>
      <c r="U187" s="6">
        <v>94.928670699523522</v>
      </c>
      <c r="V187" s="6">
        <v>0.15717738305661491</v>
      </c>
      <c r="W187" s="6">
        <v>4.8868219027556119</v>
      </c>
      <c r="X187" s="6">
        <v>3.0019175157578006</v>
      </c>
      <c r="Y187" s="6">
        <v>28.474299866923481</v>
      </c>
    </row>
    <row r="188" spans="1:25" x14ac:dyDescent="0.25">
      <c r="A188" t="str">
        <f t="shared" si="2"/>
        <v>RTD Ice TeaFranceDecemberEUR (€)Fully-AutomatedOldPET Bottle1Small-scaleMedium</v>
      </c>
      <c r="B188" t="s">
        <v>130</v>
      </c>
      <c r="C188" t="s">
        <v>130</v>
      </c>
      <c r="D188" t="s">
        <v>15</v>
      </c>
      <c r="E188" s="12" t="s">
        <v>182</v>
      </c>
      <c r="F188" t="s">
        <v>187</v>
      </c>
      <c r="G188" t="s">
        <v>12</v>
      </c>
      <c r="H188" t="s">
        <v>72</v>
      </c>
      <c r="I188" t="s">
        <v>175</v>
      </c>
      <c r="J188" s="12">
        <v>1</v>
      </c>
      <c r="K188" t="s">
        <v>60</v>
      </c>
      <c r="L188" t="s">
        <v>63</v>
      </c>
      <c r="M188" t="s">
        <v>199</v>
      </c>
      <c r="O188" t="s">
        <v>197</v>
      </c>
      <c r="P188">
        <v>4</v>
      </c>
      <c r="Q188" t="s">
        <v>198</v>
      </c>
      <c r="R188" s="6">
        <v>0.98725402129597928</v>
      </c>
      <c r="S188" s="6">
        <v>24.275883305120828</v>
      </c>
      <c r="T188" s="6">
        <v>10.345636555419302</v>
      </c>
      <c r="U188" s="6">
        <v>98.542805224562784</v>
      </c>
      <c r="V188" s="6">
        <v>0.16278349970616357</v>
      </c>
      <c r="W188" s="6">
        <v>5.0586660659725702</v>
      </c>
      <c r="X188" s="6">
        <v>3.1079168692047956</v>
      </c>
      <c r="Y188" s="6">
        <v>29.479316542451244</v>
      </c>
    </row>
    <row r="189" spans="1:25" x14ac:dyDescent="0.25">
      <c r="A189" t="str">
        <f t="shared" si="2"/>
        <v>RTD Ice TeaFranceDecemberEUR (€)Fully-AutomatedOldPET Bottle1Small-scaleHigh</v>
      </c>
      <c r="B189" t="s">
        <v>130</v>
      </c>
      <c r="C189" t="s">
        <v>130</v>
      </c>
      <c r="D189" t="s">
        <v>15</v>
      </c>
      <c r="E189" s="12" t="s">
        <v>182</v>
      </c>
      <c r="F189" t="s">
        <v>187</v>
      </c>
      <c r="G189" t="s">
        <v>12</v>
      </c>
      <c r="H189" t="s">
        <v>72</v>
      </c>
      <c r="I189" t="s">
        <v>175</v>
      </c>
      <c r="J189" s="12">
        <v>1</v>
      </c>
      <c r="K189" t="s">
        <v>60</v>
      </c>
      <c r="L189" t="s">
        <v>11</v>
      </c>
      <c r="M189" t="s">
        <v>199</v>
      </c>
      <c r="O189" t="s">
        <v>197</v>
      </c>
      <c r="P189">
        <v>4</v>
      </c>
      <c r="Q189" t="s">
        <v>198</v>
      </c>
      <c r="R189" s="6">
        <v>1.0263767747404109</v>
      </c>
      <c r="S189" s="6">
        <v>25.238817868854369</v>
      </c>
      <c r="T189" s="6">
        <v>10.755322252820989</v>
      </c>
      <c r="U189" s="6">
        <v>102.44607051160517</v>
      </c>
      <c r="V189" s="6">
        <v>0.16883810568767604</v>
      </c>
      <c r="W189" s="6">
        <v>5.2442577622468853</v>
      </c>
      <c r="X189" s="6">
        <v>3.2223961709275502</v>
      </c>
      <c r="Y189" s="6">
        <v>30.564734552021228</v>
      </c>
    </row>
    <row r="190" spans="1:25" x14ac:dyDescent="0.25">
      <c r="A190" t="str">
        <f t="shared" si="2"/>
        <v>RTD Ice TeaFranceDecemberEUR (€)Fully-AutomatedOldPET Bottle1High-scaleLow</v>
      </c>
      <c r="B190" t="s">
        <v>130</v>
      </c>
      <c r="C190" t="s">
        <v>130</v>
      </c>
      <c r="D190" t="s">
        <v>15</v>
      </c>
      <c r="E190" s="12" t="s">
        <v>182</v>
      </c>
      <c r="F190" t="s">
        <v>187</v>
      </c>
      <c r="G190" t="s">
        <v>12</v>
      </c>
      <c r="H190" t="s">
        <v>72</v>
      </c>
      <c r="I190" t="s">
        <v>175</v>
      </c>
      <c r="J190" s="12">
        <v>1</v>
      </c>
      <c r="K190" t="s">
        <v>107</v>
      </c>
      <c r="L190" t="s">
        <v>13</v>
      </c>
      <c r="M190" t="s">
        <v>200</v>
      </c>
      <c r="O190" t="s">
        <v>197</v>
      </c>
      <c r="P190">
        <v>4</v>
      </c>
      <c r="Q190" t="s">
        <v>198</v>
      </c>
      <c r="R190" s="6">
        <v>0.94735517551409787</v>
      </c>
      <c r="S190" s="6">
        <v>23.303269542876816</v>
      </c>
      <c r="T190" s="6">
        <v>9.924900298563184</v>
      </c>
      <c r="U190" s="6">
        <v>94.544201480122396</v>
      </c>
      <c r="V190" s="6">
        <v>0.13801188285117735</v>
      </c>
      <c r="W190" s="6">
        <v>5.7692806862751187</v>
      </c>
      <c r="X190" s="6">
        <v>2.902608183804432</v>
      </c>
      <c r="Y190" s="6">
        <v>28.201917209765043</v>
      </c>
    </row>
    <row r="191" spans="1:25" x14ac:dyDescent="0.25">
      <c r="A191" t="str">
        <f t="shared" si="2"/>
        <v>RTD Ice TeaFranceDecemberEUR (€)Fully-AutomatedOldPET Bottle1High-scaleMedium</v>
      </c>
      <c r="B191" t="s">
        <v>130</v>
      </c>
      <c r="C191" t="s">
        <v>130</v>
      </c>
      <c r="D191" t="s">
        <v>15</v>
      </c>
      <c r="E191" s="12" t="s">
        <v>182</v>
      </c>
      <c r="F191" t="s">
        <v>187</v>
      </c>
      <c r="G191" t="s">
        <v>12</v>
      </c>
      <c r="H191" t="s">
        <v>72</v>
      </c>
      <c r="I191" t="s">
        <v>175</v>
      </c>
      <c r="J191" s="12">
        <v>1</v>
      </c>
      <c r="K191" t="s">
        <v>107</v>
      </c>
      <c r="L191" t="s">
        <v>63</v>
      </c>
      <c r="M191" t="s">
        <v>200</v>
      </c>
      <c r="O191" t="s">
        <v>197</v>
      </c>
      <c r="P191">
        <v>4</v>
      </c>
      <c r="Q191" t="s">
        <v>198</v>
      </c>
      <c r="R191" s="6">
        <v>0.98357994722190512</v>
      </c>
      <c r="S191" s="6">
        <v>24.194875620407874</v>
      </c>
      <c r="T191" s="6">
        <v>10.304238907268452</v>
      </c>
      <c r="U191" s="6">
        <v>98.158336005161644</v>
      </c>
      <c r="V191" s="6">
        <v>0.14308634920792429</v>
      </c>
      <c r="W191" s="6">
        <v>5.9792619208967697</v>
      </c>
      <c r="X191" s="6">
        <v>3.008687377221781</v>
      </c>
      <c r="Y191" s="6">
        <v>29.232047522020611</v>
      </c>
    </row>
    <row r="192" spans="1:25" x14ac:dyDescent="0.25">
      <c r="A192" t="str">
        <f t="shared" si="2"/>
        <v>RTD Ice TeaFranceDecemberEUR (€)Fully-AutomatedOldPET Bottle1High-scaleHigh</v>
      </c>
      <c r="B192" t="s">
        <v>130</v>
      </c>
      <c r="C192" t="s">
        <v>130</v>
      </c>
      <c r="D192" t="s">
        <v>15</v>
      </c>
      <c r="E192" s="12" t="s">
        <v>182</v>
      </c>
      <c r="F192" t="s">
        <v>187</v>
      </c>
      <c r="G192" t="s">
        <v>12</v>
      </c>
      <c r="H192" t="s">
        <v>72</v>
      </c>
      <c r="I192" t="s">
        <v>175</v>
      </c>
      <c r="J192" s="12">
        <v>1</v>
      </c>
      <c r="K192" t="s">
        <v>107</v>
      </c>
      <c r="L192" t="s">
        <v>11</v>
      </c>
      <c r="M192" t="s">
        <v>200</v>
      </c>
      <c r="O192" t="s">
        <v>197</v>
      </c>
      <c r="P192">
        <v>4</v>
      </c>
      <c r="Q192" t="s">
        <v>198</v>
      </c>
      <c r="R192" s="6">
        <v>1.0227027006663367</v>
      </c>
      <c r="S192" s="6">
        <v>25.157810184141404</v>
      </c>
      <c r="T192" s="6">
        <v>10.71392460467014</v>
      </c>
      <c r="U192" s="6">
        <v>102.06160129220405</v>
      </c>
      <c r="V192" s="6">
        <v>0.14856677287321091</v>
      </c>
      <c r="W192" s="6">
        <v>6.2060416542881507</v>
      </c>
      <c r="X192" s="6">
        <v>3.1232529061125174</v>
      </c>
      <c r="Y192" s="6">
        <v>30.344588259256632</v>
      </c>
    </row>
    <row r="193" spans="1:25" x14ac:dyDescent="0.25">
      <c r="A193" t="str">
        <f t="shared" si="2"/>
        <v>RTD Ice TeaFranceDecemberEUR (€)Fully-AutomatedOldPET Bottle1Medium-scaleLow</v>
      </c>
      <c r="B193" t="s">
        <v>130</v>
      </c>
      <c r="C193" t="s">
        <v>130</v>
      </c>
      <c r="D193" t="s">
        <v>15</v>
      </c>
      <c r="E193" s="12" t="s">
        <v>182</v>
      </c>
      <c r="F193" t="s">
        <v>187</v>
      </c>
      <c r="G193" t="s">
        <v>12</v>
      </c>
      <c r="H193" t="s">
        <v>72</v>
      </c>
      <c r="I193" t="s">
        <v>175</v>
      </c>
      <c r="J193" s="12">
        <v>1</v>
      </c>
      <c r="K193" t="s">
        <v>62</v>
      </c>
      <c r="L193" t="s">
        <v>13</v>
      </c>
      <c r="M193" t="s">
        <v>200</v>
      </c>
      <c r="O193" t="s">
        <v>197</v>
      </c>
      <c r="P193">
        <v>4</v>
      </c>
      <c r="Q193" t="s">
        <v>198</v>
      </c>
      <c r="R193" s="6">
        <v>0.94873295329187568</v>
      </c>
      <c r="S193" s="6">
        <v>23.333647424644177</v>
      </c>
      <c r="T193" s="6">
        <v>9.940424416619754</v>
      </c>
      <c r="U193" s="6">
        <v>94.688377437397804</v>
      </c>
      <c r="V193" s="6">
        <v>0.13892476163905615</v>
      </c>
      <c r="W193" s="6">
        <v>5.8101664729561699</v>
      </c>
      <c r="X193" s="6">
        <v>2.9236882689017984</v>
      </c>
      <c r="Y193" s="6">
        <v>28.406015756362798</v>
      </c>
    </row>
    <row r="194" spans="1:25" x14ac:dyDescent="0.25">
      <c r="A194" t="str">
        <f t="shared" ref="A194:A257" si="3">C194&amp;D194&amp;E194&amp;F194&amp;G194&amp;H194&amp;I194&amp;J194&amp;K194&amp;L194</f>
        <v>RTD Ice TeaFranceDecemberEUR (€)Fully-AutomatedOldPET Bottle1Medium-scaleMedium</v>
      </c>
      <c r="B194" t="s">
        <v>130</v>
      </c>
      <c r="C194" t="s">
        <v>130</v>
      </c>
      <c r="D194" t="s">
        <v>15</v>
      </c>
      <c r="E194" s="12" t="s">
        <v>182</v>
      </c>
      <c r="F194" t="s">
        <v>187</v>
      </c>
      <c r="G194" t="s">
        <v>12</v>
      </c>
      <c r="H194" t="s">
        <v>72</v>
      </c>
      <c r="I194" t="s">
        <v>175</v>
      </c>
      <c r="J194" s="12">
        <v>1</v>
      </c>
      <c r="K194" t="s">
        <v>62</v>
      </c>
      <c r="L194" t="s">
        <v>63</v>
      </c>
      <c r="M194" t="s">
        <v>200</v>
      </c>
      <c r="O194" t="s">
        <v>197</v>
      </c>
      <c r="P194">
        <v>4</v>
      </c>
      <c r="Q194" t="s">
        <v>198</v>
      </c>
      <c r="R194" s="6">
        <v>0.98495772499968293</v>
      </c>
      <c r="S194" s="6">
        <v>24.225253502175232</v>
      </c>
      <c r="T194" s="6">
        <v>10.31976302532502</v>
      </c>
      <c r="U194" s="6">
        <v>98.30251196243708</v>
      </c>
      <c r="V194" s="6">
        <v>0.14399922799580306</v>
      </c>
      <c r="W194" s="6">
        <v>6.0201477075778191</v>
      </c>
      <c r="X194" s="6">
        <v>3.0297674623191471</v>
      </c>
      <c r="Y194" s="6">
        <v>29.43614606861837</v>
      </c>
    </row>
    <row r="195" spans="1:25" x14ac:dyDescent="0.25">
      <c r="A195" t="str">
        <f t="shared" si="3"/>
        <v>RTD Ice TeaFranceDecemberEUR (€)Fully-AutomatedOldPET Bottle1Medium-scaleHigh</v>
      </c>
      <c r="B195" t="s">
        <v>130</v>
      </c>
      <c r="C195" t="s">
        <v>130</v>
      </c>
      <c r="D195" t="s">
        <v>15</v>
      </c>
      <c r="E195" s="12" t="s">
        <v>182</v>
      </c>
      <c r="F195" t="s">
        <v>187</v>
      </c>
      <c r="G195" t="s">
        <v>12</v>
      </c>
      <c r="H195" t="s">
        <v>72</v>
      </c>
      <c r="I195" t="s">
        <v>175</v>
      </c>
      <c r="J195" s="12">
        <v>1</v>
      </c>
      <c r="K195" t="s">
        <v>62</v>
      </c>
      <c r="L195" t="s">
        <v>11</v>
      </c>
      <c r="M195" t="s">
        <v>200</v>
      </c>
      <c r="O195" t="s">
        <v>197</v>
      </c>
      <c r="P195">
        <v>4</v>
      </c>
      <c r="Q195" t="s">
        <v>198</v>
      </c>
      <c r="R195" s="6">
        <v>1.0240804784441147</v>
      </c>
      <c r="S195" s="6">
        <v>25.188188065908765</v>
      </c>
      <c r="T195" s="6">
        <v>10.729448722726705</v>
      </c>
      <c r="U195" s="6">
        <v>102.20577724947947</v>
      </c>
      <c r="V195" s="6">
        <v>0.1494796516610897</v>
      </c>
      <c r="W195" s="6">
        <v>6.2469274409692019</v>
      </c>
      <c r="X195" s="6">
        <v>3.1443329912098834</v>
      </c>
      <c r="Y195" s="6">
        <v>30.548686805854377</v>
      </c>
    </row>
    <row r="196" spans="1:25" x14ac:dyDescent="0.25">
      <c r="A196" t="str">
        <f t="shared" si="3"/>
        <v>RTD Ice TeaFranceDecemberEUR (€)Fully-AutomatedOldPET Bottle1Small-scaleLow</v>
      </c>
      <c r="B196" t="s">
        <v>130</v>
      </c>
      <c r="C196" t="s">
        <v>130</v>
      </c>
      <c r="D196" t="s">
        <v>15</v>
      </c>
      <c r="E196" s="12" t="s">
        <v>182</v>
      </c>
      <c r="F196" t="s">
        <v>187</v>
      </c>
      <c r="G196" t="s">
        <v>12</v>
      </c>
      <c r="H196" t="s">
        <v>72</v>
      </c>
      <c r="I196" t="s">
        <v>175</v>
      </c>
      <c r="J196" s="12">
        <v>1</v>
      </c>
      <c r="K196" t="s">
        <v>60</v>
      </c>
      <c r="L196" t="s">
        <v>13</v>
      </c>
      <c r="M196" t="s">
        <v>200</v>
      </c>
      <c r="O196" t="s">
        <v>197</v>
      </c>
      <c r="P196">
        <v>4</v>
      </c>
      <c r="Q196" t="s">
        <v>198</v>
      </c>
      <c r="R196" s="6">
        <v>0.95102924958817192</v>
      </c>
      <c r="S196" s="6">
        <v>23.384277227589777</v>
      </c>
      <c r="T196" s="6">
        <v>9.966297946714036</v>
      </c>
      <c r="U196" s="6">
        <v>94.928670699523522</v>
      </c>
      <c r="V196" s="6">
        <v>0.14044622628552081</v>
      </c>
      <c r="W196" s="6">
        <v>5.8783094507579214</v>
      </c>
      <c r="X196" s="6">
        <v>2.9588217440640756</v>
      </c>
      <c r="Y196" s="6">
        <v>28.746180000692377</v>
      </c>
    </row>
    <row r="197" spans="1:25" x14ac:dyDescent="0.25">
      <c r="A197" t="str">
        <f t="shared" si="3"/>
        <v>RTD Ice TeaFranceDecemberEUR (€)Fully-AutomatedOldPET Bottle1Small-scaleMedium</v>
      </c>
      <c r="B197" t="s">
        <v>130</v>
      </c>
      <c r="C197" t="s">
        <v>130</v>
      </c>
      <c r="D197" t="s">
        <v>15</v>
      </c>
      <c r="E197" s="12" t="s">
        <v>182</v>
      </c>
      <c r="F197" t="s">
        <v>187</v>
      </c>
      <c r="G197" t="s">
        <v>12</v>
      </c>
      <c r="H197" t="s">
        <v>72</v>
      </c>
      <c r="I197" t="s">
        <v>175</v>
      </c>
      <c r="J197" s="12">
        <v>1</v>
      </c>
      <c r="K197" t="s">
        <v>60</v>
      </c>
      <c r="L197" t="s">
        <v>63</v>
      </c>
      <c r="M197" t="s">
        <v>200</v>
      </c>
      <c r="O197" t="s">
        <v>197</v>
      </c>
      <c r="P197">
        <v>4</v>
      </c>
      <c r="Q197" t="s">
        <v>198</v>
      </c>
      <c r="R197" s="6">
        <v>0.98725402129597928</v>
      </c>
      <c r="S197" s="6">
        <v>24.275883305120828</v>
      </c>
      <c r="T197" s="6">
        <v>10.345636555419302</v>
      </c>
      <c r="U197" s="6">
        <v>98.542805224562784</v>
      </c>
      <c r="V197" s="6">
        <v>0.14552069264226772</v>
      </c>
      <c r="W197" s="6">
        <v>6.0882906853795733</v>
      </c>
      <c r="X197" s="6">
        <v>3.0649009374814238</v>
      </c>
      <c r="Y197" s="6">
        <v>29.776310312947949</v>
      </c>
    </row>
    <row r="198" spans="1:25" x14ac:dyDescent="0.25">
      <c r="A198" t="str">
        <f t="shared" si="3"/>
        <v>RTD Ice TeaFranceDecemberEUR (€)Fully-AutomatedOldPET Bottle1Small-scaleHigh</v>
      </c>
      <c r="B198" t="s">
        <v>130</v>
      </c>
      <c r="C198" t="s">
        <v>130</v>
      </c>
      <c r="D198" t="s">
        <v>15</v>
      </c>
      <c r="E198" s="12" t="s">
        <v>182</v>
      </c>
      <c r="F198" t="s">
        <v>187</v>
      </c>
      <c r="G198" t="s">
        <v>12</v>
      </c>
      <c r="H198" t="s">
        <v>72</v>
      </c>
      <c r="I198" t="s">
        <v>175</v>
      </c>
      <c r="J198" s="12">
        <v>1</v>
      </c>
      <c r="K198" t="s">
        <v>60</v>
      </c>
      <c r="L198" t="s">
        <v>11</v>
      </c>
      <c r="M198" t="s">
        <v>200</v>
      </c>
      <c r="O198" t="s">
        <v>197</v>
      </c>
      <c r="P198">
        <v>4</v>
      </c>
      <c r="Q198" t="s">
        <v>198</v>
      </c>
      <c r="R198" s="6">
        <v>1.0263767747404109</v>
      </c>
      <c r="S198" s="6">
        <v>25.238817868854369</v>
      </c>
      <c r="T198" s="6">
        <v>10.755322252820989</v>
      </c>
      <c r="U198" s="6">
        <v>102.44607051160517</v>
      </c>
      <c r="V198" s="6">
        <v>0.15100111630755436</v>
      </c>
      <c r="W198" s="6">
        <v>6.3150704187709552</v>
      </c>
      <c r="X198" s="6">
        <v>3.1794664663721601</v>
      </c>
      <c r="Y198" s="6">
        <v>30.888851050183966</v>
      </c>
    </row>
    <row r="199" spans="1:25" x14ac:dyDescent="0.25">
      <c r="A199" t="str">
        <f t="shared" si="3"/>
        <v>RTD Ice TeaFranceDecemberEUR (€)Fully-AutomatedOldPET Bottle1High-scaleLow</v>
      </c>
      <c r="B199" t="s">
        <v>130</v>
      </c>
      <c r="C199" t="s">
        <v>130</v>
      </c>
      <c r="D199" t="s">
        <v>15</v>
      </c>
      <c r="E199" s="12" t="s">
        <v>182</v>
      </c>
      <c r="F199" t="s">
        <v>187</v>
      </c>
      <c r="G199" t="s">
        <v>12</v>
      </c>
      <c r="H199" t="s">
        <v>72</v>
      </c>
      <c r="I199" t="s">
        <v>175</v>
      </c>
      <c r="J199" s="12">
        <v>1</v>
      </c>
      <c r="K199" t="s">
        <v>107</v>
      </c>
      <c r="L199" t="s">
        <v>13</v>
      </c>
      <c r="M199" t="s">
        <v>199</v>
      </c>
      <c r="O199" t="s">
        <v>197</v>
      </c>
      <c r="P199">
        <v>6</v>
      </c>
      <c r="Q199" t="s">
        <v>201</v>
      </c>
      <c r="R199" s="6">
        <v>0.94735517551409787</v>
      </c>
      <c r="S199" s="6">
        <v>23.303269542876816</v>
      </c>
      <c r="T199" s="6">
        <v>9.924900298563184</v>
      </c>
      <c r="U199" s="6">
        <v>94.544201480122396</v>
      </c>
      <c r="V199" s="6">
        <v>0.1423646916858739</v>
      </c>
      <c r="W199" s="6">
        <v>4.4737966111407115</v>
      </c>
      <c r="X199" s="6">
        <v>2.7758176324329735</v>
      </c>
      <c r="Y199" s="6">
        <v>26.29850316743266</v>
      </c>
    </row>
    <row r="200" spans="1:25" x14ac:dyDescent="0.25">
      <c r="A200" t="str">
        <f t="shared" si="3"/>
        <v>RTD Ice TeaFranceDecemberEUR (€)Fully-AutomatedOldPET Bottle1High-scaleMedium</v>
      </c>
      <c r="B200" t="s">
        <v>130</v>
      </c>
      <c r="C200" t="s">
        <v>130</v>
      </c>
      <c r="D200" t="s">
        <v>15</v>
      </c>
      <c r="E200" s="12" t="s">
        <v>182</v>
      </c>
      <c r="F200" t="s">
        <v>187</v>
      </c>
      <c r="G200" t="s">
        <v>12</v>
      </c>
      <c r="H200" t="s">
        <v>72</v>
      </c>
      <c r="I200" t="s">
        <v>175</v>
      </c>
      <c r="J200" s="12">
        <v>1</v>
      </c>
      <c r="K200" t="s">
        <v>107</v>
      </c>
      <c r="L200" t="s">
        <v>63</v>
      </c>
      <c r="M200" t="s">
        <v>199</v>
      </c>
      <c r="O200" t="s">
        <v>197</v>
      </c>
      <c r="P200">
        <v>6</v>
      </c>
      <c r="Q200" t="s">
        <v>201</v>
      </c>
      <c r="R200" s="6">
        <v>0.98357994722190512</v>
      </c>
      <c r="S200" s="6">
        <v>24.194875620407874</v>
      </c>
      <c r="T200" s="6">
        <v>10.304238907268452</v>
      </c>
      <c r="U200" s="6">
        <v>98.158336005161644</v>
      </c>
      <c r="V200" s="6">
        <v>0.1475050780405365</v>
      </c>
      <c r="W200" s="6">
        <v>4.6332125607445942</v>
      </c>
      <c r="X200" s="6">
        <v>2.8752828965313073</v>
      </c>
      <c r="Y200" s="6">
        <v>27.240296847121435</v>
      </c>
    </row>
    <row r="201" spans="1:25" x14ac:dyDescent="0.25">
      <c r="A201" t="str">
        <f t="shared" si="3"/>
        <v>RTD Ice TeaFranceDecemberEUR (€)Fully-AutomatedOldPET Bottle1High-scaleHigh</v>
      </c>
      <c r="B201" t="s">
        <v>130</v>
      </c>
      <c r="C201" t="s">
        <v>130</v>
      </c>
      <c r="D201" t="s">
        <v>15</v>
      </c>
      <c r="E201" s="12" t="s">
        <v>182</v>
      </c>
      <c r="F201" t="s">
        <v>187</v>
      </c>
      <c r="G201" t="s">
        <v>12</v>
      </c>
      <c r="H201" t="s">
        <v>72</v>
      </c>
      <c r="I201" t="s">
        <v>175</v>
      </c>
      <c r="J201" s="12">
        <v>1</v>
      </c>
      <c r="K201" t="s">
        <v>107</v>
      </c>
      <c r="L201" t="s">
        <v>11</v>
      </c>
      <c r="M201" t="s">
        <v>199</v>
      </c>
      <c r="O201" t="s">
        <v>197</v>
      </c>
      <c r="P201">
        <v>6</v>
      </c>
      <c r="Q201" t="s">
        <v>201</v>
      </c>
      <c r="R201" s="6">
        <v>1.0227027006663367</v>
      </c>
      <c r="S201" s="6">
        <v>25.157810184141404</v>
      </c>
      <c r="T201" s="6">
        <v>10.71392460467014</v>
      </c>
      <c r="U201" s="6">
        <v>102.06160129220405</v>
      </c>
      <c r="V201" s="6">
        <v>0.15305669530357208</v>
      </c>
      <c r="W201" s="6">
        <v>4.8053817863167856</v>
      </c>
      <c r="X201" s="6">
        <v>2.982705381757508</v>
      </c>
      <c r="Y201" s="6">
        <v>28.257434021185318</v>
      </c>
    </row>
    <row r="202" spans="1:25" x14ac:dyDescent="0.25">
      <c r="A202" t="str">
        <f t="shared" si="3"/>
        <v>RTD Ice TeaFranceDecemberEUR (€)Fully-AutomatedOldPET Bottle1Medium-scaleLow</v>
      </c>
      <c r="B202" t="s">
        <v>130</v>
      </c>
      <c r="C202" t="s">
        <v>130</v>
      </c>
      <c r="D202" t="s">
        <v>15</v>
      </c>
      <c r="E202" s="12" t="s">
        <v>182</v>
      </c>
      <c r="F202" t="s">
        <v>187</v>
      </c>
      <c r="G202" t="s">
        <v>12</v>
      </c>
      <c r="H202" t="s">
        <v>72</v>
      </c>
      <c r="I202" t="s">
        <v>175</v>
      </c>
      <c r="J202" s="12">
        <v>1</v>
      </c>
      <c r="K202" t="s">
        <v>62</v>
      </c>
      <c r="L202" t="s">
        <v>13</v>
      </c>
      <c r="M202" t="s">
        <v>199</v>
      </c>
      <c r="O202" t="s">
        <v>197</v>
      </c>
      <c r="P202">
        <v>6</v>
      </c>
      <c r="Q202" t="s">
        <v>201</v>
      </c>
      <c r="R202" s="6">
        <v>0.94873295329187568</v>
      </c>
      <c r="S202" s="6">
        <v>23.333647424644177</v>
      </c>
      <c r="T202" s="6">
        <v>9.940424416619754</v>
      </c>
      <c r="U202" s="6">
        <v>94.688377437397804</v>
      </c>
      <c r="V202" s="6">
        <v>0.1433785805747628</v>
      </c>
      <c r="W202" s="6">
        <v>4.5075060127688023</v>
      </c>
      <c r="X202" s="6">
        <v>2.7968977175303396</v>
      </c>
      <c r="Y202" s="6">
        <v>26.498002720311639</v>
      </c>
    </row>
    <row r="203" spans="1:25" x14ac:dyDescent="0.25">
      <c r="A203" t="str">
        <f t="shared" si="3"/>
        <v>RTD Ice TeaFranceDecemberEUR (€)Fully-AutomatedOldPET Bottle1Medium-scaleMedium</v>
      </c>
      <c r="B203" t="s">
        <v>130</v>
      </c>
      <c r="C203" t="s">
        <v>130</v>
      </c>
      <c r="D203" t="s">
        <v>15</v>
      </c>
      <c r="E203" s="12" t="s">
        <v>182</v>
      </c>
      <c r="F203" t="s">
        <v>187</v>
      </c>
      <c r="G203" t="s">
        <v>12</v>
      </c>
      <c r="H203" t="s">
        <v>72</v>
      </c>
      <c r="I203" t="s">
        <v>175</v>
      </c>
      <c r="J203" s="12">
        <v>1</v>
      </c>
      <c r="K203" t="s">
        <v>62</v>
      </c>
      <c r="L203" t="s">
        <v>63</v>
      </c>
      <c r="M203" t="s">
        <v>199</v>
      </c>
      <c r="O203" t="s">
        <v>197</v>
      </c>
      <c r="P203">
        <v>6</v>
      </c>
      <c r="Q203" t="s">
        <v>201</v>
      </c>
      <c r="R203" s="6">
        <v>0.98495772499968293</v>
      </c>
      <c r="S203" s="6">
        <v>24.225253502175232</v>
      </c>
      <c r="T203" s="6">
        <v>10.31976302532502</v>
      </c>
      <c r="U203" s="6">
        <v>98.30251196243708</v>
      </c>
      <c r="V203" s="6">
        <v>0.1485189669294254</v>
      </c>
      <c r="W203" s="6">
        <v>4.6669219623726823</v>
      </c>
      <c r="X203" s="6">
        <v>2.8963629816286733</v>
      </c>
      <c r="Y203" s="6">
        <v>27.439796400000418</v>
      </c>
    </row>
    <row r="204" spans="1:25" x14ac:dyDescent="0.25">
      <c r="A204" t="str">
        <f t="shared" si="3"/>
        <v>RTD Ice TeaFranceDecemberEUR (€)Fully-AutomatedOldPET Bottle1Medium-scaleHigh</v>
      </c>
      <c r="B204" t="s">
        <v>130</v>
      </c>
      <c r="C204" t="s">
        <v>130</v>
      </c>
      <c r="D204" t="s">
        <v>15</v>
      </c>
      <c r="E204" s="12" t="s">
        <v>182</v>
      </c>
      <c r="F204" t="s">
        <v>187</v>
      </c>
      <c r="G204" t="s">
        <v>12</v>
      </c>
      <c r="H204" t="s">
        <v>72</v>
      </c>
      <c r="I204" t="s">
        <v>175</v>
      </c>
      <c r="J204" s="12">
        <v>1</v>
      </c>
      <c r="K204" t="s">
        <v>62</v>
      </c>
      <c r="L204" t="s">
        <v>11</v>
      </c>
      <c r="M204" t="s">
        <v>199</v>
      </c>
      <c r="O204" t="s">
        <v>197</v>
      </c>
      <c r="P204">
        <v>6</v>
      </c>
      <c r="Q204" t="s">
        <v>201</v>
      </c>
      <c r="R204" s="6">
        <v>1.0240804784441147</v>
      </c>
      <c r="S204" s="6">
        <v>25.188188065908765</v>
      </c>
      <c r="T204" s="6">
        <v>10.729448722726705</v>
      </c>
      <c r="U204" s="6">
        <v>102.20577724947947</v>
      </c>
      <c r="V204" s="6">
        <v>0.15407058419246097</v>
      </c>
      <c r="W204" s="6">
        <v>4.8390911879448746</v>
      </c>
      <c r="X204" s="6">
        <v>3.003785466854874</v>
      </c>
      <c r="Y204" s="6">
        <v>28.456933574064298</v>
      </c>
    </row>
    <row r="205" spans="1:25" x14ac:dyDescent="0.25">
      <c r="A205" t="str">
        <f t="shared" si="3"/>
        <v>RTD Ice TeaFranceDecemberEUR (€)Fully-AutomatedOldPET Bottle1Small-scaleLow</v>
      </c>
      <c r="B205" t="s">
        <v>130</v>
      </c>
      <c r="C205" t="s">
        <v>130</v>
      </c>
      <c r="D205" t="s">
        <v>15</v>
      </c>
      <c r="E205" s="12" t="s">
        <v>182</v>
      </c>
      <c r="F205" t="s">
        <v>187</v>
      </c>
      <c r="G205" t="s">
        <v>12</v>
      </c>
      <c r="H205" t="s">
        <v>72</v>
      </c>
      <c r="I205" t="s">
        <v>175</v>
      </c>
      <c r="J205" s="12">
        <v>1</v>
      </c>
      <c r="K205" t="s">
        <v>60</v>
      </c>
      <c r="L205" t="s">
        <v>13</v>
      </c>
      <c r="M205" t="s">
        <v>199</v>
      </c>
      <c r="O205" t="s">
        <v>197</v>
      </c>
      <c r="P205">
        <v>6</v>
      </c>
      <c r="Q205" t="s">
        <v>201</v>
      </c>
      <c r="R205" s="6">
        <v>0.95102924958817192</v>
      </c>
      <c r="S205" s="6">
        <v>23.384277227589777</v>
      </c>
      <c r="T205" s="6">
        <v>9.966297946714036</v>
      </c>
      <c r="U205" s="6">
        <v>94.928670699523522</v>
      </c>
      <c r="V205" s="6">
        <v>0.14506839538957761</v>
      </c>
      <c r="W205" s="6">
        <v>4.5636883488156172</v>
      </c>
      <c r="X205" s="6">
        <v>2.8320311926926163</v>
      </c>
      <c r="Y205" s="6">
        <v>26.830501975109939</v>
      </c>
    </row>
    <row r="206" spans="1:25" x14ac:dyDescent="0.25">
      <c r="A206" t="str">
        <f t="shared" si="3"/>
        <v>RTD Ice TeaFranceDecemberEUR (€)Fully-AutomatedOldPET Bottle1Small-scaleMedium</v>
      </c>
      <c r="B206" t="s">
        <v>130</v>
      </c>
      <c r="C206" t="s">
        <v>130</v>
      </c>
      <c r="D206" t="s">
        <v>15</v>
      </c>
      <c r="E206" s="12" t="s">
        <v>182</v>
      </c>
      <c r="F206" t="s">
        <v>187</v>
      </c>
      <c r="G206" t="s">
        <v>12</v>
      </c>
      <c r="H206" t="s">
        <v>72</v>
      </c>
      <c r="I206" t="s">
        <v>175</v>
      </c>
      <c r="J206" s="12">
        <v>1</v>
      </c>
      <c r="K206" t="s">
        <v>60</v>
      </c>
      <c r="L206" t="s">
        <v>63</v>
      </c>
      <c r="M206" t="s">
        <v>199</v>
      </c>
      <c r="O206" t="s">
        <v>197</v>
      </c>
      <c r="P206">
        <v>6</v>
      </c>
      <c r="Q206" t="s">
        <v>201</v>
      </c>
      <c r="R206" s="6">
        <v>0.98725402129597928</v>
      </c>
      <c r="S206" s="6">
        <v>24.275883305120828</v>
      </c>
      <c r="T206" s="6">
        <v>10.345636555419302</v>
      </c>
      <c r="U206" s="6">
        <v>98.542805224562784</v>
      </c>
      <c r="V206" s="6">
        <v>0.15020878174424021</v>
      </c>
      <c r="W206" s="6">
        <v>4.7231042984194991</v>
      </c>
      <c r="X206" s="6">
        <v>2.9314964567909505</v>
      </c>
      <c r="Y206" s="6">
        <v>27.772295654798722</v>
      </c>
    </row>
    <row r="207" spans="1:25" x14ac:dyDescent="0.25">
      <c r="A207" t="str">
        <f t="shared" si="3"/>
        <v>RTD Ice TeaFranceDecemberEUR (€)Fully-AutomatedOldPET Bottle1Small-scaleHigh</v>
      </c>
      <c r="B207" t="s">
        <v>130</v>
      </c>
      <c r="C207" t="s">
        <v>130</v>
      </c>
      <c r="D207" t="s">
        <v>15</v>
      </c>
      <c r="E207" s="12" t="s">
        <v>182</v>
      </c>
      <c r="F207" t="s">
        <v>187</v>
      </c>
      <c r="G207" t="s">
        <v>12</v>
      </c>
      <c r="H207" t="s">
        <v>72</v>
      </c>
      <c r="I207" t="s">
        <v>175</v>
      </c>
      <c r="J207" s="12">
        <v>1</v>
      </c>
      <c r="K207" t="s">
        <v>60</v>
      </c>
      <c r="L207" t="s">
        <v>11</v>
      </c>
      <c r="M207" t="s">
        <v>199</v>
      </c>
      <c r="O207" t="s">
        <v>197</v>
      </c>
      <c r="P207">
        <v>6</v>
      </c>
      <c r="Q207" t="s">
        <v>201</v>
      </c>
      <c r="R207" s="6">
        <v>1.0263767747404109</v>
      </c>
      <c r="S207" s="6">
        <v>25.238817868854369</v>
      </c>
      <c r="T207" s="6">
        <v>10.755322252820989</v>
      </c>
      <c r="U207" s="6">
        <v>102.44607051160517</v>
      </c>
      <c r="V207" s="6">
        <v>0.15576039900727578</v>
      </c>
      <c r="W207" s="6">
        <v>4.8952735239916914</v>
      </c>
      <c r="X207" s="6">
        <v>3.0389189420171512</v>
      </c>
      <c r="Y207" s="6">
        <v>28.789432828862605</v>
      </c>
    </row>
    <row r="208" spans="1:25" x14ac:dyDescent="0.25">
      <c r="A208" t="str">
        <f t="shared" si="3"/>
        <v>RTD Ice TeaFranceDecemberEUR (€)Fully-AutomatedOldPET Bottle1High-scaleLow</v>
      </c>
      <c r="B208" t="s">
        <v>130</v>
      </c>
      <c r="C208" t="s">
        <v>130</v>
      </c>
      <c r="D208" t="s">
        <v>15</v>
      </c>
      <c r="E208" s="12" t="s">
        <v>182</v>
      </c>
      <c r="F208" t="s">
        <v>187</v>
      </c>
      <c r="G208" t="s">
        <v>12</v>
      </c>
      <c r="H208" t="s">
        <v>72</v>
      </c>
      <c r="I208" t="s">
        <v>175</v>
      </c>
      <c r="J208" s="12">
        <v>1</v>
      </c>
      <c r="K208" t="s">
        <v>107</v>
      </c>
      <c r="L208" t="s">
        <v>13</v>
      </c>
      <c r="M208" t="s">
        <v>200</v>
      </c>
      <c r="O208" t="s">
        <v>197</v>
      </c>
      <c r="P208">
        <v>6</v>
      </c>
      <c r="Q208" t="s">
        <v>201</v>
      </c>
      <c r="R208" s="6">
        <v>0.94735517551409787</v>
      </c>
      <c r="S208" s="6">
        <v>23.303269542876816</v>
      </c>
      <c r="T208" s="6">
        <v>9.924900298563184</v>
      </c>
      <c r="U208" s="6">
        <v>94.544201480122396</v>
      </c>
      <c r="V208" s="6">
        <v>0.12590289518414005</v>
      </c>
      <c r="W208" s="6">
        <v>5.446147132335124</v>
      </c>
      <c r="X208" s="6">
        <v>2.7327218607392476</v>
      </c>
      <c r="Y208" s="6">
        <v>26.558119317951508</v>
      </c>
    </row>
    <row r="209" spans="1:25" x14ac:dyDescent="0.25">
      <c r="A209" t="str">
        <f t="shared" si="3"/>
        <v>RTD Ice TeaFranceDecemberEUR (€)Fully-AutomatedOldPET Bottle1High-scaleMedium</v>
      </c>
      <c r="B209" t="s">
        <v>130</v>
      </c>
      <c r="C209" t="s">
        <v>130</v>
      </c>
      <c r="D209" t="s">
        <v>15</v>
      </c>
      <c r="E209" s="12" t="s">
        <v>182</v>
      </c>
      <c r="F209" t="s">
        <v>187</v>
      </c>
      <c r="G209" t="s">
        <v>12</v>
      </c>
      <c r="H209" t="s">
        <v>72</v>
      </c>
      <c r="I209" t="s">
        <v>175</v>
      </c>
      <c r="J209" s="12">
        <v>1</v>
      </c>
      <c r="K209" t="s">
        <v>107</v>
      </c>
      <c r="L209" t="s">
        <v>63</v>
      </c>
      <c r="M209" t="s">
        <v>200</v>
      </c>
      <c r="O209" t="s">
        <v>197</v>
      </c>
      <c r="P209">
        <v>6</v>
      </c>
      <c r="Q209" t="s">
        <v>201</v>
      </c>
      <c r="R209" s="6">
        <v>0.98357994722190512</v>
      </c>
      <c r="S209" s="6">
        <v>24.194875620407874</v>
      </c>
      <c r="T209" s="6">
        <v>10.304238907268452</v>
      </c>
      <c r="U209" s="6">
        <v>98.158336005161644</v>
      </c>
      <c r="V209" s="6">
        <v>0.13051163124600093</v>
      </c>
      <c r="W209" s="6">
        <v>5.6437001533436977</v>
      </c>
      <c r="X209" s="6">
        <v>2.8322669648079355</v>
      </c>
      <c r="Y209" s="6">
        <v>27.525026634368093</v>
      </c>
    </row>
    <row r="210" spans="1:25" x14ac:dyDescent="0.25">
      <c r="A210" t="str">
        <f t="shared" si="3"/>
        <v>RTD Ice TeaFranceDecemberEUR (€)Fully-AutomatedOldPET Bottle1High-scaleHigh</v>
      </c>
      <c r="B210" t="s">
        <v>130</v>
      </c>
      <c r="C210" t="s">
        <v>130</v>
      </c>
      <c r="D210" t="s">
        <v>15</v>
      </c>
      <c r="E210" s="12" t="s">
        <v>182</v>
      </c>
      <c r="F210" t="s">
        <v>187</v>
      </c>
      <c r="G210" t="s">
        <v>12</v>
      </c>
      <c r="H210" t="s">
        <v>72</v>
      </c>
      <c r="I210" t="s">
        <v>175</v>
      </c>
      <c r="J210" s="12">
        <v>1</v>
      </c>
      <c r="K210" t="s">
        <v>107</v>
      </c>
      <c r="L210" t="s">
        <v>11</v>
      </c>
      <c r="M210" t="s">
        <v>200</v>
      </c>
      <c r="O210" t="s">
        <v>197</v>
      </c>
      <c r="P210">
        <v>6</v>
      </c>
      <c r="Q210" t="s">
        <v>201</v>
      </c>
      <c r="R210" s="6">
        <v>1.0227027006663367</v>
      </c>
      <c r="S210" s="6">
        <v>25.157810184141404</v>
      </c>
      <c r="T210" s="6">
        <v>10.71392460467014</v>
      </c>
      <c r="U210" s="6">
        <v>102.06160129220405</v>
      </c>
      <c r="V210" s="6">
        <v>0.13548906619281062</v>
      </c>
      <c r="W210" s="6">
        <v>5.8570574160329567</v>
      </c>
      <c r="X210" s="6">
        <v>2.9397756772021184</v>
      </c>
      <c r="Y210" s="6">
        <v>28.569286536098005</v>
      </c>
    </row>
    <row r="211" spans="1:25" x14ac:dyDescent="0.25">
      <c r="A211" t="str">
        <f t="shared" si="3"/>
        <v>RTD Ice TeaFranceDecemberEUR (€)Fully-AutomatedOldPET Bottle1Medium-scaleLow</v>
      </c>
      <c r="B211" t="s">
        <v>130</v>
      </c>
      <c r="C211" t="s">
        <v>130</v>
      </c>
      <c r="D211" t="s">
        <v>15</v>
      </c>
      <c r="E211" s="12" t="s">
        <v>182</v>
      </c>
      <c r="F211" t="s">
        <v>187</v>
      </c>
      <c r="G211" t="s">
        <v>12</v>
      </c>
      <c r="H211" t="s">
        <v>72</v>
      </c>
      <c r="I211" t="s">
        <v>175</v>
      </c>
      <c r="J211" s="12">
        <v>1</v>
      </c>
      <c r="K211" t="s">
        <v>62</v>
      </c>
      <c r="L211" t="s">
        <v>13</v>
      </c>
      <c r="M211" t="s">
        <v>200</v>
      </c>
      <c r="O211" t="s">
        <v>197</v>
      </c>
      <c r="P211">
        <v>6</v>
      </c>
      <c r="Q211" t="s">
        <v>201</v>
      </c>
      <c r="R211" s="6">
        <v>0.94873295329187568</v>
      </c>
      <c r="S211" s="6">
        <v>23.333647424644177</v>
      </c>
      <c r="T211" s="6">
        <v>9.940424416619754</v>
      </c>
      <c r="U211" s="6">
        <v>94.688377437397804</v>
      </c>
      <c r="V211" s="6">
        <v>0.12681577397201885</v>
      </c>
      <c r="W211" s="6">
        <v>5.4870329190161753</v>
      </c>
      <c r="X211" s="6">
        <v>2.7538019458366141</v>
      </c>
      <c r="Y211" s="6">
        <v>26.762217864549257</v>
      </c>
    </row>
    <row r="212" spans="1:25" x14ac:dyDescent="0.25">
      <c r="A212" t="str">
        <f t="shared" si="3"/>
        <v>RTD Ice TeaFranceDecemberEUR (€)Fully-AutomatedOldPET Bottle1Medium-scaleMedium</v>
      </c>
      <c r="B212" t="s">
        <v>130</v>
      </c>
      <c r="C212" t="s">
        <v>130</v>
      </c>
      <c r="D212" t="s">
        <v>15</v>
      </c>
      <c r="E212" s="12" t="s">
        <v>182</v>
      </c>
      <c r="F212" t="s">
        <v>187</v>
      </c>
      <c r="G212" t="s">
        <v>12</v>
      </c>
      <c r="H212" t="s">
        <v>72</v>
      </c>
      <c r="I212" t="s">
        <v>175</v>
      </c>
      <c r="J212" s="12">
        <v>1</v>
      </c>
      <c r="K212" t="s">
        <v>62</v>
      </c>
      <c r="L212" t="s">
        <v>63</v>
      </c>
      <c r="M212" t="s">
        <v>200</v>
      </c>
      <c r="O212" t="s">
        <v>197</v>
      </c>
      <c r="P212">
        <v>6</v>
      </c>
      <c r="Q212" t="s">
        <v>201</v>
      </c>
      <c r="R212" s="6">
        <v>0.98495772499968293</v>
      </c>
      <c r="S212" s="6">
        <v>24.225253502175232</v>
      </c>
      <c r="T212" s="6">
        <v>10.31976302532502</v>
      </c>
      <c r="U212" s="6">
        <v>98.30251196243708</v>
      </c>
      <c r="V212" s="6">
        <v>0.13142451003387973</v>
      </c>
      <c r="W212" s="6">
        <v>5.684585940024748</v>
      </c>
      <c r="X212" s="6">
        <v>2.8533470499053015</v>
      </c>
      <c r="Y212" s="6">
        <v>27.729125180965848</v>
      </c>
    </row>
    <row r="213" spans="1:25" x14ac:dyDescent="0.25">
      <c r="A213" t="str">
        <f t="shared" si="3"/>
        <v>RTD Ice TeaFranceDecemberEUR (€)Fully-AutomatedOldPET Bottle1Medium-scaleHigh</v>
      </c>
      <c r="B213" t="s">
        <v>130</v>
      </c>
      <c r="C213" t="s">
        <v>130</v>
      </c>
      <c r="D213" t="s">
        <v>15</v>
      </c>
      <c r="E213" s="12" t="s">
        <v>182</v>
      </c>
      <c r="F213" t="s">
        <v>187</v>
      </c>
      <c r="G213" t="s">
        <v>12</v>
      </c>
      <c r="H213" t="s">
        <v>72</v>
      </c>
      <c r="I213" t="s">
        <v>175</v>
      </c>
      <c r="J213" s="12">
        <v>1</v>
      </c>
      <c r="K213" t="s">
        <v>62</v>
      </c>
      <c r="L213" t="s">
        <v>11</v>
      </c>
      <c r="M213" t="s">
        <v>200</v>
      </c>
      <c r="O213" t="s">
        <v>197</v>
      </c>
      <c r="P213">
        <v>6</v>
      </c>
      <c r="Q213" t="s">
        <v>201</v>
      </c>
      <c r="R213" s="6">
        <v>1.0240804784441147</v>
      </c>
      <c r="S213" s="6">
        <v>25.188188065908765</v>
      </c>
      <c r="T213" s="6">
        <v>10.729448722726705</v>
      </c>
      <c r="U213" s="6">
        <v>102.20577724947947</v>
      </c>
      <c r="V213" s="6">
        <v>0.13640194498068942</v>
      </c>
      <c r="W213" s="6">
        <v>5.897943202714008</v>
      </c>
      <c r="X213" s="6">
        <v>2.9608557622994844</v>
      </c>
      <c r="Y213" s="6">
        <v>28.773385082695754</v>
      </c>
    </row>
    <row r="214" spans="1:25" x14ac:dyDescent="0.25">
      <c r="A214" t="str">
        <f t="shared" si="3"/>
        <v>RTD Ice TeaFranceDecemberEUR (€)Fully-AutomatedOldPET Bottle1Small-scaleLow</v>
      </c>
      <c r="B214" t="s">
        <v>130</v>
      </c>
      <c r="C214" t="s">
        <v>130</v>
      </c>
      <c r="D214" t="s">
        <v>15</v>
      </c>
      <c r="E214" s="12" t="s">
        <v>182</v>
      </c>
      <c r="F214" t="s">
        <v>187</v>
      </c>
      <c r="G214" t="s">
        <v>12</v>
      </c>
      <c r="H214" t="s">
        <v>72</v>
      </c>
      <c r="I214" t="s">
        <v>175</v>
      </c>
      <c r="J214" s="12">
        <v>1</v>
      </c>
      <c r="K214" t="s">
        <v>60</v>
      </c>
      <c r="L214" t="s">
        <v>13</v>
      </c>
      <c r="M214" t="s">
        <v>200</v>
      </c>
      <c r="O214" t="s">
        <v>197</v>
      </c>
      <c r="P214">
        <v>6</v>
      </c>
      <c r="Q214" t="s">
        <v>201</v>
      </c>
      <c r="R214" s="6">
        <v>0.95102924958817192</v>
      </c>
      <c r="S214" s="6">
        <v>23.384277227589777</v>
      </c>
      <c r="T214" s="6">
        <v>9.966297946714036</v>
      </c>
      <c r="U214" s="6">
        <v>94.928670699523522</v>
      </c>
      <c r="V214" s="6">
        <v>0.12833723861848348</v>
      </c>
      <c r="W214" s="6">
        <v>5.5551758968179268</v>
      </c>
      <c r="X214" s="6">
        <v>2.7889354209988908</v>
      </c>
      <c r="Y214" s="6">
        <v>27.102382108878835</v>
      </c>
    </row>
    <row r="215" spans="1:25" x14ac:dyDescent="0.25">
      <c r="A215" t="str">
        <f t="shared" si="3"/>
        <v>RTD Ice TeaFranceDecemberEUR (€)Fully-AutomatedOldPET Bottle1Small-scaleMedium</v>
      </c>
      <c r="B215" t="s">
        <v>130</v>
      </c>
      <c r="C215" t="s">
        <v>130</v>
      </c>
      <c r="D215" t="s">
        <v>15</v>
      </c>
      <c r="E215" s="12" t="s">
        <v>182</v>
      </c>
      <c r="F215" t="s">
        <v>187</v>
      </c>
      <c r="G215" t="s">
        <v>12</v>
      </c>
      <c r="H215" t="s">
        <v>72</v>
      </c>
      <c r="I215" t="s">
        <v>175</v>
      </c>
      <c r="J215" s="12">
        <v>1</v>
      </c>
      <c r="K215" t="s">
        <v>60</v>
      </c>
      <c r="L215" t="s">
        <v>63</v>
      </c>
      <c r="M215" t="s">
        <v>200</v>
      </c>
      <c r="O215" t="s">
        <v>197</v>
      </c>
      <c r="P215">
        <v>6</v>
      </c>
      <c r="Q215" t="s">
        <v>201</v>
      </c>
      <c r="R215" s="6">
        <v>0.98725402129597928</v>
      </c>
      <c r="S215" s="6">
        <v>24.275883305120828</v>
      </c>
      <c r="T215" s="6">
        <v>10.345636555419302</v>
      </c>
      <c r="U215" s="6">
        <v>98.542805224562784</v>
      </c>
      <c r="V215" s="6">
        <v>0.13294597468034436</v>
      </c>
      <c r="W215" s="6">
        <v>5.7527289178265022</v>
      </c>
      <c r="X215" s="6">
        <v>2.8884805250675787</v>
      </c>
      <c r="Y215" s="6">
        <v>28.069289425295423</v>
      </c>
    </row>
    <row r="216" spans="1:25" x14ac:dyDescent="0.25">
      <c r="A216" t="str">
        <f t="shared" si="3"/>
        <v>RTD Ice TeaFranceDecemberEUR (€)Fully-AutomatedOldPET Bottle1Small-scaleHigh</v>
      </c>
      <c r="B216" t="s">
        <v>130</v>
      </c>
      <c r="C216" t="s">
        <v>130</v>
      </c>
      <c r="D216" t="s">
        <v>15</v>
      </c>
      <c r="E216" s="12" t="s">
        <v>182</v>
      </c>
      <c r="F216" t="s">
        <v>187</v>
      </c>
      <c r="G216" t="s">
        <v>12</v>
      </c>
      <c r="H216" t="s">
        <v>72</v>
      </c>
      <c r="I216" t="s">
        <v>175</v>
      </c>
      <c r="J216" s="12">
        <v>1</v>
      </c>
      <c r="K216" t="s">
        <v>60</v>
      </c>
      <c r="L216" t="s">
        <v>11</v>
      </c>
      <c r="M216" t="s">
        <v>200</v>
      </c>
      <c r="O216" t="s">
        <v>197</v>
      </c>
      <c r="P216">
        <v>6</v>
      </c>
      <c r="Q216" t="s">
        <v>201</v>
      </c>
      <c r="R216" s="6">
        <v>1.0263767747404109</v>
      </c>
      <c r="S216" s="6">
        <v>25.238817868854369</v>
      </c>
      <c r="T216" s="6">
        <v>10.755322252820989</v>
      </c>
      <c r="U216" s="6">
        <v>102.44607051160517</v>
      </c>
      <c r="V216" s="6">
        <v>0.13792340962715408</v>
      </c>
      <c r="W216" s="6">
        <v>5.9660861805157603</v>
      </c>
      <c r="X216" s="6">
        <v>2.9959892374617612</v>
      </c>
      <c r="Y216" s="6">
        <v>29.113549327025339</v>
      </c>
    </row>
    <row r="217" spans="1:25" x14ac:dyDescent="0.25">
      <c r="A217" t="str">
        <f t="shared" si="3"/>
        <v>RTD Ice TeaFranceDecemberEUR (€)Fully-AutomatedOldPET Bottle1High-scaleLow</v>
      </c>
      <c r="B217" t="s">
        <v>130</v>
      </c>
      <c r="C217" t="s">
        <v>130</v>
      </c>
      <c r="D217" t="s">
        <v>15</v>
      </c>
      <c r="E217" s="12" t="s">
        <v>182</v>
      </c>
      <c r="F217" t="s">
        <v>187</v>
      </c>
      <c r="G217" t="s">
        <v>12</v>
      </c>
      <c r="H217" t="s">
        <v>72</v>
      </c>
      <c r="I217" t="s">
        <v>175</v>
      </c>
      <c r="J217" s="12">
        <v>1</v>
      </c>
      <c r="K217" t="s">
        <v>107</v>
      </c>
      <c r="L217" t="s">
        <v>13</v>
      </c>
      <c r="M217" t="s">
        <v>199</v>
      </c>
      <c r="O217" t="s">
        <v>197</v>
      </c>
      <c r="P217">
        <v>8</v>
      </c>
      <c r="Q217" t="s">
        <v>202</v>
      </c>
      <c r="R217" s="6">
        <v>0.94735517551409787</v>
      </c>
      <c r="S217" s="6">
        <v>23.303269542876816</v>
      </c>
      <c r="T217" s="6">
        <v>9.924900298563184</v>
      </c>
      <c r="U217" s="6">
        <v>94.544201480122396</v>
      </c>
      <c r="V217" s="6">
        <v>0.13576986545073688</v>
      </c>
      <c r="W217" s="6">
        <v>4.2978108311916987</v>
      </c>
      <c r="X217" s="6">
        <v>2.6832937310839715</v>
      </c>
      <c r="Y217" s="6">
        <v>25.403253972348853</v>
      </c>
    </row>
    <row r="218" spans="1:25" x14ac:dyDescent="0.25">
      <c r="A218" t="str">
        <f t="shared" si="3"/>
        <v>RTD Ice TeaFranceDecemberEUR (€)Fully-AutomatedOldPET Bottle1High-scaleMedium</v>
      </c>
      <c r="B218" t="s">
        <v>130</v>
      </c>
      <c r="C218" t="s">
        <v>130</v>
      </c>
      <c r="D218" t="s">
        <v>15</v>
      </c>
      <c r="E218" s="12" t="s">
        <v>182</v>
      </c>
      <c r="F218" t="s">
        <v>187</v>
      </c>
      <c r="G218" t="s">
        <v>12</v>
      </c>
      <c r="H218" t="s">
        <v>72</v>
      </c>
      <c r="I218" t="s">
        <v>175</v>
      </c>
      <c r="J218" s="12">
        <v>1</v>
      </c>
      <c r="K218" t="s">
        <v>107</v>
      </c>
      <c r="L218" t="s">
        <v>63</v>
      </c>
      <c r="M218" t="s">
        <v>199</v>
      </c>
      <c r="O218" t="s">
        <v>197</v>
      </c>
      <c r="P218">
        <v>8</v>
      </c>
      <c r="Q218" t="s">
        <v>202</v>
      </c>
      <c r="R218" s="6">
        <v>0.98357994722190512</v>
      </c>
      <c r="S218" s="6">
        <v>24.194875620407874</v>
      </c>
      <c r="T218" s="6">
        <v>10.304238907268452</v>
      </c>
      <c r="U218" s="6">
        <v>98.158336005161644</v>
      </c>
      <c r="V218" s="6">
        <v>0.14065660464250959</v>
      </c>
      <c r="W218" s="6">
        <v>4.4504580969513885</v>
      </c>
      <c r="X218" s="6">
        <v>2.779200383591959</v>
      </c>
      <c r="Y218" s="6">
        <v>26.310614990688254</v>
      </c>
    </row>
    <row r="219" spans="1:25" x14ac:dyDescent="0.25">
      <c r="A219" t="str">
        <f t="shared" si="3"/>
        <v>RTD Ice TeaFranceDecemberEUR (€)Fully-AutomatedOldPET Bottle1High-scaleHigh</v>
      </c>
      <c r="B219" t="s">
        <v>130</v>
      </c>
      <c r="C219" t="s">
        <v>130</v>
      </c>
      <c r="D219" t="s">
        <v>15</v>
      </c>
      <c r="E219" s="12" t="s">
        <v>182</v>
      </c>
      <c r="F219" t="s">
        <v>187</v>
      </c>
      <c r="G219" t="s">
        <v>12</v>
      </c>
      <c r="H219" t="s">
        <v>72</v>
      </c>
      <c r="I219" t="s">
        <v>175</v>
      </c>
      <c r="J219" s="12">
        <v>1</v>
      </c>
      <c r="K219" t="s">
        <v>107</v>
      </c>
      <c r="L219" t="s">
        <v>11</v>
      </c>
      <c r="M219" t="s">
        <v>199</v>
      </c>
      <c r="O219" t="s">
        <v>197</v>
      </c>
      <c r="P219">
        <v>8</v>
      </c>
      <c r="Q219" t="s">
        <v>202</v>
      </c>
      <c r="R219" s="6">
        <v>1.0227027006663367</v>
      </c>
      <c r="S219" s="6">
        <v>25.157810184141404</v>
      </c>
      <c r="T219" s="6">
        <v>10.71392460467014</v>
      </c>
      <c r="U219" s="6">
        <v>102.06160129220405</v>
      </c>
      <c r="V219" s="6">
        <v>0.1459342829696241</v>
      </c>
      <c r="W219" s="6">
        <v>4.6153171439718514</v>
      </c>
      <c r="X219" s="6">
        <v>2.8827795683005859</v>
      </c>
      <c r="Y219" s="6">
        <v>27.290564890494807</v>
      </c>
    </row>
    <row r="220" spans="1:25" x14ac:dyDescent="0.25">
      <c r="A220" t="str">
        <f t="shared" si="3"/>
        <v>RTD Ice TeaFranceDecemberEUR (€)Fully-AutomatedOldPET Bottle1Medium-scaleLow</v>
      </c>
      <c r="B220" t="s">
        <v>130</v>
      </c>
      <c r="C220" t="s">
        <v>130</v>
      </c>
      <c r="D220" t="s">
        <v>15</v>
      </c>
      <c r="E220" s="12" t="s">
        <v>182</v>
      </c>
      <c r="F220" t="s">
        <v>187</v>
      </c>
      <c r="G220" t="s">
        <v>12</v>
      </c>
      <c r="H220" t="s">
        <v>72</v>
      </c>
      <c r="I220" t="s">
        <v>175</v>
      </c>
      <c r="J220" s="12">
        <v>1</v>
      </c>
      <c r="K220" t="s">
        <v>62</v>
      </c>
      <c r="L220" t="s">
        <v>13</v>
      </c>
      <c r="M220" t="s">
        <v>199</v>
      </c>
      <c r="O220" t="s">
        <v>197</v>
      </c>
      <c r="P220">
        <v>8</v>
      </c>
      <c r="Q220" t="s">
        <v>202</v>
      </c>
      <c r="R220" s="6">
        <v>0.94873295329187568</v>
      </c>
      <c r="S220" s="6">
        <v>23.333647424644177</v>
      </c>
      <c r="T220" s="6">
        <v>9.940424416619754</v>
      </c>
      <c r="U220" s="6">
        <v>94.688377437397804</v>
      </c>
      <c r="V220" s="6">
        <v>0.13678375433962575</v>
      </c>
      <c r="W220" s="6">
        <v>4.3315202328197886</v>
      </c>
      <c r="X220" s="6">
        <v>2.7043738161813375</v>
      </c>
      <c r="Y220" s="6">
        <v>25.602753525227833</v>
      </c>
    </row>
    <row r="221" spans="1:25" x14ac:dyDescent="0.25">
      <c r="A221" t="str">
        <f t="shared" si="3"/>
        <v>RTD Ice TeaFranceDecemberEUR (€)Fully-AutomatedOldPET Bottle1Medium-scaleMedium</v>
      </c>
      <c r="B221" t="s">
        <v>130</v>
      </c>
      <c r="C221" t="s">
        <v>130</v>
      </c>
      <c r="D221" t="s">
        <v>15</v>
      </c>
      <c r="E221" s="12" t="s">
        <v>182</v>
      </c>
      <c r="F221" t="s">
        <v>187</v>
      </c>
      <c r="G221" t="s">
        <v>12</v>
      </c>
      <c r="H221" t="s">
        <v>72</v>
      </c>
      <c r="I221" t="s">
        <v>175</v>
      </c>
      <c r="J221" s="12">
        <v>1</v>
      </c>
      <c r="K221" t="s">
        <v>62</v>
      </c>
      <c r="L221" t="s">
        <v>63</v>
      </c>
      <c r="M221" t="s">
        <v>199</v>
      </c>
      <c r="O221" t="s">
        <v>197</v>
      </c>
      <c r="P221">
        <v>8</v>
      </c>
      <c r="Q221" t="s">
        <v>202</v>
      </c>
      <c r="R221" s="6">
        <v>0.98495772499968293</v>
      </c>
      <c r="S221" s="6">
        <v>24.225253502175232</v>
      </c>
      <c r="T221" s="6">
        <v>10.31976302532502</v>
      </c>
      <c r="U221" s="6">
        <v>98.30251196243708</v>
      </c>
      <c r="V221" s="6">
        <v>0.14167049353139849</v>
      </c>
      <c r="W221" s="6">
        <v>4.4841674985794766</v>
      </c>
      <c r="X221" s="6">
        <v>2.800280468689325</v>
      </c>
      <c r="Y221" s="6">
        <v>26.510114543567237</v>
      </c>
    </row>
    <row r="222" spans="1:25" x14ac:dyDescent="0.25">
      <c r="A222" t="str">
        <f t="shared" si="3"/>
        <v>RTD Ice TeaFranceDecemberEUR (€)Fully-AutomatedOldPET Bottle1Medium-scaleHigh</v>
      </c>
      <c r="B222" t="s">
        <v>130</v>
      </c>
      <c r="C222" t="s">
        <v>130</v>
      </c>
      <c r="D222" t="s">
        <v>15</v>
      </c>
      <c r="E222" s="12" t="s">
        <v>182</v>
      </c>
      <c r="F222" t="s">
        <v>187</v>
      </c>
      <c r="G222" t="s">
        <v>12</v>
      </c>
      <c r="H222" t="s">
        <v>72</v>
      </c>
      <c r="I222" t="s">
        <v>175</v>
      </c>
      <c r="J222" s="12">
        <v>1</v>
      </c>
      <c r="K222" t="s">
        <v>62</v>
      </c>
      <c r="L222" t="s">
        <v>11</v>
      </c>
      <c r="M222" t="s">
        <v>199</v>
      </c>
      <c r="O222" t="s">
        <v>197</v>
      </c>
      <c r="P222">
        <v>8</v>
      </c>
      <c r="Q222" t="s">
        <v>202</v>
      </c>
      <c r="R222" s="6">
        <v>1.0240804784441147</v>
      </c>
      <c r="S222" s="6">
        <v>25.188188065908765</v>
      </c>
      <c r="T222" s="6">
        <v>10.729448722726705</v>
      </c>
      <c r="U222" s="6">
        <v>102.20577724947947</v>
      </c>
      <c r="V222" s="6">
        <v>0.146948171858513</v>
      </c>
      <c r="W222" s="6">
        <v>4.6490265455999413</v>
      </c>
      <c r="X222" s="6">
        <v>2.9038596533979519</v>
      </c>
      <c r="Y222" s="6">
        <v>27.49006444337379</v>
      </c>
    </row>
    <row r="223" spans="1:25" x14ac:dyDescent="0.25">
      <c r="A223" t="str">
        <f t="shared" si="3"/>
        <v>RTD Ice TeaFranceDecemberEUR (€)Fully-AutomatedOldPET Bottle1Small-scaleLow</v>
      </c>
      <c r="B223" t="s">
        <v>130</v>
      </c>
      <c r="C223" t="s">
        <v>130</v>
      </c>
      <c r="D223" t="s">
        <v>15</v>
      </c>
      <c r="E223" s="12" t="s">
        <v>182</v>
      </c>
      <c r="F223" t="s">
        <v>187</v>
      </c>
      <c r="G223" t="s">
        <v>12</v>
      </c>
      <c r="H223" t="s">
        <v>72</v>
      </c>
      <c r="I223" t="s">
        <v>175</v>
      </c>
      <c r="J223" s="12">
        <v>1</v>
      </c>
      <c r="K223" t="s">
        <v>60</v>
      </c>
      <c r="L223" t="s">
        <v>13</v>
      </c>
      <c r="M223" t="s">
        <v>199</v>
      </c>
      <c r="O223" t="s">
        <v>197</v>
      </c>
      <c r="P223">
        <v>8</v>
      </c>
      <c r="Q223" t="s">
        <v>202</v>
      </c>
      <c r="R223" s="6">
        <v>0.95102924958817192</v>
      </c>
      <c r="S223" s="6">
        <v>23.384277227589777</v>
      </c>
      <c r="T223" s="6">
        <v>9.966297946714036</v>
      </c>
      <c r="U223" s="6">
        <v>94.928670699523522</v>
      </c>
      <c r="V223" s="6">
        <v>0.13847356915444059</v>
      </c>
      <c r="W223" s="6">
        <v>4.3877025688666036</v>
      </c>
      <c r="X223" s="6">
        <v>2.7395072913436143</v>
      </c>
      <c r="Y223" s="6">
        <v>25.935252780026136</v>
      </c>
    </row>
    <row r="224" spans="1:25" x14ac:dyDescent="0.25">
      <c r="A224" t="str">
        <f t="shared" si="3"/>
        <v>RTD Ice TeaFranceDecemberEUR (€)Fully-AutomatedOldPET Bottle1Small-scaleMedium</v>
      </c>
      <c r="B224" t="s">
        <v>130</v>
      </c>
      <c r="C224" t="s">
        <v>130</v>
      </c>
      <c r="D224" t="s">
        <v>15</v>
      </c>
      <c r="E224" s="12" t="s">
        <v>182</v>
      </c>
      <c r="F224" t="s">
        <v>187</v>
      </c>
      <c r="G224" t="s">
        <v>12</v>
      </c>
      <c r="H224" t="s">
        <v>72</v>
      </c>
      <c r="I224" t="s">
        <v>175</v>
      </c>
      <c r="J224" s="12">
        <v>1</v>
      </c>
      <c r="K224" t="s">
        <v>60</v>
      </c>
      <c r="L224" t="s">
        <v>63</v>
      </c>
      <c r="M224" t="s">
        <v>199</v>
      </c>
      <c r="O224" t="s">
        <v>197</v>
      </c>
      <c r="P224">
        <v>8</v>
      </c>
      <c r="Q224" t="s">
        <v>202</v>
      </c>
      <c r="R224" s="6">
        <v>0.98725402129597928</v>
      </c>
      <c r="S224" s="6">
        <v>24.275883305120828</v>
      </c>
      <c r="T224" s="6">
        <v>10.345636555419302</v>
      </c>
      <c r="U224" s="6">
        <v>98.542805224562784</v>
      </c>
      <c r="V224" s="6">
        <v>0.1433603083462133</v>
      </c>
      <c r="W224" s="6">
        <v>4.5403498346262934</v>
      </c>
      <c r="X224" s="6">
        <v>2.8354139438516022</v>
      </c>
      <c r="Y224" s="6">
        <v>26.842613798365537</v>
      </c>
    </row>
    <row r="225" spans="1:25" x14ac:dyDescent="0.25">
      <c r="A225" t="str">
        <f t="shared" si="3"/>
        <v>RTD Ice TeaFranceDecemberEUR (€)Fully-AutomatedOldPET Bottle1Small-scaleHigh</v>
      </c>
      <c r="B225" t="s">
        <v>130</v>
      </c>
      <c r="C225" t="s">
        <v>130</v>
      </c>
      <c r="D225" t="s">
        <v>15</v>
      </c>
      <c r="E225" s="12" t="s">
        <v>182</v>
      </c>
      <c r="F225" t="s">
        <v>187</v>
      </c>
      <c r="G225" t="s">
        <v>12</v>
      </c>
      <c r="H225" t="s">
        <v>72</v>
      </c>
      <c r="I225" t="s">
        <v>175</v>
      </c>
      <c r="J225" s="12">
        <v>1</v>
      </c>
      <c r="K225" t="s">
        <v>60</v>
      </c>
      <c r="L225" t="s">
        <v>11</v>
      </c>
      <c r="M225" t="s">
        <v>199</v>
      </c>
      <c r="O225" t="s">
        <v>197</v>
      </c>
      <c r="P225">
        <v>8</v>
      </c>
      <c r="Q225" t="s">
        <v>202</v>
      </c>
      <c r="R225" s="6">
        <v>1.0263767747404109</v>
      </c>
      <c r="S225" s="6">
        <v>25.238817868854369</v>
      </c>
      <c r="T225" s="6">
        <v>10.755322252820989</v>
      </c>
      <c r="U225" s="6">
        <v>102.44607051160517</v>
      </c>
      <c r="V225" s="6">
        <v>0.14863798667332778</v>
      </c>
      <c r="W225" s="6">
        <v>4.7052088816467572</v>
      </c>
      <c r="X225" s="6">
        <v>2.9389931285602291</v>
      </c>
      <c r="Y225" s="6">
        <v>27.82256369817209</v>
      </c>
    </row>
    <row r="226" spans="1:25" x14ac:dyDescent="0.25">
      <c r="A226" t="str">
        <f t="shared" si="3"/>
        <v>RTD Ice TeaFranceDecemberEUR (€)Fully-AutomatedOldPET Bottle1High-scaleLow</v>
      </c>
      <c r="B226" t="s">
        <v>130</v>
      </c>
      <c r="C226" t="s">
        <v>130</v>
      </c>
      <c r="D226" t="s">
        <v>15</v>
      </c>
      <c r="E226" s="12" t="s">
        <v>182</v>
      </c>
      <c r="F226" t="s">
        <v>187</v>
      </c>
      <c r="G226" t="s">
        <v>12</v>
      </c>
      <c r="H226" t="s">
        <v>72</v>
      </c>
      <c r="I226" t="s">
        <v>175</v>
      </c>
      <c r="J226" s="12">
        <v>1</v>
      </c>
      <c r="K226" t="s">
        <v>107</v>
      </c>
      <c r="L226" t="s">
        <v>13</v>
      </c>
      <c r="M226" t="s">
        <v>200</v>
      </c>
      <c r="O226" t="s">
        <v>197</v>
      </c>
      <c r="P226">
        <v>8</v>
      </c>
      <c r="Q226" t="s">
        <v>202</v>
      </c>
      <c r="R226" s="6">
        <v>0.94735517551409787</v>
      </c>
      <c r="S226" s="6">
        <v>23.303269542876816</v>
      </c>
      <c r="T226" s="6">
        <v>9.924900298563184</v>
      </c>
      <c r="U226" s="6">
        <v>94.544201480122396</v>
      </c>
      <c r="V226" s="6">
        <v>0.11930806894900305</v>
      </c>
      <c r="W226" s="6">
        <v>5.2701613523861095</v>
      </c>
      <c r="X226" s="6">
        <v>2.6401979593902456</v>
      </c>
      <c r="Y226" s="6">
        <v>25.662870122867698</v>
      </c>
    </row>
    <row r="227" spans="1:25" x14ac:dyDescent="0.25">
      <c r="A227" t="str">
        <f t="shared" si="3"/>
        <v>RTD Ice TeaFranceDecemberEUR (€)Fully-AutomatedOldPET Bottle1High-scaleMedium</v>
      </c>
      <c r="B227" t="s">
        <v>130</v>
      </c>
      <c r="C227" t="s">
        <v>130</v>
      </c>
      <c r="D227" t="s">
        <v>15</v>
      </c>
      <c r="E227" s="12" t="s">
        <v>182</v>
      </c>
      <c r="F227" t="s">
        <v>187</v>
      </c>
      <c r="G227" t="s">
        <v>12</v>
      </c>
      <c r="H227" t="s">
        <v>72</v>
      </c>
      <c r="I227" t="s">
        <v>175</v>
      </c>
      <c r="J227" s="12">
        <v>1</v>
      </c>
      <c r="K227" t="s">
        <v>107</v>
      </c>
      <c r="L227" t="s">
        <v>63</v>
      </c>
      <c r="M227" t="s">
        <v>200</v>
      </c>
      <c r="O227" t="s">
        <v>197</v>
      </c>
      <c r="P227">
        <v>8</v>
      </c>
      <c r="Q227" t="s">
        <v>202</v>
      </c>
      <c r="R227" s="6">
        <v>0.98357994722190512</v>
      </c>
      <c r="S227" s="6">
        <v>24.194875620407874</v>
      </c>
      <c r="T227" s="6">
        <v>10.304238907268452</v>
      </c>
      <c r="U227" s="6">
        <v>98.158336005161644</v>
      </c>
      <c r="V227" s="6">
        <v>0.12366315784797402</v>
      </c>
      <c r="W227" s="6">
        <v>5.460945689550492</v>
      </c>
      <c r="X227" s="6">
        <v>2.7361844518685876</v>
      </c>
      <c r="Y227" s="6">
        <v>26.595344777934912</v>
      </c>
    </row>
    <row r="228" spans="1:25" x14ac:dyDescent="0.25">
      <c r="A228" t="str">
        <f t="shared" si="3"/>
        <v>RTD Ice TeaFranceDecemberEUR (€)Fully-AutomatedOldPET Bottle1High-scaleHigh</v>
      </c>
      <c r="B228" t="s">
        <v>130</v>
      </c>
      <c r="C228" t="s">
        <v>130</v>
      </c>
      <c r="D228" t="s">
        <v>15</v>
      </c>
      <c r="E228" s="12" t="s">
        <v>182</v>
      </c>
      <c r="F228" t="s">
        <v>187</v>
      </c>
      <c r="G228" t="s">
        <v>12</v>
      </c>
      <c r="H228" t="s">
        <v>72</v>
      </c>
      <c r="I228" t="s">
        <v>175</v>
      </c>
      <c r="J228" s="12">
        <v>1</v>
      </c>
      <c r="K228" t="s">
        <v>107</v>
      </c>
      <c r="L228" t="s">
        <v>11</v>
      </c>
      <c r="M228" t="s">
        <v>200</v>
      </c>
      <c r="O228" t="s">
        <v>197</v>
      </c>
      <c r="P228">
        <v>8</v>
      </c>
      <c r="Q228" t="s">
        <v>202</v>
      </c>
      <c r="R228" s="6">
        <v>1.0227027006663367</v>
      </c>
      <c r="S228" s="6">
        <v>25.157810184141404</v>
      </c>
      <c r="T228" s="6">
        <v>10.71392460467014</v>
      </c>
      <c r="U228" s="6">
        <v>102.06160129220405</v>
      </c>
      <c r="V228" s="6">
        <v>0.12836665385886264</v>
      </c>
      <c r="W228" s="6">
        <v>5.6669927736880226</v>
      </c>
      <c r="X228" s="6">
        <v>2.8398498637451963</v>
      </c>
      <c r="Y228" s="6">
        <v>27.602417405407497</v>
      </c>
    </row>
    <row r="229" spans="1:25" x14ac:dyDescent="0.25">
      <c r="A229" t="str">
        <f t="shared" si="3"/>
        <v>RTD Ice TeaFranceDecemberEUR (€)Fully-AutomatedOldPET Bottle1Medium-scaleLow</v>
      </c>
      <c r="B229" t="s">
        <v>130</v>
      </c>
      <c r="C229" t="s">
        <v>130</v>
      </c>
      <c r="D229" t="s">
        <v>15</v>
      </c>
      <c r="E229" s="12" t="s">
        <v>182</v>
      </c>
      <c r="F229" t="s">
        <v>187</v>
      </c>
      <c r="G229" t="s">
        <v>12</v>
      </c>
      <c r="H229" t="s">
        <v>72</v>
      </c>
      <c r="I229" t="s">
        <v>175</v>
      </c>
      <c r="J229" s="12">
        <v>1</v>
      </c>
      <c r="K229" t="s">
        <v>62</v>
      </c>
      <c r="L229" t="s">
        <v>13</v>
      </c>
      <c r="M229" t="s">
        <v>200</v>
      </c>
      <c r="O229" t="s">
        <v>197</v>
      </c>
      <c r="P229">
        <v>8</v>
      </c>
      <c r="Q229" t="s">
        <v>202</v>
      </c>
      <c r="R229" s="6">
        <v>0.94873295329187568</v>
      </c>
      <c r="S229" s="6">
        <v>23.333647424644177</v>
      </c>
      <c r="T229" s="6">
        <v>9.940424416619754</v>
      </c>
      <c r="U229" s="6">
        <v>94.688377437397804</v>
      </c>
      <c r="V229" s="6">
        <v>0.12022094773688183</v>
      </c>
      <c r="W229" s="6">
        <v>5.3110471390671625</v>
      </c>
      <c r="X229" s="6">
        <v>2.6612780444876121</v>
      </c>
      <c r="Y229" s="6">
        <v>25.86696866946545</v>
      </c>
    </row>
    <row r="230" spans="1:25" x14ac:dyDescent="0.25">
      <c r="A230" t="str">
        <f t="shared" si="3"/>
        <v>RTD Ice TeaFranceDecemberEUR (€)Fully-AutomatedOldPET Bottle1Medium-scaleMedium</v>
      </c>
      <c r="B230" t="s">
        <v>130</v>
      </c>
      <c r="C230" t="s">
        <v>130</v>
      </c>
      <c r="D230" t="s">
        <v>15</v>
      </c>
      <c r="E230" s="12" t="s">
        <v>182</v>
      </c>
      <c r="F230" t="s">
        <v>187</v>
      </c>
      <c r="G230" t="s">
        <v>12</v>
      </c>
      <c r="H230" t="s">
        <v>72</v>
      </c>
      <c r="I230" t="s">
        <v>175</v>
      </c>
      <c r="J230" s="12">
        <v>1</v>
      </c>
      <c r="K230" t="s">
        <v>62</v>
      </c>
      <c r="L230" t="s">
        <v>63</v>
      </c>
      <c r="M230" t="s">
        <v>200</v>
      </c>
      <c r="O230" t="s">
        <v>197</v>
      </c>
      <c r="P230">
        <v>8</v>
      </c>
      <c r="Q230" t="s">
        <v>202</v>
      </c>
      <c r="R230" s="6">
        <v>0.98495772499968293</v>
      </c>
      <c r="S230" s="6">
        <v>24.225253502175232</v>
      </c>
      <c r="T230" s="6">
        <v>10.31976302532502</v>
      </c>
      <c r="U230" s="6">
        <v>98.30251196243708</v>
      </c>
      <c r="V230" s="6">
        <v>0.12457603663585282</v>
      </c>
      <c r="W230" s="6">
        <v>5.5018314762315423</v>
      </c>
      <c r="X230" s="6">
        <v>2.7572645369659536</v>
      </c>
      <c r="Y230" s="6">
        <v>26.799443324532664</v>
      </c>
    </row>
    <row r="231" spans="1:25" x14ac:dyDescent="0.25">
      <c r="A231" t="str">
        <f t="shared" si="3"/>
        <v>RTD Ice TeaFranceDecemberEUR (€)Fully-AutomatedOldPET Bottle1Medium-scaleHigh</v>
      </c>
      <c r="B231" t="s">
        <v>130</v>
      </c>
      <c r="C231" t="s">
        <v>130</v>
      </c>
      <c r="D231" t="s">
        <v>15</v>
      </c>
      <c r="E231" s="12" t="s">
        <v>182</v>
      </c>
      <c r="F231" t="s">
        <v>187</v>
      </c>
      <c r="G231" t="s">
        <v>12</v>
      </c>
      <c r="H231" t="s">
        <v>72</v>
      </c>
      <c r="I231" t="s">
        <v>175</v>
      </c>
      <c r="J231" s="12">
        <v>1</v>
      </c>
      <c r="K231" t="s">
        <v>62</v>
      </c>
      <c r="L231" t="s">
        <v>11</v>
      </c>
      <c r="M231" t="s">
        <v>200</v>
      </c>
      <c r="O231" t="s">
        <v>197</v>
      </c>
      <c r="P231">
        <v>8</v>
      </c>
      <c r="Q231" t="s">
        <v>202</v>
      </c>
      <c r="R231" s="6">
        <v>1.0240804784441147</v>
      </c>
      <c r="S231" s="6">
        <v>25.188188065908765</v>
      </c>
      <c r="T231" s="6">
        <v>10.729448722726705</v>
      </c>
      <c r="U231" s="6">
        <v>102.20577724947947</v>
      </c>
      <c r="V231" s="6">
        <v>0.12927953264674144</v>
      </c>
      <c r="W231" s="6">
        <v>5.7078785603690738</v>
      </c>
      <c r="X231" s="6">
        <v>2.8609299488425624</v>
      </c>
      <c r="Y231" s="6">
        <v>27.806515952005242</v>
      </c>
    </row>
    <row r="232" spans="1:25" x14ac:dyDescent="0.25">
      <c r="A232" t="str">
        <f t="shared" si="3"/>
        <v>RTD Ice TeaFranceDecemberEUR (€)Fully-AutomatedOldPET Bottle1Small-scaleLow</v>
      </c>
      <c r="B232" t="s">
        <v>130</v>
      </c>
      <c r="C232" t="s">
        <v>130</v>
      </c>
      <c r="D232" t="s">
        <v>15</v>
      </c>
      <c r="E232" s="12" t="s">
        <v>182</v>
      </c>
      <c r="F232" t="s">
        <v>187</v>
      </c>
      <c r="G232" t="s">
        <v>12</v>
      </c>
      <c r="H232" t="s">
        <v>72</v>
      </c>
      <c r="I232" t="s">
        <v>175</v>
      </c>
      <c r="J232" s="12">
        <v>1</v>
      </c>
      <c r="K232" t="s">
        <v>60</v>
      </c>
      <c r="L232" t="s">
        <v>13</v>
      </c>
      <c r="M232" t="s">
        <v>200</v>
      </c>
      <c r="O232" t="s">
        <v>197</v>
      </c>
      <c r="P232">
        <v>8</v>
      </c>
      <c r="Q232" t="s">
        <v>202</v>
      </c>
      <c r="R232" s="6">
        <v>0.95102924958817192</v>
      </c>
      <c r="S232" s="6">
        <v>23.384277227589777</v>
      </c>
      <c r="T232" s="6">
        <v>9.966297946714036</v>
      </c>
      <c r="U232" s="6">
        <v>94.928670699523522</v>
      </c>
      <c r="V232" s="6">
        <v>0.12174241238334647</v>
      </c>
      <c r="W232" s="6">
        <v>5.379190116868914</v>
      </c>
      <c r="X232" s="6">
        <v>2.6964115196498888</v>
      </c>
      <c r="Y232" s="6">
        <v>26.207132913795036</v>
      </c>
    </row>
    <row r="233" spans="1:25" x14ac:dyDescent="0.25">
      <c r="A233" t="str">
        <f t="shared" si="3"/>
        <v>RTD Ice TeaFranceDecemberEUR (€)Fully-AutomatedOldPET Bottle1Small-scaleMedium</v>
      </c>
      <c r="B233" t="s">
        <v>130</v>
      </c>
      <c r="C233" t="s">
        <v>130</v>
      </c>
      <c r="D233" t="s">
        <v>15</v>
      </c>
      <c r="E233" s="12" t="s">
        <v>182</v>
      </c>
      <c r="F233" t="s">
        <v>187</v>
      </c>
      <c r="G233" t="s">
        <v>12</v>
      </c>
      <c r="H233" t="s">
        <v>72</v>
      </c>
      <c r="I233" t="s">
        <v>175</v>
      </c>
      <c r="J233" s="12">
        <v>1</v>
      </c>
      <c r="K233" t="s">
        <v>60</v>
      </c>
      <c r="L233" t="s">
        <v>63</v>
      </c>
      <c r="M233" t="s">
        <v>200</v>
      </c>
      <c r="O233" t="s">
        <v>197</v>
      </c>
      <c r="P233">
        <v>8</v>
      </c>
      <c r="Q233" t="s">
        <v>202</v>
      </c>
      <c r="R233" s="6">
        <v>0.98725402129597928</v>
      </c>
      <c r="S233" s="6">
        <v>24.275883305120828</v>
      </c>
      <c r="T233" s="6">
        <v>10.345636555419302</v>
      </c>
      <c r="U233" s="6">
        <v>98.542805224562784</v>
      </c>
      <c r="V233" s="6">
        <v>0.12609750128231745</v>
      </c>
      <c r="W233" s="6">
        <v>5.5699744540332965</v>
      </c>
      <c r="X233" s="6">
        <v>2.7923980121282304</v>
      </c>
      <c r="Y233" s="6">
        <v>27.139607568862242</v>
      </c>
    </row>
    <row r="234" spans="1:25" x14ac:dyDescent="0.25">
      <c r="A234" t="str">
        <f t="shared" si="3"/>
        <v>RTD Ice TeaFranceDecemberEUR (€)Fully-AutomatedOldPET Bottle1Small-scaleHigh</v>
      </c>
      <c r="B234" t="s">
        <v>130</v>
      </c>
      <c r="C234" t="s">
        <v>130</v>
      </c>
      <c r="D234" t="s">
        <v>15</v>
      </c>
      <c r="E234" s="12" t="s">
        <v>182</v>
      </c>
      <c r="F234" t="s">
        <v>187</v>
      </c>
      <c r="G234" t="s">
        <v>12</v>
      </c>
      <c r="H234" t="s">
        <v>72</v>
      </c>
      <c r="I234" t="s">
        <v>175</v>
      </c>
      <c r="J234" s="12">
        <v>1</v>
      </c>
      <c r="K234" t="s">
        <v>60</v>
      </c>
      <c r="L234" t="s">
        <v>11</v>
      </c>
      <c r="M234" t="s">
        <v>200</v>
      </c>
      <c r="O234" t="s">
        <v>197</v>
      </c>
      <c r="P234">
        <v>8</v>
      </c>
      <c r="Q234" t="s">
        <v>202</v>
      </c>
      <c r="R234" s="6">
        <v>1.0263767747404109</v>
      </c>
      <c r="S234" s="6">
        <v>25.238817868854369</v>
      </c>
      <c r="T234" s="6">
        <v>10.755322252820989</v>
      </c>
      <c r="U234" s="6">
        <v>102.44607051160517</v>
      </c>
      <c r="V234" s="6">
        <v>0.13080099729320607</v>
      </c>
      <c r="W234" s="6">
        <v>5.7760215381708262</v>
      </c>
      <c r="X234" s="6">
        <v>2.8960634240048391</v>
      </c>
      <c r="Y234" s="6">
        <v>28.146680196334827</v>
      </c>
    </row>
    <row r="235" spans="1:25" x14ac:dyDescent="0.25">
      <c r="A235" t="str">
        <f t="shared" si="3"/>
        <v>RTD Ice TeaFranceDecemberEUR (€)Fully-AutomatedOldPET Bottle1High-scaleLow</v>
      </c>
      <c r="B235" t="s">
        <v>130</v>
      </c>
      <c r="C235" t="s">
        <v>130</v>
      </c>
      <c r="D235" t="s">
        <v>15</v>
      </c>
      <c r="E235" s="12" t="s">
        <v>182</v>
      </c>
      <c r="F235" t="s">
        <v>187</v>
      </c>
      <c r="G235" t="s">
        <v>12</v>
      </c>
      <c r="H235" t="s">
        <v>72</v>
      </c>
      <c r="I235" t="s">
        <v>175</v>
      </c>
      <c r="J235" s="12">
        <v>1</v>
      </c>
      <c r="K235" t="s">
        <v>107</v>
      </c>
      <c r="L235" t="s">
        <v>13</v>
      </c>
      <c r="M235" t="s">
        <v>199</v>
      </c>
      <c r="O235" t="s">
        <v>197</v>
      </c>
      <c r="P235">
        <v>12</v>
      </c>
      <c r="Q235" t="s">
        <v>203</v>
      </c>
      <c r="R235" s="6">
        <v>0.94735517551409787</v>
      </c>
      <c r="S235" s="6">
        <v>23.303269542876816</v>
      </c>
      <c r="T235" s="6">
        <v>9.924900298563184</v>
      </c>
      <c r="U235" s="6">
        <v>94.544201480122396</v>
      </c>
      <c r="V235" s="6">
        <v>0.12898107373809584</v>
      </c>
      <c r="W235" s="6">
        <v>4.116648998891244</v>
      </c>
      <c r="X235" s="6">
        <v>2.5880485385188226</v>
      </c>
      <c r="Y235" s="6">
        <v>24.481673918586111</v>
      </c>
    </row>
    <row r="236" spans="1:25" x14ac:dyDescent="0.25">
      <c r="A236" t="str">
        <f t="shared" si="3"/>
        <v>RTD Ice TeaFranceDecemberEUR (€)Fully-AutomatedOldPET Bottle1High-scaleMedium</v>
      </c>
      <c r="B236" t="s">
        <v>130</v>
      </c>
      <c r="C236" t="s">
        <v>130</v>
      </c>
      <c r="D236" t="s">
        <v>15</v>
      </c>
      <c r="E236" s="12" t="s">
        <v>182</v>
      </c>
      <c r="F236" t="s">
        <v>187</v>
      </c>
      <c r="G236" t="s">
        <v>12</v>
      </c>
      <c r="H236" t="s">
        <v>72</v>
      </c>
      <c r="I236" t="s">
        <v>175</v>
      </c>
      <c r="J236" s="12">
        <v>1</v>
      </c>
      <c r="K236" t="s">
        <v>107</v>
      </c>
      <c r="L236" t="s">
        <v>63</v>
      </c>
      <c r="M236" t="s">
        <v>199</v>
      </c>
      <c r="O236" t="s">
        <v>197</v>
      </c>
      <c r="P236">
        <v>12</v>
      </c>
      <c r="Q236" t="s">
        <v>203</v>
      </c>
      <c r="R236" s="6">
        <v>0.98357994722190512</v>
      </c>
      <c r="S236" s="6">
        <v>24.194875620407874</v>
      </c>
      <c r="T236" s="6">
        <v>10.304238907268452</v>
      </c>
      <c r="U236" s="6">
        <v>98.158336005161644</v>
      </c>
      <c r="V236" s="6">
        <v>0.13360670555630544</v>
      </c>
      <c r="W236" s="6">
        <v>4.2623285018701473</v>
      </c>
      <c r="X236" s="6">
        <v>2.6802919143896888</v>
      </c>
      <c r="Y236" s="6">
        <v>25.353589550242333</v>
      </c>
    </row>
    <row r="237" spans="1:25" x14ac:dyDescent="0.25">
      <c r="A237" t="str">
        <f t="shared" si="3"/>
        <v>RTD Ice TeaFranceDecemberEUR (€)Fully-AutomatedOldPET Bottle1High-scaleHigh</v>
      </c>
      <c r="B237" t="s">
        <v>130</v>
      </c>
      <c r="C237" t="s">
        <v>130</v>
      </c>
      <c r="D237" t="s">
        <v>15</v>
      </c>
      <c r="E237" s="12" t="s">
        <v>182</v>
      </c>
      <c r="F237" t="s">
        <v>187</v>
      </c>
      <c r="G237" t="s">
        <v>12</v>
      </c>
      <c r="H237" t="s">
        <v>72</v>
      </c>
      <c r="I237" t="s">
        <v>175</v>
      </c>
      <c r="J237" s="12">
        <v>1</v>
      </c>
      <c r="K237" t="s">
        <v>107</v>
      </c>
      <c r="L237" t="s">
        <v>11</v>
      </c>
      <c r="M237" t="s">
        <v>199</v>
      </c>
      <c r="O237" t="s">
        <v>197</v>
      </c>
      <c r="P237">
        <v>12</v>
      </c>
      <c r="Q237" t="s">
        <v>203</v>
      </c>
      <c r="R237" s="6">
        <v>1.0227027006663367</v>
      </c>
      <c r="S237" s="6">
        <v>25.157810184141404</v>
      </c>
      <c r="T237" s="6">
        <v>10.71392460467014</v>
      </c>
      <c r="U237" s="6">
        <v>102.06160129220405</v>
      </c>
      <c r="V237" s="6">
        <v>0.13860238791997176</v>
      </c>
      <c r="W237" s="6">
        <v>4.419662365087361</v>
      </c>
      <c r="X237" s="6">
        <v>2.7799147603302248</v>
      </c>
      <c r="Y237" s="6">
        <v>26.295258432431044</v>
      </c>
    </row>
    <row r="238" spans="1:25" x14ac:dyDescent="0.25">
      <c r="A238" t="str">
        <f t="shared" si="3"/>
        <v>RTD Ice TeaFranceDecemberEUR (€)Fully-AutomatedOldPET Bottle1Medium-scaleLow</v>
      </c>
      <c r="B238" t="s">
        <v>130</v>
      </c>
      <c r="C238" t="s">
        <v>130</v>
      </c>
      <c r="D238" t="s">
        <v>15</v>
      </c>
      <c r="E238" s="12" t="s">
        <v>182</v>
      </c>
      <c r="F238" t="s">
        <v>187</v>
      </c>
      <c r="G238" t="s">
        <v>12</v>
      </c>
      <c r="H238" t="s">
        <v>72</v>
      </c>
      <c r="I238" t="s">
        <v>175</v>
      </c>
      <c r="J238" s="12">
        <v>1</v>
      </c>
      <c r="K238" t="s">
        <v>62</v>
      </c>
      <c r="L238" t="s">
        <v>13</v>
      </c>
      <c r="M238" t="s">
        <v>199</v>
      </c>
      <c r="O238" t="s">
        <v>197</v>
      </c>
      <c r="P238">
        <v>12</v>
      </c>
      <c r="Q238" t="s">
        <v>203</v>
      </c>
      <c r="R238" s="6">
        <v>0.94873295329187568</v>
      </c>
      <c r="S238" s="6">
        <v>23.333647424644177</v>
      </c>
      <c r="T238" s="6">
        <v>9.940424416619754</v>
      </c>
      <c r="U238" s="6">
        <v>94.688377437397804</v>
      </c>
      <c r="V238" s="6">
        <v>0.12999496262698473</v>
      </c>
      <c r="W238" s="6">
        <v>4.1503584005193339</v>
      </c>
      <c r="X238" s="6">
        <v>2.6091286236161886</v>
      </c>
      <c r="Y238" s="6">
        <v>24.681173471465097</v>
      </c>
    </row>
    <row r="239" spans="1:25" x14ac:dyDescent="0.25">
      <c r="A239" t="str">
        <f t="shared" si="3"/>
        <v>RTD Ice TeaFranceDecemberEUR (€)Fully-AutomatedOldPET Bottle1Medium-scaleMedium</v>
      </c>
      <c r="B239" t="s">
        <v>130</v>
      </c>
      <c r="C239" t="s">
        <v>130</v>
      </c>
      <c r="D239" t="s">
        <v>15</v>
      </c>
      <c r="E239" s="12" t="s">
        <v>182</v>
      </c>
      <c r="F239" t="s">
        <v>187</v>
      </c>
      <c r="G239" t="s">
        <v>12</v>
      </c>
      <c r="H239" t="s">
        <v>72</v>
      </c>
      <c r="I239" t="s">
        <v>175</v>
      </c>
      <c r="J239" s="12">
        <v>1</v>
      </c>
      <c r="K239" t="s">
        <v>62</v>
      </c>
      <c r="L239" t="s">
        <v>63</v>
      </c>
      <c r="M239" t="s">
        <v>199</v>
      </c>
      <c r="O239" t="s">
        <v>197</v>
      </c>
      <c r="P239">
        <v>12</v>
      </c>
      <c r="Q239" t="s">
        <v>203</v>
      </c>
      <c r="R239" s="6">
        <v>0.98495772499968293</v>
      </c>
      <c r="S239" s="6">
        <v>24.225253502175232</v>
      </c>
      <c r="T239" s="6">
        <v>10.31976302532502</v>
      </c>
      <c r="U239" s="6">
        <v>98.30251196243708</v>
      </c>
      <c r="V239" s="6">
        <v>0.13462059444519434</v>
      </c>
      <c r="W239" s="6">
        <v>4.2960379034982354</v>
      </c>
      <c r="X239" s="6">
        <v>2.7013719994870549</v>
      </c>
      <c r="Y239" s="6">
        <v>25.553089103121316</v>
      </c>
    </row>
    <row r="240" spans="1:25" x14ac:dyDescent="0.25">
      <c r="A240" t="str">
        <f t="shared" si="3"/>
        <v>RTD Ice TeaFranceDecemberEUR (€)Fully-AutomatedOldPET Bottle1Medium-scaleHigh</v>
      </c>
      <c r="B240" t="s">
        <v>130</v>
      </c>
      <c r="C240" t="s">
        <v>130</v>
      </c>
      <c r="D240" t="s">
        <v>15</v>
      </c>
      <c r="E240" s="12" t="s">
        <v>182</v>
      </c>
      <c r="F240" t="s">
        <v>187</v>
      </c>
      <c r="G240" t="s">
        <v>12</v>
      </c>
      <c r="H240" t="s">
        <v>72</v>
      </c>
      <c r="I240" t="s">
        <v>175</v>
      </c>
      <c r="J240" s="12">
        <v>1</v>
      </c>
      <c r="K240" t="s">
        <v>62</v>
      </c>
      <c r="L240" t="s">
        <v>11</v>
      </c>
      <c r="M240" t="s">
        <v>199</v>
      </c>
      <c r="O240" t="s">
        <v>197</v>
      </c>
      <c r="P240">
        <v>12</v>
      </c>
      <c r="Q240" t="s">
        <v>203</v>
      </c>
      <c r="R240" s="6">
        <v>1.0240804784441147</v>
      </c>
      <c r="S240" s="6">
        <v>25.188188065908765</v>
      </c>
      <c r="T240" s="6">
        <v>10.729448722726705</v>
      </c>
      <c r="U240" s="6">
        <v>102.20577724947947</v>
      </c>
      <c r="V240" s="6">
        <v>0.13961627680886066</v>
      </c>
      <c r="W240" s="6">
        <v>4.45337176671545</v>
      </c>
      <c r="X240" s="6">
        <v>2.8009948454275908</v>
      </c>
      <c r="Y240" s="6">
        <v>26.494757985310027</v>
      </c>
    </row>
    <row r="241" spans="1:25" x14ac:dyDescent="0.25">
      <c r="A241" t="str">
        <f t="shared" si="3"/>
        <v>RTD Ice TeaFranceDecemberEUR (€)Fully-AutomatedOldPET Bottle1Small-scaleLow</v>
      </c>
      <c r="B241" t="s">
        <v>130</v>
      </c>
      <c r="C241" t="s">
        <v>130</v>
      </c>
      <c r="D241" t="s">
        <v>15</v>
      </c>
      <c r="E241" s="12" t="s">
        <v>182</v>
      </c>
      <c r="F241" t="s">
        <v>187</v>
      </c>
      <c r="G241" t="s">
        <v>12</v>
      </c>
      <c r="H241" t="s">
        <v>72</v>
      </c>
      <c r="I241" t="s">
        <v>175</v>
      </c>
      <c r="J241" s="12">
        <v>1</v>
      </c>
      <c r="K241" t="s">
        <v>60</v>
      </c>
      <c r="L241" t="s">
        <v>13</v>
      </c>
      <c r="M241" t="s">
        <v>199</v>
      </c>
      <c r="O241" t="s">
        <v>197</v>
      </c>
      <c r="P241">
        <v>12</v>
      </c>
      <c r="Q241" t="s">
        <v>203</v>
      </c>
      <c r="R241" s="6">
        <v>0.95102924958817192</v>
      </c>
      <c r="S241" s="6">
        <v>23.384277227589777</v>
      </c>
      <c r="T241" s="6">
        <v>9.966297946714036</v>
      </c>
      <c r="U241" s="6">
        <v>94.928670699523522</v>
      </c>
      <c r="V241" s="6">
        <v>0.13168477744179954</v>
      </c>
      <c r="W241" s="6">
        <v>4.2065407365661489</v>
      </c>
      <c r="X241" s="6">
        <v>2.6442620987784653</v>
      </c>
      <c r="Y241" s="6">
        <v>25.01367272626339</v>
      </c>
    </row>
    <row r="242" spans="1:25" x14ac:dyDescent="0.25">
      <c r="A242" t="str">
        <f t="shared" si="3"/>
        <v>RTD Ice TeaFranceDecemberEUR (€)Fully-AutomatedOldPET Bottle1Small-scaleMedium</v>
      </c>
      <c r="B242" t="s">
        <v>130</v>
      </c>
      <c r="C242" t="s">
        <v>130</v>
      </c>
      <c r="D242" t="s">
        <v>15</v>
      </c>
      <c r="E242" s="12" t="s">
        <v>182</v>
      </c>
      <c r="F242" t="s">
        <v>187</v>
      </c>
      <c r="G242" t="s">
        <v>12</v>
      </c>
      <c r="H242" t="s">
        <v>72</v>
      </c>
      <c r="I242" t="s">
        <v>175</v>
      </c>
      <c r="J242" s="12">
        <v>1</v>
      </c>
      <c r="K242" t="s">
        <v>60</v>
      </c>
      <c r="L242" t="s">
        <v>63</v>
      </c>
      <c r="M242" t="s">
        <v>199</v>
      </c>
      <c r="O242" t="s">
        <v>197</v>
      </c>
      <c r="P242">
        <v>12</v>
      </c>
      <c r="Q242" t="s">
        <v>203</v>
      </c>
      <c r="R242" s="6">
        <v>0.98725402129597928</v>
      </c>
      <c r="S242" s="6">
        <v>24.275883305120828</v>
      </c>
      <c r="T242" s="6">
        <v>10.345636555419302</v>
      </c>
      <c r="U242" s="6">
        <v>98.542805224562784</v>
      </c>
      <c r="V242" s="6">
        <v>0.13631040926000915</v>
      </c>
      <c r="W242" s="6">
        <v>4.3522202395450513</v>
      </c>
      <c r="X242" s="6">
        <v>2.736505474649332</v>
      </c>
      <c r="Y242" s="6">
        <v>25.885588357919612</v>
      </c>
    </row>
    <row r="243" spans="1:25" x14ac:dyDescent="0.25">
      <c r="A243" t="str">
        <f t="shared" si="3"/>
        <v>RTD Ice TeaFranceDecemberEUR (€)Fully-AutomatedOldPET Bottle1Small-scaleHigh</v>
      </c>
      <c r="B243" t="s">
        <v>130</v>
      </c>
      <c r="C243" t="s">
        <v>130</v>
      </c>
      <c r="D243" t="s">
        <v>15</v>
      </c>
      <c r="E243" s="12" t="s">
        <v>182</v>
      </c>
      <c r="F243" t="s">
        <v>187</v>
      </c>
      <c r="G243" t="s">
        <v>12</v>
      </c>
      <c r="H243" t="s">
        <v>72</v>
      </c>
      <c r="I243" t="s">
        <v>175</v>
      </c>
      <c r="J243" s="12">
        <v>1</v>
      </c>
      <c r="K243" t="s">
        <v>60</v>
      </c>
      <c r="L243" t="s">
        <v>11</v>
      </c>
      <c r="M243" t="s">
        <v>199</v>
      </c>
      <c r="O243" t="s">
        <v>197</v>
      </c>
      <c r="P243">
        <v>12</v>
      </c>
      <c r="Q243" t="s">
        <v>203</v>
      </c>
      <c r="R243" s="6">
        <v>1.0263767747404109</v>
      </c>
      <c r="S243" s="6">
        <v>25.238817868854369</v>
      </c>
      <c r="T243" s="6">
        <v>10.755322252820989</v>
      </c>
      <c r="U243" s="6">
        <v>102.44607051160517</v>
      </c>
      <c r="V243" s="6">
        <v>0.14130609162367547</v>
      </c>
      <c r="W243" s="6">
        <v>4.5095541027622659</v>
      </c>
      <c r="X243" s="6">
        <v>2.836128320589868</v>
      </c>
      <c r="Y243" s="6">
        <v>26.827257240108331</v>
      </c>
    </row>
    <row r="244" spans="1:25" x14ac:dyDescent="0.25">
      <c r="A244" t="str">
        <f t="shared" si="3"/>
        <v>RTD Ice TeaFranceDecemberEUR (€)Fully-AutomatedOldPET Bottle1High-scaleLow</v>
      </c>
      <c r="B244" t="s">
        <v>130</v>
      </c>
      <c r="C244" t="s">
        <v>130</v>
      </c>
      <c r="D244" t="s">
        <v>15</v>
      </c>
      <c r="E244" s="12" t="s">
        <v>182</v>
      </c>
      <c r="F244" t="s">
        <v>187</v>
      </c>
      <c r="G244" t="s">
        <v>12</v>
      </c>
      <c r="H244" t="s">
        <v>72</v>
      </c>
      <c r="I244" t="s">
        <v>175</v>
      </c>
      <c r="J244" s="12">
        <v>1</v>
      </c>
      <c r="K244" t="s">
        <v>107</v>
      </c>
      <c r="L244" t="s">
        <v>13</v>
      </c>
      <c r="M244" t="s">
        <v>200</v>
      </c>
      <c r="O244" t="s">
        <v>197</v>
      </c>
      <c r="P244">
        <v>12</v>
      </c>
      <c r="Q244" t="s">
        <v>203</v>
      </c>
      <c r="R244" s="6">
        <v>0.94735517551409787</v>
      </c>
      <c r="S244" s="6">
        <v>23.303269542876816</v>
      </c>
      <c r="T244" s="6">
        <v>9.924900298563184</v>
      </c>
      <c r="U244" s="6">
        <v>94.544201480122396</v>
      </c>
      <c r="V244" s="6">
        <v>0.112519277236362</v>
      </c>
      <c r="W244" s="6">
        <v>5.0889995200856557</v>
      </c>
      <c r="X244" s="6">
        <v>2.5449527668250966</v>
      </c>
      <c r="Y244" s="6">
        <v>24.741290069104956</v>
      </c>
    </row>
    <row r="245" spans="1:25" x14ac:dyDescent="0.25">
      <c r="A245" t="str">
        <f t="shared" si="3"/>
        <v>RTD Ice TeaFranceDecemberEUR (€)Fully-AutomatedOldPET Bottle1High-scaleMedium</v>
      </c>
      <c r="B245" t="s">
        <v>130</v>
      </c>
      <c r="C245" t="s">
        <v>130</v>
      </c>
      <c r="D245" t="s">
        <v>15</v>
      </c>
      <c r="E245" s="12" t="s">
        <v>182</v>
      </c>
      <c r="F245" t="s">
        <v>187</v>
      </c>
      <c r="G245" t="s">
        <v>12</v>
      </c>
      <c r="H245" t="s">
        <v>72</v>
      </c>
      <c r="I245" t="s">
        <v>175</v>
      </c>
      <c r="J245" s="12">
        <v>1</v>
      </c>
      <c r="K245" t="s">
        <v>107</v>
      </c>
      <c r="L245" t="s">
        <v>63</v>
      </c>
      <c r="M245" t="s">
        <v>200</v>
      </c>
      <c r="O245" t="s">
        <v>197</v>
      </c>
      <c r="P245">
        <v>12</v>
      </c>
      <c r="Q245" t="s">
        <v>203</v>
      </c>
      <c r="R245" s="6">
        <v>0.98357994722190512</v>
      </c>
      <c r="S245" s="6">
        <v>24.194875620407874</v>
      </c>
      <c r="T245" s="6">
        <v>10.304238907268452</v>
      </c>
      <c r="U245" s="6">
        <v>98.158336005161644</v>
      </c>
      <c r="V245" s="6">
        <v>0.11661325876176985</v>
      </c>
      <c r="W245" s="6">
        <v>5.2728160944692508</v>
      </c>
      <c r="X245" s="6">
        <v>2.637275982666317</v>
      </c>
      <c r="Y245" s="6">
        <v>25.638319337488987</v>
      </c>
    </row>
    <row r="246" spans="1:25" x14ac:dyDescent="0.25">
      <c r="A246" t="str">
        <f t="shared" si="3"/>
        <v>RTD Ice TeaFranceDecemberEUR (€)Fully-AutomatedOldPET Bottle1High-scaleHigh</v>
      </c>
      <c r="B246" t="s">
        <v>130</v>
      </c>
      <c r="C246" t="s">
        <v>130</v>
      </c>
      <c r="D246" t="s">
        <v>15</v>
      </c>
      <c r="E246" s="12" t="s">
        <v>182</v>
      </c>
      <c r="F246" t="s">
        <v>187</v>
      </c>
      <c r="G246" t="s">
        <v>12</v>
      </c>
      <c r="H246" t="s">
        <v>72</v>
      </c>
      <c r="I246" t="s">
        <v>175</v>
      </c>
      <c r="J246" s="12">
        <v>1</v>
      </c>
      <c r="K246" t="s">
        <v>107</v>
      </c>
      <c r="L246" t="s">
        <v>11</v>
      </c>
      <c r="M246" t="s">
        <v>200</v>
      </c>
      <c r="O246" t="s">
        <v>197</v>
      </c>
      <c r="P246">
        <v>12</v>
      </c>
      <c r="Q246" t="s">
        <v>203</v>
      </c>
      <c r="R246" s="6">
        <v>1.0227027006663367</v>
      </c>
      <c r="S246" s="6">
        <v>25.157810184141404</v>
      </c>
      <c r="T246" s="6">
        <v>10.71392460467014</v>
      </c>
      <c r="U246" s="6">
        <v>102.06160129220405</v>
      </c>
      <c r="V246" s="6">
        <v>0.12103475880921032</v>
      </c>
      <c r="W246" s="6">
        <v>5.4713379948035312</v>
      </c>
      <c r="X246" s="6">
        <v>2.7369850557748352</v>
      </c>
      <c r="Y246" s="6">
        <v>26.607110947343735</v>
      </c>
    </row>
    <row r="247" spans="1:25" x14ac:dyDescent="0.25">
      <c r="A247" t="str">
        <f t="shared" si="3"/>
        <v>RTD Ice TeaFranceDecemberEUR (€)Fully-AutomatedOldPET Bottle1Medium-scaleLow</v>
      </c>
      <c r="B247" t="s">
        <v>130</v>
      </c>
      <c r="C247" t="s">
        <v>130</v>
      </c>
      <c r="D247" t="s">
        <v>15</v>
      </c>
      <c r="E247" s="12" t="s">
        <v>182</v>
      </c>
      <c r="F247" t="s">
        <v>187</v>
      </c>
      <c r="G247" t="s">
        <v>12</v>
      </c>
      <c r="H247" t="s">
        <v>72</v>
      </c>
      <c r="I247" t="s">
        <v>175</v>
      </c>
      <c r="J247" s="12">
        <v>1</v>
      </c>
      <c r="K247" t="s">
        <v>62</v>
      </c>
      <c r="L247" t="s">
        <v>13</v>
      </c>
      <c r="M247" t="s">
        <v>200</v>
      </c>
      <c r="O247" t="s">
        <v>197</v>
      </c>
      <c r="P247">
        <v>12</v>
      </c>
      <c r="Q247" t="s">
        <v>203</v>
      </c>
      <c r="R247" s="6">
        <v>0.94873295329187568</v>
      </c>
      <c r="S247" s="6">
        <v>23.333647424644177</v>
      </c>
      <c r="T247" s="6">
        <v>9.940424416619754</v>
      </c>
      <c r="U247" s="6">
        <v>94.688377437397804</v>
      </c>
      <c r="V247" s="6">
        <v>0.1134321560242408</v>
      </c>
      <c r="W247" s="6">
        <v>5.1298853067667078</v>
      </c>
      <c r="X247" s="6">
        <v>2.5660328519224631</v>
      </c>
      <c r="Y247" s="6">
        <v>24.945388615702711</v>
      </c>
    </row>
    <row r="248" spans="1:25" x14ac:dyDescent="0.25">
      <c r="A248" t="str">
        <f t="shared" si="3"/>
        <v>RTD Ice TeaFranceDecemberEUR (€)Fully-AutomatedOldPET Bottle1Medium-scaleMedium</v>
      </c>
      <c r="B248" t="s">
        <v>130</v>
      </c>
      <c r="C248" t="s">
        <v>130</v>
      </c>
      <c r="D248" t="s">
        <v>15</v>
      </c>
      <c r="E248" s="12" t="s">
        <v>182</v>
      </c>
      <c r="F248" t="s">
        <v>187</v>
      </c>
      <c r="G248" t="s">
        <v>12</v>
      </c>
      <c r="H248" t="s">
        <v>72</v>
      </c>
      <c r="I248" t="s">
        <v>175</v>
      </c>
      <c r="J248" s="12">
        <v>1</v>
      </c>
      <c r="K248" t="s">
        <v>62</v>
      </c>
      <c r="L248" t="s">
        <v>63</v>
      </c>
      <c r="M248" t="s">
        <v>200</v>
      </c>
      <c r="O248" t="s">
        <v>197</v>
      </c>
      <c r="P248">
        <v>12</v>
      </c>
      <c r="Q248" t="s">
        <v>203</v>
      </c>
      <c r="R248" s="6">
        <v>0.98495772499968293</v>
      </c>
      <c r="S248" s="6">
        <v>24.225253502175232</v>
      </c>
      <c r="T248" s="6">
        <v>10.31976302532502</v>
      </c>
      <c r="U248" s="6">
        <v>98.30251196243708</v>
      </c>
      <c r="V248" s="6">
        <v>0.11752613754964865</v>
      </c>
      <c r="W248" s="6">
        <v>5.3137018811503012</v>
      </c>
      <c r="X248" s="6">
        <v>2.6583560677636831</v>
      </c>
      <c r="Y248" s="6">
        <v>25.842417884086743</v>
      </c>
    </row>
    <row r="249" spans="1:25" x14ac:dyDescent="0.25">
      <c r="A249" t="str">
        <f t="shared" si="3"/>
        <v>RTD Ice TeaFranceDecemberEUR (€)Fully-AutomatedOldPET Bottle1Medium-scaleHigh</v>
      </c>
      <c r="B249" t="s">
        <v>130</v>
      </c>
      <c r="C249" t="s">
        <v>130</v>
      </c>
      <c r="D249" t="s">
        <v>15</v>
      </c>
      <c r="E249" s="12" t="s">
        <v>182</v>
      </c>
      <c r="F249" t="s">
        <v>187</v>
      </c>
      <c r="G249" t="s">
        <v>12</v>
      </c>
      <c r="H249" t="s">
        <v>72</v>
      </c>
      <c r="I249" t="s">
        <v>175</v>
      </c>
      <c r="J249" s="12">
        <v>1</v>
      </c>
      <c r="K249" t="s">
        <v>62</v>
      </c>
      <c r="L249" t="s">
        <v>11</v>
      </c>
      <c r="M249" t="s">
        <v>200</v>
      </c>
      <c r="O249" t="s">
        <v>197</v>
      </c>
      <c r="P249">
        <v>12</v>
      </c>
      <c r="Q249" t="s">
        <v>203</v>
      </c>
      <c r="R249" s="6">
        <v>1.0240804784441147</v>
      </c>
      <c r="S249" s="6">
        <v>25.188188065908765</v>
      </c>
      <c r="T249" s="6">
        <v>10.729448722726705</v>
      </c>
      <c r="U249" s="6">
        <v>102.20577724947947</v>
      </c>
      <c r="V249" s="6">
        <v>0.12194763759708913</v>
      </c>
      <c r="W249" s="6">
        <v>5.5122237814845825</v>
      </c>
      <c r="X249" s="6">
        <v>2.7580651408722012</v>
      </c>
      <c r="Y249" s="6">
        <v>26.811209493941483</v>
      </c>
    </row>
    <row r="250" spans="1:25" x14ac:dyDescent="0.25">
      <c r="A250" t="str">
        <f t="shared" si="3"/>
        <v>RTD Ice TeaFranceDecemberEUR (€)Fully-AutomatedOldPET Bottle1Small-scaleLow</v>
      </c>
      <c r="B250" t="s">
        <v>130</v>
      </c>
      <c r="C250" t="s">
        <v>130</v>
      </c>
      <c r="D250" t="s">
        <v>15</v>
      </c>
      <c r="E250" s="12" t="s">
        <v>182</v>
      </c>
      <c r="F250" t="s">
        <v>187</v>
      </c>
      <c r="G250" t="s">
        <v>12</v>
      </c>
      <c r="H250" t="s">
        <v>72</v>
      </c>
      <c r="I250" t="s">
        <v>175</v>
      </c>
      <c r="J250" s="12">
        <v>1</v>
      </c>
      <c r="K250" t="s">
        <v>60</v>
      </c>
      <c r="L250" t="s">
        <v>13</v>
      </c>
      <c r="M250" t="s">
        <v>200</v>
      </c>
      <c r="O250" t="s">
        <v>197</v>
      </c>
      <c r="P250">
        <v>12</v>
      </c>
      <c r="Q250" t="s">
        <v>203</v>
      </c>
      <c r="R250" s="6">
        <v>0.95102924958817192</v>
      </c>
      <c r="S250" s="6">
        <v>23.384277227589777</v>
      </c>
      <c r="T250" s="6">
        <v>9.966297946714036</v>
      </c>
      <c r="U250" s="6">
        <v>94.928670699523522</v>
      </c>
      <c r="V250" s="6">
        <v>0.11495362067070543</v>
      </c>
      <c r="W250" s="6">
        <v>5.1980282845684593</v>
      </c>
      <c r="X250" s="6">
        <v>2.6011663270847398</v>
      </c>
      <c r="Y250" s="6">
        <v>25.28555286003229</v>
      </c>
    </row>
    <row r="251" spans="1:25" x14ac:dyDescent="0.25">
      <c r="A251" t="str">
        <f t="shared" si="3"/>
        <v>RTD Ice TeaFranceDecemberEUR (€)Fully-AutomatedOldPET Bottle1Small-scaleMedium</v>
      </c>
      <c r="B251" t="s">
        <v>130</v>
      </c>
      <c r="C251" t="s">
        <v>130</v>
      </c>
      <c r="D251" t="s">
        <v>15</v>
      </c>
      <c r="E251" s="12" t="s">
        <v>182</v>
      </c>
      <c r="F251" t="s">
        <v>187</v>
      </c>
      <c r="G251" t="s">
        <v>12</v>
      </c>
      <c r="H251" t="s">
        <v>72</v>
      </c>
      <c r="I251" t="s">
        <v>175</v>
      </c>
      <c r="J251" s="12">
        <v>1</v>
      </c>
      <c r="K251" t="s">
        <v>60</v>
      </c>
      <c r="L251" t="s">
        <v>63</v>
      </c>
      <c r="M251" t="s">
        <v>200</v>
      </c>
      <c r="O251" t="s">
        <v>197</v>
      </c>
      <c r="P251">
        <v>12</v>
      </c>
      <c r="Q251" t="s">
        <v>203</v>
      </c>
      <c r="R251" s="6">
        <v>0.98725402129597928</v>
      </c>
      <c r="S251" s="6">
        <v>24.275883305120828</v>
      </c>
      <c r="T251" s="6">
        <v>10.345636555419302</v>
      </c>
      <c r="U251" s="6">
        <v>98.542805224562784</v>
      </c>
      <c r="V251" s="6">
        <v>0.11904760219611328</v>
      </c>
      <c r="W251" s="6">
        <v>5.3818448589520544</v>
      </c>
      <c r="X251" s="6">
        <v>2.6934895429259602</v>
      </c>
      <c r="Y251" s="6">
        <v>26.182582128416325</v>
      </c>
    </row>
    <row r="252" spans="1:25" x14ac:dyDescent="0.25">
      <c r="A252" t="str">
        <f t="shared" si="3"/>
        <v>RTD Ice TeaFranceDecemberEUR (€)Fully-AutomatedOldPET Bottle1Small-scaleHigh</v>
      </c>
      <c r="B252" t="s">
        <v>130</v>
      </c>
      <c r="C252" t="s">
        <v>130</v>
      </c>
      <c r="D252" t="s">
        <v>15</v>
      </c>
      <c r="E252" s="12" t="s">
        <v>182</v>
      </c>
      <c r="F252" t="s">
        <v>187</v>
      </c>
      <c r="G252" t="s">
        <v>12</v>
      </c>
      <c r="H252" t="s">
        <v>72</v>
      </c>
      <c r="I252" t="s">
        <v>175</v>
      </c>
      <c r="J252" s="12">
        <v>1</v>
      </c>
      <c r="K252" t="s">
        <v>60</v>
      </c>
      <c r="L252" t="s">
        <v>11</v>
      </c>
      <c r="M252" t="s">
        <v>200</v>
      </c>
      <c r="O252" t="s">
        <v>197</v>
      </c>
      <c r="P252">
        <v>12</v>
      </c>
      <c r="Q252" t="s">
        <v>203</v>
      </c>
      <c r="R252" s="6">
        <v>1.0263767747404109</v>
      </c>
      <c r="S252" s="6">
        <v>25.238817868854369</v>
      </c>
      <c r="T252" s="6">
        <v>10.755322252820989</v>
      </c>
      <c r="U252" s="6">
        <v>102.44607051160517</v>
      </c>
      <c r="V252" s="6">
        <v>0.12346910224355377</v>
      </c>
      <c r="W252" s="6">
        <v>5.5803667592863357</v>
      </c>
      <c r="X252" s="6">
        <v>2.7931986160344779</v>
      </c>
      <c r="Y252" s="6">
        <v>27.151373738271072</v>
      </c>
    </row>
    <row r="253" spans="1:25" x14ac:dyDescent="0.25">
      <c r="A253" t="str">
        <f t="shared" si="3"/>
        <v>RTD Ice TeaFranceDecemberEUR (€)Fully-AutomatedOldPET Bottle1High-scaleLow</v>
      </c>
      <c r="B253" t="s">
        <v>130</v>
      </c>
      <c r="C253" t="s">
        <v>130</v>
      </c>
      <c r="D253" t="s">
        <v>15</v>
      </c>
      <c r="E253" s="12" t="s">
        <v>182</v>
      </c>
      <c r="F253" t="s">
        <v>187</v>
      </c>
      <c r="G253" t="s">
        <v>12</v>
      </c>
      <c r="H253" t="s">
        <v>72</v>
      </c>
      <c r="I253" t="s">
        <v>175</v>
      </c>
      <c r="J253" s="12">
        <v>1</v>
      </c>
      <c r="K253" t="s">
        <v>107</v>
      </c>
      <c r="L253" t="s">
        <v>13</v>
      </c>
      <c r="M253" t="s">
        <v>199</v>
      </c>
      <c r="O253" t="s">
        <v>197</v>
      </c>
      <c r="P253">
        <v>24</v>
      </c>
      <c r="Q253" t="s">
        <v>204</v>
      </c>
      <c r="R253" s="6">
        <v>0.94735517551409787</v>
      </c>
      <c r="S253" s="6">
        <v>23.303269542876816</v>
      </c>
      <c r="T253" s="6">
        <v>9.924900298563184</v>
      </c>
      <c r="U253" s="6">
        <v>94.544201480122396</v>
      </c>
      <c r="V253" s="6">
        <v>0.10482449569512298</v>
      </c>
      <c r="W253" s="6">
        <v>3.4381924464011813</v>
      </c>
      <c r="X253" s="6">
        <v>2.219241497169155</v>
      </c>
      <c r="Y253" s="6">
        <v>20.929503357914548</v>
      </c>
    </row>
    <row r="254" spans="1:25" x14ac:dyDescent="0.25">
      <c r="A254" t="str">
        <f t="shared" si="3"/>
        <v>RTD Ice TeaFranceDecemberEUR (€)Fully-AutomatedOldPET Bottle1High-scaleMedium</v>
      </c>
      <c r="B254" t="s">
        <v>130</v>
      </c>
      <c r="C254" t="s">
        <v>130</v>
      </c>
      <c r="D254" t="s">
        <v>15</v>
      </c>
      <c r="E254" s="12" t="s">
        <v>182</v>
      </c>
      <c r="F254" t="s">
        <v>187</v>
      </c>
      <c r="G254" t="s">
        <v>12</v>
      </c>
      <c r="H254" t="s">
        <v>72</v>
      </c>
      <c r="I254" t="s">
        <v>175</v>
      </c>
      <c r="J254" s="12">
        <v>1</v>
      </c>
      <c r="K254" t="s">
        <v>107</v>
      </c>
      <c r="L254" t="s">
        <v>63</v>
      </c>
      <c r="M254" t="s">
        <v>199</v>
      </c>
      <c r="O254" t="s">
        <v>197</v>
      </c>
      <c r="P254">
        <v>24</v>
      </c>
      <c r="Q254" t="s">
        <v>204</v>
      </c>
      <c r="R254" s="6">
        <v>0.98357994722190512</v>
      </c>
      <c r="S254" s="6">
        <v>24.194875620407874</v>
      </c>
      <c r="T254" s="6">
        <v>10.304238907268452</v>
      </c>
      <c r="U254" s="6">
        <v>98.158336005161644</v>
      </c>
      <c r="V254" s="6">
        <v>0.10855405089085615</v>
      </c>
      <c r="W254" s="6">
        <v>3.5586586871158903</v>
      </c>
      <c r="X254" s="6">
        <v>2.2977632854078331</v>
      </c>
      <c r="Y254" s="6">
        <v>21.669279861466936</v>
      </c>
    </row>
    <row r="255" spans="1:25" x14ac:dyDescent="0.25">
      <c r="A255" t="str">
        <f t="shared" si="3"/>
        <v>RTD Ice TeaFranceDecemberEUR (€)Fully-AutomatedOldPET Bottle1High-scaleHigh</v>
      </c>
      <c r="B255" t="s">
        <v>130</v>
      </c>
      <c r="C255" t="s">
        <v>130</v>
      </c>
      <c r="D255" t="s">
        <v>15</v>
      </c>
      <c r="E255" s="12" t="s">
        <v>182</v>
      </c>
      <c r="F255" t="s">
        <v>187</v>
      </c>
      <c r="G255" t="s">
        <v>12</v>
      </c>
      <c r="H255" t="s">
        <v>72</v>
      </c>
      <c r="I255" t="s">
        <v>175</v>
      </c>
      <c r="J255" s="12">
        <v>1</v>
      </c>
      <c r="K255" t="s">
        <v>107</v>
      </c>
      <c r="L255" t="s">
        <v>11</v>
      </c>
      <c r="M255" t="s">
        <v>199</v>
      </c>
      <c r="O255" t="s">
        <v>197</v>
      </c>
      <c r="P255">
        <v>24</v>
      </c>
      <c r="Q255" t="s">
        <v>204</v>
      </c>
      <c r="R255" s="6">
        <v>1.0227027006663367</v>
      </c>
      <c r="S255" s="6">
        <v>25.157810184141404</v>
      </c>
      <c r="T255" s="6">
        <v>10.71392460467014</v>
      </c>
      <c r="U255" s="6">
        <v>102.06160129220405</v>
      </c>
      <c r="V255" s="6">
        <v>0.11258197050224797</v>
      </c>
      <c r="W255" s="6">
        <v>3.6887622270877758</v>
      </c>
      <c r="X255" s="6">
        <v>2.382566816705606</v>
      </c>
      <c r="Y255" s="6">
        <v>22.468238485303516</v>
      </c>
    </row>
    <row r="256" spans="1:25" x14ac:dyDescent="0.25">
      <c r="A256" t="str">
        <f t="shared" si="3"/>
        <v>RTD Ice TeaFranceDecemberEUR (€)Fully-AutomatedOldPET Bottle1Medium-scaleLow</v>
      </c>
      <c r="B256" t="s">
        <v>130</v>
      </c>
      <c r="C256" t="s">
        <v>130</v>
      </c>
      <c r="D256" t="s">
        <v>15</v>
      </c>
      <c r="E256" s="12" t="s">
        <v>182</v>
      </c>
      <c r="F256" t="s">
        <v>187</v>
      </c>
      <c r="G256" t="s">
        <v>12</v>
      </c>
      <c r="H256" t="s">
        <v>72</v>
      </c>
      <c r="I256" t="s">
        <v>175</v>
      </c>
      <c r="J256" s="12">
        <v>1</v>
      </c>
      <c r="K256" t="s">
        <v>62</v>
      </c>
      <c r="L256" t="s">
        <v>13</v>
      </c>
      <c r="M256" t="s">
        <v>199</v>
      </c>
      <c r="O256" t="s">
        <v>197</v>
      </c>
      <c r="P256">
        <v>24</v>
      </c>
      <c r="Q256" t="s">
        <v>204</v>
      </c>
      <c r="R256" s="6">
        <v>0.94873295329187568</v>
      </c>
      <c r="S256" s="6">
        <v>23.333647424644177</v>
      </c>
      <c r="T256" s="6">
        <v>9.940424416619754</v>
      </c>
      <c r="U256" s="6">
        <v>94.688377437397804</v>
      </c>
      <c r="V256" s="6">
        <v>0.10562373811936542</v>
      </c>
      <c r="W256" s="6">
        <v>3.4661739146240138</v>
      </c>
      <c r="X256" s="6">
        <v>2.2373101415383259</v>
      </c>
      <c r="Y256" s="6">
        <v>21.099864603300531</v>
      </c>
    </row>
    <row r="257" spans="1:25" x14ac:dyDescent="0.25">
      <c r="A257" t="str">
        <f t="shared" si="3"/>
        <v>RTD Ice TeaFranceDecemberEUR (€)Fully-AutomatedOldPET Bottle1Medium-scaleMedium</v>
      </c>
      <c r="B257" t="s">
        <v>130</v>
      </c>
      <c r="C257" t="s">
        <v>130</v>
      </c>
      <c r="D257" t="s">
        <v>15</v>
      </c>
      <c r="E257" s="12" t="s">
        <v>182</v>
      </c>
      <c r="F257" t="s">
        <v>187</v>
      </c>
      <c r="G257" t="s">
        <v>12</v>
      </c>
      <c r="H257" t="s">
        <v>72</v>
      </c>
      <c r="I257" t="s">
        <v>175</v>
      </c>
      <c r="J257" s="12">
        <v>1</v>
      </c>
      <c r="K257" t="s">
        <v>62</v>
      </c>
      <c r="L257" t="s">
        <v>63</v>
      </c>
      <c r="M257" t="s">
        <v>199</v>
      </c>
      <c r="O257" t="s">
        <v>197</v>
      </c>
      <c r="P257">
        <v>24</v>
      </c>
      <c r="Q257" t="s">
        <v>204</v>
      </c>
      <c r="R257" s="6">
        <v>0.98495772499968293</v>
      </c>
      <c r="S257" s="6">
        <v>24.225253502175232</v>
      </c>
      <c r="T257" s="6">
        <v>10.31976302532502</v>
      </c>
      <c r="U257" s="6">
        <v>98.30251196243708</v>
      </c>
      <c r="V257" s="6">
        <v>0.10935329331509859</v>
      </c>
      <c r="W257" s="6">
        <v>3.5866401553387228</v>
      </c>
      <c r="X257" s="6">
        <v>2.315831929777004</v>
      </c>
      <c r="Y257" s="6">
        <v>21.839641106852916</v>
      </c>
    </row>
    <row r="258" spans="1:25" x14ac:dyDescent="0.25">
      <c r="A258" t="str">
        <f t="shared" ref="A258:A321" si="4">C258&amp;D258&amp;E258&amp;F258&amp;G258&amp;H258&amp;I258&amp;J258&amp;K258&amp;L258</f>
        <v>RTD Ice TeaFranceDecemberEUR (€)Fully-AutomatedOldPET Bottle1Medium-scaleHigh</v>
      </c>
      <c r="B258" t="s">
        <v>130</v>
      </c>
      <c r="C258" t="s">
        <v>130</v>
      </c>
      <c r="D258" t="s">
        <v>15</v>
      </c>
      <c r="E258" s="12" t="s">
        <v>182</v>
      </c>
      <c r="F258" t="s">
        <v>187</v>
      </c>
      <c r="G258" t="s">
        <v>12</v>
      </c>
      <c r="H258" t="s">
        <v>72</v>
      </c>
      <c r="I258" t="s">
        <v>175</v>
      </c>
      <c r="J258" s="12">
        <v>1</v>
      </c>
      <c r="K258" t="s">
        <v>62</v>
      </c>
      <c r="L258" t="s">
        <v>11</v>
      </c>
      <c r="M258" t="s">
        <v>199</v>
      </c>
      <c r="O258" t="s">
        <v>197</v>
      </c>
      <c r="P258">
        <v>24</v>
      </c>
      <c r="Q258" t="s">
        <v>204</v>
      </c>
      <c r="R258" s="6">
        <v>1.0240804784441147</v>
      </c>
      <c r="S258" s="6">
        <v>25.188188065908765</v>
      </c>
      <c r="T258" s="6">
        <v>10.729448722726705</v>
      </c>
      <c r="U258" s="6">
        <v>102.20577724947947</v>
      </c>
      <c r="V258" s="6">
        <v>0.11338121292649038</v>
      </c>
      <c r="W258" s="6">
        <v>3.7167436953106083</v>
      </c>
      <c r="X258" s="6">
        <v>2.4006354610747769</v>
      </c>
      <c r="Y258" s="6">
        <v>22.638599730689499</v>
      </c>
    </row>
    <row r="259" spans="1:25" x14ac:dyDescent="0.25">
      <c r="A259" t="str">
        <f t="shared" si="4"/>
        <v>RTD Ice TeaFranceDecemberEUR (€)Fully-AutomatedOldPET Bottle1Small-scaleLow</v>
      </c>
      <c r="B259" t="s">
        <v>130</v>
      </c>
      <c r="C259" t="s">
        <v>130</v>
      </c>
      <c r="D259" t="s">
        <v>15</v>
      </c>
      <c r="E259" s="12" t="s">
        <v>182</v>
      </c>
      <c r="F259" t="s">
        <v>187</v>
      </c>
      <c r="G259" t="s">
        <v>12</v>
      </c>
      <c r="H259" t="s">
        <v>72</v>
      </c>
      <c r="I259" t="s">
        <v>175</v>
      </c>
      <c r="J259" s="12">
        <v>1</v>
      </c>
      <c r="K259" t="s">
        <v>60</v>
      </c>
      <c r="L259" t="s">
        <v>13</v>
      </c>
      <c r="M259" t="s">
        <v>199</v>
      </c>
      <c r="O259" t="s">
        <v>197</v>
      </c>
      <c r="P259">
        <v>24</v>
      </c>
      <c r="Q259" t="s">
        <v>204</v>
      </c>
      <c r="R259" s="6">
        <v>0.95102924958817192</v>
      </c>
      <c r="S259" s="6">
        <v>23.384277227589777</v>
      </c>
      <c r="T259" s="6">
        <v>9.966297946714036</v>
      </c>
      <c r="U259" s="6">
        <v>94.928670699523522</v>
      </c>
      <c r="V259" s="6">
        <v>0.10695580882643611</v>
      </c>
      <c r="W259" s="6">
        <v>3.512809694995402</v>
      </c>
      <c r="X259" s="6">
        <v>2.2674245488202773</v>
      </c>
      <c r="Y259" s="6">
        <v>21.383800012277156</v>
      </c>
    </row>
    <row r="260" spans="1:25" x14ac:dyDescent="0.25">
      <c r="A260" t="str">
        <f t="shared" si="4"/>
        <v>RTD Ice TeaFranceDecemberEUR (€)Fully-AutomatedOldPET Bottle1Small-scaleMedium</v>
      </c>
      <c r="B260" t="s">
        <v>130</v>
      </c>
      <c r="C260" t="s">
        <v>130</v>
      </c>
      <c r="D260" t="s">
        <v>15</v>
      </c>
      <c r="E260" s="12" t="s">
        <v>182</v>
      </c>
      <c r="F260" t="s">
        <v>187</v>
      </c>
      <c r="G260" t="s">
        <v>12</v>
      </c>
      <c r="H260" t="s">
        <v>72</v>
      </c>
      <c r="I260" t="s">
        <v>175</v>
      </c>
      <c r="J260" s="12">
        <v>1</v>
      </c>
      <c r="K260" t="s">
        <v>60</v>
      </c>
      <c r="L260" t="s">
        <v>63</v>
      </c>
      <c r="M260" t="s">
        <v>199</v>
      </c>
      <c r="O260" t="s">
        <v>197</v>
      </c>
      <c r="P260">
        <v>24</v>
      </c>
      <c r="Q260" t="s">
        <v>204</v>
      </c>
      <c r="R260" s="6">
        <v>0.98725402129597928</v>
      </c>
      <c r="S260" s="6">
        <v>24.275883305120828</v>
      </c>
      <c r="T260" s="6">
        <v>10.345636555419302</v>
      </c>
      <c r="U260" s="6">
        <v>98.542805224562784</v>
      </c>
      <c r="V260" s="6">
        <v>0.11068536402216929</v>
      </c>
      <c r="W260" s="6">
        <v>3.6332759357101101</v>
      </c>
      <c r="X260" s="6">
        <v>2.3459463370589559</v>
      </c>
      <c r="Y260" s="6">
        <v>22.123576515829551</v>
      </c>
    </row>
    <row r="261" spans="1:25" x14ac:dyDescent="0.25">
      <c r="A261" t="str">
        <f t="shared" si="4"/>
        <v>RTD Ice TeaFranceDecemberEUR (€)Fully-AutomatedOldPET Bottle1Small-scaleHigh</v>
      </c>
      <c r="B261" t="s">
        <v>130</v>
      </c>
      <c r="C261" t="s">
        <v>130</v>
      </c>
      <c r="D261" t="s">
        <v>15</v>
      </c>
      <c r="E261" s="12" t="s">
        <v>182</v>
      </c>
      <c r="F261" t="s">
        <v>187</v>
      </c>
      <c r="G261" t="s">
        <v>12</v>
      </c>
      <c r="H261" t="s">
        <v>72</v>
      </c>
      <c r="I261" t="s">
        <v>175</v>
      </c>
      <c r="J261" s="12">
        <v>1</v>
      </c>
      <c r="K261" t="s">
        <v>60</v>
      </c>
      <c r="L261" t="s">
        <v>11</v>
      </c>
      <c r="M261" t="s">
        <v>199</v>
      </c>
      <c r="O261" t="s">
        <v>197</v>
      </c>
      <c r="P261">
        <v>24</v>
      </c>
      <c r="Q261" t="s">
        <v>204</v>
      </c>
      <c r="R261" s="6">
        <v>1.0263767747404109</v>
      </c>
      <c r="S261" s="6">
        <v>25.238817868854369</v>
      </c>
      <c r="T261" s="6">
        <v>10.755322252820989</v>
      </c>
      <c r="U261" s="6">
        <v>102.44607051160517</v>
      </c>
      <c r="V261" s="6">
        <v>0.11471328363356109</v>
      </c>
      <c r="W261" s="6">
        <v>3.7633794756819952</v>
      </c>
      <c r="X261" s="6">
        <v>2.4307498683567288</v>
      </c>
      <c r="Y261" s="6">
        <v>22.922535139666135</v>
      </c>
    </row>
    <row r="262" spans="1:25" x14ac:dyDescent="0.25">
      <c r="A262" t="str">
        <f t="shared" si="4"/>
        <v>RTD Ice TeaFranceDecemberEUR (€)Fully-AutomatedOldPET Bottle1High-scaleLow</v>
      </c>
      <c r="B262" t="s">
        <v>130</v>
      </c>
      <c r="C262" t="s">
        <v>130</v>
      </c>
      <c r="D262" t="s">
        <v>15</v>
      </c>
      <c r="E262" s="12" t="s">
        <v>182</v>
      </c>
      <c r="F262" t="s">
        <v>187</v>
      </c>
      <c r="G262" t="s">
        <v>12</v>
      </c>
      <c r="H262" t="s">
        <v>72</v>
      </c>
      <c r="I262" t="s">
        <v>175</v>
      </c>
      <c r="J262" s="12">
        <v>1</v>
      </c>
      <c r="K262" t="s">
        <v>107</v>
      </c>
      <c r="L262" t="s">
        <v>13</v>
      </c>
      <c r="M262" t="s">
        <v>200</v>
      </c>
      <c r="O262" t="s">
        <v>197</v>
      </c>
      <c r="P262">
        <v>24</v>
      </c>
      <c r="Q262" t="s">
        <v>204</v>
      </c>
      <c r="R262" s="6">
        <v>0.94735517551409787</v>
      </c>
      <c r="S262" s="6">
        <v>23.303269542876816</v>
      </c>
      <c r="T262" s="6">
        <v>9.924900298563184</v>
      </c>
      <c r="U262" s="6">
        <v>94.544201480122396</v>
      </c>
      <c r="V262" s="6">
        <v>8.8362699193389141E-2</v>
      </c>
      <c r="W262" s="6">
        <v>4.4105429675955934</v>
      </c>
      <c r="X262" s="6">
        <v>2.1761457254754291</v>
      </c>
      <c r="Y262" s="6">
        <v>21.189119508433393</v>
      </c>
    </row>
    <row r="263" spans="1:25" x14ac:dyDescent="0.25">
      <c r="A263" t="str">
        <f t="shared" si="4"/>
        <v>RTD Ice TeaFranceDecemberEUR (€)Fully-AutomatedOldPET Bottle1High-scaleMedium</v>
      </c>
      <c r="B263" t="s">
        <v>130</v>
      </c>
      <c r="C263" t="s">
        <v>130</v>
      </c>
      <c r="D263" t="s">
        <v>15</v>
      </c>
      <c r="E263" s="12" t="s">
        <v>182</v>
      </c>
      <c r="F263" t="s">
        <v>187</v>
      </c>
      <c r="G263" t="s">
        <v>12</v>
      </c>
      <c r="H263" t="s">
        <v>72</v>
      </c>
      <c r="I263" t="s">
        <v>175</v>
      </c>
      <c r="J263" s="12">
        <v>1</v>
      </c>
      <c r="K263" t="s">
        <v>107</v>
      </c>
      <c r="L263" t="s">
        <v>63</v>
      </c>
      <c r="M263" t="s">
        <v>200</v>
      </c>
      <c r="O263" t="s">
        <v>197</v>
      </c>
      <c r="P263">
        <v>24</v>
      </c>
      <c r="Q263" t="s">
        <v>204</v>
      </c>
      <c r="R263" s="6">
        <v>0.98357994722190512</v>
      </c>
      <c r="S263" s="6">
        <v>24.194875620407874</v>
      </c>
      <c r="T263" s="6">
        <v>10.304238907268452</v>
      </c>
      <c r="U263" s="6">
        <v>98.158336005161644</v>
      </c>
      <c r="V263" s="6">
        <v>9.156060409632058E-2</v>
      </c>
      <c r="W263" s="6">
        <v>4.5691462797149942</v>
      </c>
      <c r="X263" s="6">
        <v>2.2547473536844613</v>
      </c>
      <c r="Y263" s="6">
        <v>21.954009648713594</v>
      </c>
    </row>
    <row r="264" spans="1:25" x14ac:dyDescent="0.25">
      <c r="A264" t="str">
        <f t="shared" si="4"/>
        <v>RTD Ice TeaFranceDecemberEUR (€)Fully-AutomatedOldPET Bottle1High-scaleHigh</v>
      </c>
      <c r="B264" t="s">
        <v>130</v>
      </c>
      <c r="C264" t="s">
        <v>130</v>
      </c>
      <c r="D264" t="s">
        <v>15</v>
      </c>
      <c r="E264" s="12" t="s">
        <v>182</v>
      </c>
      <c r="F264" t="s">
        <v>187</v>
      </c>
      <c r="G264" t="s">
        <v>12</v>
      </c>
      <c r="H264" t="s">
        <v>72</v>
      </c>
      <c r="I264" t="s">
        <v>175</v>
      </c>
      <c r="J264" s="12">
        <v>1</v>
      </c>
      <c r="K264" t="s">
        <v>107</v>
      </c>
      <c r="L264" t="s">
        <v>11</v>
      </c>
      <c r="M264" t="s">
        <v>200</v>
      </c>
      <c r="O264" t="s">
        <v>197</v>
      </c>
      <c r="P264">
        <v>24</v>
      </c>
      <c r="Q264" t="s">
        <v>204</v>
      </c>
      <c r="R264" s="6">
        <v>1.0227027006663367</v>
      </c>
      <c r="S264" s="6">
        <v>25.157810184141404</v>
      </c>
      <c r="T264" s="6">
        <v>10.71392460467014</v>
      </c>
      <c r="U264" s="6">
        <v>102.06160129220405</v>
      </c>
      <c r="V264" s="6">
        <v>9.5014341391486512E-2</v>
      </c>
      <c r="W264" s="6">
        <v>4.7404378568039469</v>
      </c>
      <c r="X264" s="6">
        <v>2.3396371121502164</v>
      </c>
      <c r="Y264" s="6">
        <v>22.780091000216206</v>
      </c>
    </row>
    <row r="265" spans="1:25" x14ac:dyDescent="0.25">
      <c r="A265" t="str">
        <f t="shared" si="4"/>
        <v>RTD Ice TeaFranceDecemberEUR (€)Fully-AutomatedOldPET Bottle1Medium-scaleLow</v>
      </c>
      <c r="B265" t="s">
        <v>130</v>
      </c>
      <c r="C265" t="s">
        <v>130</v>
      </c>
      <c r="D265" t="s">
        <v>15</v>
      </c>
      <c r="E265" s="12" t="s">
        <v>182</v>
      </c>
      <c r="F265" t="s">
        <v>187</v>
      </c>
      <c r="G265" t="s">
        <v>12</v>
      </c>
      <c r="H265" t="s">
        <v>72</v>
      </c>
      <c r="I265" t="s">
        <v>175</v>
      </c>
      <c r="J265" s="12">
        <v>1</v>
      </c>
      <c r="K265" t="s">
        <v>62</v>
      </c>
      <c r="L265" t="s">
        <v>13</v>
      </c>
      <c r="M265" t="s">
        <v>200</v>
      </c>
      <c r="O265" t="s">
        <v>197</v>
      </c>
      <c r="P265">
        <v>24</v>
      </c>
      <c r="Q265" t="s">
        <v>204</v>
      </c>
      <c r="R265" s="6">
        <v>0.94873295329187568</v>
      </c>
      <c r="S265" s="6">
        <v>23.333647424644177</v>
      </c>
      <c r="T265" s="6">
        <v>9.940424416619754</v>
      </c>
      <c r="U265" s="6">
        <v>94.688377437397804</v>
      </c>
      <c r="V265" s="6">
        <v>8.9060931516621464E-2</v>
      </c>
      <c r="W265" s="6">
        <v>4.4457008208713882</v>
      </c>
      <c r="X265" s="6">
        <v>2.1942143698446004</v>
      </c>
      <c r="Y265" s="6">
        <v>21.364079747538145</v>
      </c>
    </row>
    <row r="266" spans="1:25" x14ac:dyDescent="0.25">
      <c r="A266" t="str">
        <f t="shared" si="4"/>
        <v>RTD Ice TeaFranceDecemberEUR (€)Fully-AutomatedOldPET Bottle1Medium-scaleMedium</v>
      </c>
      <c r="B266" t="s">
        <v>130</v>
      </c>
      <c r="C266" t="s">
        <v>130</v>
      </c>
      <c r="D266" t="s">
        <v>15</v>
      </c>
      <c r="E266" s="12" t="s">
        <v>182</v>
      </c>
      <c r="F266" t="s">
        <v>187</v>
      </c>
      <c r="G266" t="s">
        <v>12</v>
      </c>
      <c r="H266" t="s">
        <v>72</v>
      </c>
      <c r="I266" t="s">
        <v>175</v>
      </c>
      <c r="J266" s="12">
        <v>1</v>
      </c>
      <c r="K266" t="s">
        <v>62</v>
      </c>
      <c r="L266" t="s">
        <v>63</v>
      </c>
      <c r="M266" t="s">
        <v>200</v>
      </c>
      <c r="O266" t="s">
        <v>197</v>
      </c>
      <c r="P266">
        <v>24</v>
      </c>
      <c r="Q266" t="s">
        <v>204</v>
      </c>
      <c r="R266" s="6">
        <v>0.98495772499968293</v>
      </c>
      <c r="S266" s="6">
        <v>24.225253502175232</v>
      </c>
      <c r="T266" s="6">
        <v>10.31976302532502</v>
      </c>
      <c r="U266" s="6">
        <v>98.30251196243708</v>
      </c>
      <c r="V266" s="6">
        <v>9.2258836419552903E-2</v>
      </c>
      <c r="W266" s="6">
        <v>4.6043041329907881</v>
      </c>
      <c r="X266" s="6">
        <v>2.2728159980536322</v>
      </c>
      <c r="Y266" s="6">
        <v>22.128969887818343</v>
      </c>
    </row>
    <row r="267" spans="1:25" x14ac:dyDescent="0.25">
      <c r="A267" t="str">
        <f t="shared" si="4"/>
        <v>RTD Ice TeaFranceDecemberEUR (€)Fully-AutomatedOldPET Bottle1Medium-scaleHigh</v>
      </c>
      <c r="B267" t="s">
        <v>130</v>
      </c>
      <c r="C267" t="s">
        <v>130</v>
      </c>
      <c r="D267" t="s">
        <v>15</v>
      </c>
      <c r="E267" s="12" t="s">
        <v>182</v>
      </c>
      <c r="F267" t="s">
        <v>187</v>
      </c>
      <c r="G267" t="s">
        <v>12</v>
      </c>
      <c r="H267" t="s">
        <v>72</v>
      </c>
      <c r="I267" t="s">
        <v>175</v>
      </c>
      <c r="J267" s="12">
        <v>1</v>
      </c>
      <c r="K267" t="s">
        <v>62</v>
      </c>
      <c r="L267" t="s">
        <v>11</v>
      </c>
      <c r="M267" t="s">
        <v>200</v>
      </c>
      <c r="O267" t="s">
        <v>197</v>
      </c>
      <c r="P267">
        <v>24</v>
      </c>
      <c r="Q267" t="s">
        <v>204</v>
      </c>
      <c r="R267" s="6">
        <v>1.0240804784441147</v>
      </c>
      <c r="S267" s="6">
        <v>25.188188065908765</v>
      </c>
      <c r="T267" s="6">
        <v>10.729448722726705</v>
      </c>
      <c r="U267" s="6">
        <v>102.20577724947947</v>
      </c>
      <c r="V267" s="6">
        <v>9.5712573714718835E-2</v>
      </c>
      <c r="W267" s="6">
        <v>4.7755957100797408</v>
      </c>
      <c r="X267" s="6">
        <v>2.3577057565193873</v>
      </c>
      <c r="Y267" s="6">
        <v>22.955051239320955</v>
      </c>
    </row>
    <row r="268" spans="1:25" x14ac:dyDescent="0.25">
      <c r="A268" t="str">
        <f t="shared" si="4"/>
        <v>RTD Ice TeaFranceDecemberEUR (€)Fully-AutomatedOldPET Bottle1Small-scaleLow</v>
      </c>
      <c r="B268" t="s">
        <v>130</v>
      </c>
      <c r="C268" t="s">
        <v>130</v>
      </c>
      <c r="D268" t="s">
        <v>15</v>
      </c>
      <c r="E268" s="12" t="s">
        <v>182</v>
      </c>
      <c r="F268" t="s">
        <v>187</v>
      </c>
      <c r="G268" t="s">
        <v>12</v>
      </c>
      <c r="H268" t="s">
        <v>72</v>
      </c>
      <c r="I268" t="s">
        <v>175</v>
      </c>
      <c r="J268" s="12">
        <v>1</v>
      </c>
      <c r="K268" t="s">
        <v>60</v>
      </c>
      <c r="L268" t="s">
        <v>13</v>
      </c>
      <c r="M268" t="s">
        <v>200</v>
      </c>
      <c r="O268" t="s">
        <v>197</v>
      </c>
      <c r="P268">
        <v>24</v>
      </c>
      <c r="Q268" t="s">
        <v>204</v>
      </c>
      <c r="R268" s="6">
        <v>0.95102924958817192</v>
      </c>
      <c r="S268" s="6">
        <v>23.384277227589777</v>
      </c>
      <c r="T268" s="6">
        <v>9.966297946714036</v>
      </c>
      <c r="U268" s="6">
        <v>94.928670699523522</v>
      </c>
      <c r="V268" s="6">
        <v>9.0224652055341997E-2</v>
      </c>
      <c r="W268" s="6">
        <v>4.5042972429977119</v>
      </c>
      <c r="X268" s="6">
        <v>2.2243287771265519</v>
      </c>
      <c r="Y268" s="6">
        <v>21.655680146046059</v>
      </c>
    </row>
    <row r="269" spans="1:25" x14ac:dyDescent="0.25">
      <c r="A269" t="str">
        <f t="shared" si="4"/>
        <v>RTD Ice TeaFranceDecemberEUR (€)Fully-AutomatedOldPET Bottle1Small-scaleMedium</v>
      </c>
      <c r="B269" t="s">
        <v>130</v>
      </c>
      <c r="C269" t="s">
        <v>130</v>
      </c>
      <c r="D269" t="s">
        <v>15</v>
      </c>
      <c r="E269" s="12" t="s">
        <v>182</v>
      </c>
      <c r="F269" t="s">
        <v>187</v>
      </c>
      <c r="G269" t="s">
        <v>12</v>
      </c>
      <c r="H269" t="s">
        <v>72</v>
      </c>
      <c r="I269" t="s">
        <v>175</v>
      </c>
      <c r="J269" s="12">
        <v>1</v>
      </c>
      <c r="K269" t="s">
        <v>60</v>
      </c>
      <c r="L269" t="s">
        <v>63</v>
      </c>
      <c r="M269" t="s">
        <v>200</v>
      </c>
      <c r="O269" t="s">
        <v>197</v>
      </c>
      <c r="P269">
        <v>24</v>
      </c>
      <c r="Q269" t="s">
        <v>204</v>
      </c>
      <c r="R269" s="6">
        <v>0.98725402129597928</v>
      </c>
      <c r="S269" s="6">
        <v>24.275883305120828</v>
      </c>
      <c r="T269" s="6">
        <v>10.345636555419302</v>
      </c>
      <c r="U269" s="6">
        <v>98.542805224562784</v>
      </c>
      <c r="V269" s="6">
        <v>9.3422556958273437E-2</v>
      </c>
      <c r="W269" s="6">
        <v>4.6629005551171128</v>
      </c>
      <c r="X269" s="6">
        <v>2.3029304053355841</v>
      </c>
      <c r="Y269" s="6">
        <v>22.42057028632626</v>
      </c>
    </row>
    <row r="270" spans="1:25" x14ac:dyDescent="0.25">
      <c r="A270" t="str">
        <f t="shared" si="4"/>
        <v>RTD Ice TeaFranceDecemberEUR (€)Fully-AutomatedOldPET Bottle1Small-scaleHigh</v>
      </c>
      <c r="B270" t="s">
        <v>130</v>
      </c>
      <c r="C270" t="s">
        <v>130</v>
      </c>
      <c r="D270" t="s">
        <v>15</v>
      </c>
      <c r="E270" s="12" t="s">
        <v>182</v>
      </c>
      <c r="F270" t="s">
        <v>187</v>
      </c>
      <c r="G270" t="s">
        <v>12</v>
      </c>
      <c r="H270" t="s">
        <v>72</v>
      </c>
      <c r="I270" t="s">
        <v>175</v>
      </c>
      <c r="J270" s="12">
        <v>1</v>
      </c>
      <c r="K270" t="s">
        <v>60</v>
      </c>
      <c r="L270" t="s">
        <v>11</v>
      </c>
      <c r="M270" t="s">
        <v>200</v>
      </c>
      <c r="O270" t="s">
        <v>197</v>
      </c>
      <c r="P270">
        <v>24</v>
      </c>
      <c r="Q270" t="s">
        <v>204</v>
      </c>
      <c r="R270" s="6">
        <v>1.0263767747404109</v>
      </c>
      <c r="S270" s="6">
        <v>25.238817868854369</v>
      </c>
      <c r="T270" s="6">
        <v>10.755322252820989</v>
      </c>
      <c r="U270" s="6">
        <v>102.44607051160517</v>
      </c>
      <c r="V270" s="6">
        <v>9.6876294253439382E-2</v>
      </c>
      <c r="W270" s="6">
        <v>4.8341921322060646</v>
      </c>
      <c r="X270" s="6">
        <v>2.3878201638013388</v>
      </c>
      <c r="Y270" s="6">
        <v>23.246651637828876</v>
      </c>
    </row>
    <row r="271" spans="1:25" x14ac:dyDescent="0.25">
      <c r="A271" t="str">
        <f t="shared" si="4"/>
        <v>RTD Ice TeaFranceDecemberEUR (€)Fully-AutomatedOldPET Bottle1.5High-scaleLow</v>
      </c>
      <c r="B271" t="s">
        <v>130</v>
      </c>
      <c r="C271" t="s">
        <v>130</v>
      </c>
      <c r="D271" t="s">
        <v>15</v>
      </c>
      <c r="E271" s="12" t="s">
        <v>182</v>
      </c>
      <c r="F271" t="s">
        <v>187</v>
      </c>
      <c r="G271" t="s">
        <v>12</v>
      </c>
      <c r="H271" t="s">
        <v>72</v>
      </c>
      <c r="I271" t="s">
        <v>175</v>
      </c>
      <c r="J271" s="12">
        <v>1.5</v>
      </c>
      <c r="K271" t="s">
        <v>107</v>
      </c>
      <c r="L271" t="s">
        <v>13</v>
      </c>
      <c r="M271" t="s">
        <v>199</v>
      </c>
      <c r="O271" t="s">
        <v>197</v>
      </c>
      <c r="P271">
        <v>4</v>
      </c>
      <c r="Q271" t="s">
        <v>198</v>
      </c>
      <c r="R271" s="6">
        <v>0.94735517551409787</v>
      </c>
      <c r="S271" s="6">
        <v>23.303269542876816</v>
      </c>
      <c r="T271" s="6">
        <v>9.924900298563184</v>
      </c>
      <c r="U271" s="6">
        <v>94.544201480122396</v>
      </c>
      <c r="V271" s="6">
        <v>0.10588733505682296</v>
      </c>
      <c r="W271" s="6">
        <v>3.3076140838670645</v>
      </c>
      <c r="X271" s="6">
        <v>2.0270428922908699</v>
      </c>
      <c r="Y271" s="6">
        <v>19.232156538005597</v>
      </c>
    </row>
    <row r="272" spans="1:25" x14ac:dyDescent="0.25">
      <c r="A272" t="str">
        <f t="shared" si="4"/>
        <v>RTD Ice TeaFranceDecemberEUR (€)Fully-AutomatedOldPET Bottle1.5High-scaleMedium</v>
      </c>
      <c r="B272" t="s">
        <v>130</v>
      </c>
      <c r="C272" t="s">
        <v>130</v>
      </c>
      <c r="D272" t="s">
        <v>15</v>
      </c>
      <c r="E272" s="12" t="s">
        <v>182</v>
      </c>
      <c r="F272" t="s">
        <v>187</v>
      </c>
      <c r="G272" t="s">
        <v>12</v>
      </c>
      <c r="H272" t="s">
        <v>72</v>
      </c>
      <c r="I272" t="s">
        <v>175</v>
      </c>
      <c r="J272" s="12">
        <v>1.5</v>
      </c>
      <c r="K272" t="s">
        <v>107</v>
      </c>
      <c r="L272" t="s">
        <v>63</v>
      </c>
      <c r="M272" t="s">
        <v>199</v>
      </c>
      <c r="O272" t="s">
        <v>197</v>
      </c>
      <c r="P272">
        <v>4</v>
      </c>
      <c r="Q272" t="s">
        <v>198</v>
      </c>
      <c r="R272" s="6">
        <v>0.98357994722190512</v>
      </c>
      <c r="S272" s="6">
        <v>24.194875620407874</v>
      </c>
      <c r="T272" s="6">
        <v>10.304238907268452</v>
      </c>
      <c r="U272" s="6">
        <v>98.158336005161644</v>
      </c>
      <c r="V272" s="6">
        <v>0.10962474615652203</v>
      </c>
      <c r="W272" s="6">
        <v>3.4221768593450368</v>
      </c>
      <c r="X272" s="6">
        <v>2.0977091279221995</v>
      </c>
      <c r="Y272" s="6">
        <v>19.902167655024101</v>
      </c>
    </row>
    <row r="273" spans="1:25" x14ac:dyDescent="0.25">
      <c r="A273" t="str">
        <f t="shared" si="4"/>
        <v>RTD Ice TeaFranceDecemberEUR (€)Fully-AutomatedOldPET Bottle1.5High-scaleHigh</v>
      </c>
      <c r="B273" t="s">
        <v>130</v>
      </c>
      <c r="C273" t="s">
        <v>130</v>
      </c>
      <c r="D273" t="s">
        <v>15</v>
      </c>
      <c r="E273" s="12" t="s">
        <v>182</v>
      </c>
      <c r="F273" t="s">
        <v>187</v>
      </c>
      <c r="G273" t="s">
        <v>12</v>
      </c>
      <c r="H273" t="s">
        <v>72</v>
      </c>
      <c r="I273" t="s">
        <v>175</v>
      </c>
      <c r="J273" s="12">
        <v>1.5</v>
      </c>
      <c r="K273" t="s">
        <v>107</v>
      </c>
      <c r="L273" t="s">
        <v>11</v>
      </c>
      <c r="M273" t="s">
        <v>199</v>
      </c>
      <c r="O273" t="s">
        <v>197</v>
      </c>
      <c r="P273">
        <v>4</v>
      </c>
      <c r="Q273" t="s">
        <v>198</v>
      </c>
      <c r="R273" s="6">
        <v>1.0227027006663367</v>
      </c>
      <c r="S273" s="6">
        <v>25.157810184141404</v>
      </c>
      <c r="T273" s="6">
        <v>10.71392460467014</v>
      </c>
      <c r="U273" s="6">
        <v>102.06160129220405</v>
      </c>
      <c r="V273" s="6">
        <v>0.11366115014419707</v>
      </c>
      <c r="W273" s="6">
        <v>3.545904656861246</v>
      </c>
      <c r="X273" s="6">
        <v>2.1740286624040359</v>
      </c>
      <c r="Y273" s="6">
        <v>20.625779661404088</v>
      </c>
    </row>
    <row r="274" spans="1:25" x14ac:dyDescent="0.25">
      <c r="A274" t="str">
        <f t="shared" si="4"/>
        <v>RTD Ice TeaFranceDecemberEUR (€)Fully-AutomatedOldPET Bottle1.5Medium-scaleLow</v>
      </c>
      <c r="B274" t="s">
        <v>130</v>
      </c>
      <c r="C274" t="s">
        <v>130</v>
      </c>
      <c r="D274" t="s">
        <v>15</v>
      </c>
      <c r="E274" s="12" t="s">
        <v>182</v>
      </c>
      <c r="F274" t="s">
        <v>187</v>
      </c>
      <c r="G274" t="s">
        <v>12</v>
      </c>
      <c r="H274" t="s">
        <v>72</v>
      </c>
      <c r="I274" t="s">
        <v>175</v>
      </c>
      <c r="J274" s="12">
        <v>1.5</v>
      </c>
      <c r="K274" t="s">
        <v>62</v>
      </c>
      <c r="L274" t="s">
        <v>13</v>
      </c>
      <c r="M274" t="s">
        <v>199</v>
      </c>
      <c r="O274" t="s">
        <v>197</v>
      </c>
      <c r="P274">
        <v>4</v>
      </c>
      <c r="Q274" t="s">
        <v>198</v>
      </c>
      <c r="R274" s="6">
        <v>0.94873295329187568</v>
      </c>
      <c r="S274" s="6">
        <v>23.333647424644177</v>
      </c>
      <c r="T274" s="6">
        <v>9.940424416619754</v>
      </c>
      <c r="U274" s="6">
        <v>94.688377437397804</v>
      </c>
      <c r="V274" s="6">
        <v>0.10690122394571186</v>
      </c>
      <c r="W274" s="6">
        <v>3.3413234854951539</v>
      </c>
      <c r="X274" s="6">
        <v>2.0481229773882363</v>
      </c>
      <c r="Y274" s="6">
        <v>19.43165609088458</v>
      </c>
    </row>
    <row r="275" spans="1:25" x14ac:dyDescent="0.25">
      <c r="A275" t="str">
        <f t="shared" si="4"/>
        <v>RTD Ice TeaFranceDecemberEUR (€)Fully-AutomatedOldPET Bottle1.5Medium-scaleMedium</v>
      </c>
      <c r="B275" t="s">
        <v>130</v>
      </c>
      <c r="C275" t="s">
        <v>130</v>
      </c>
      <c r="D275" t="s">
        <v>15</v>
      </c>
      <c r="E275" s="12" t="s">
        <v>182</v>
      </c>
      <c r="F275" t="s">
        <v>187</v>
      </c>
      <c r="G275" t="s">
        <v>12</v>
      </c>
      <c r="H275" t="s">
        <v>72</v>
      </c>
      <c r="I275" t="s">
        <v>175</v>
      </c>
      <c r="J275" s="12">
        <v>1.5</v>
      </c>
      <c r="K275" t="s">
        <v>62</v>
      </c>
      <c r="L275" t="s">
        <v>63</v>
      </c>
      <c r="M275" t="s">
        <v>199</v>
      </c>
      <c r="O275" t="s">
        <v>197</v>
      </c>
      <c r="P275">
        <v>4</v>
      </c>
      <c r="Q275" t="s">
        <v>198</v>
      </c>
      <c r="R275" s="6">
        <v>0.98495772499968293</v>
      </c>
      <c r="S275" s="6">
        <v>24.225253502175232</v>
      </c>
      <c r="T275" s="6">
        <v>10.31976302532502</v>
      </c>
      <c r="U275" s="6">
        <v>98.30251196243708</v>
      </c>
      <c r="V275" s="6">
        <v>0.11063863504541094</v>
      </c>
      <c r="W275" s="6">
        <v>3.4558862609731267</v>
      </c>
      <c r="X275" s="6">
        <v>2.1187892130195665</v>
      </c>
      <c r="Y275" s="6">
        <v>20.101667207903084</v>
      </c>
    </row>
    <row r="276" spans="1:25" x14ac:dyDescent="0.25">
      <c r="A276" t="str">
        <f t="shared" si="4"/>
        <v>RTD Ice TeaFranceDecemberEUR (€)Fully-AutomatedOldPET Bottle1.5Medium-scaleHigh</v>
      </c>
      <c r="B276" t="s">
        <v>130</v>
      </c>
      <c r="C276" t="s">
        <v>130</v>
      </c>
      <c r="D276" t="s">
        <v>15</v>
      </c>
      <c r="E276" s="12" t="s">
        <v>182</v>
      </c>
      <c r="F276" t="s">
        <v>187</v>
      </c>
      <c r="G276" t="s">
        <v>12</v>
      </c>
      <c r="H276" t="s">
        <v>72</v>
      </c>
      <c r="I276" t="s">
        <v>175</v>
      </c>
      <c r="J276" s="12">
        <v>1.5</v>
      </c>
      <c r="K276" t="s">
        <v>62</v>
      </c>
      <c r="L276" t="s">
        <v>11</v>
      </c>
      <c r="M276" t="s">
        <v>199</v>
      </c>
      <c r="O276" t="s">
        <v>197</v>
      </c>
      <c r="P276">
        <v>4</v>
      </c>
      <c r="Q276" t="s">
        <v>198</v>
      </c>
      <c r="R276" s="6">
        <v>1.0240804784441147</v>
      </c>
      <c r="S276" s="6">
        <v>25.188188065908765</v>
      </c>
      <c r="T276" s="6">
        <v>10.729448722726705</v>
      </c>
      <c r="U276" s="6">
        <v>102.20577724947947</v>
      </c>
      <c r="V276" s="6">
        <v>0.11467503903308597</v>
      </c>
      <c r="W276" s="6">
        <v>3.5796140584893363</v>
      </c>
      <c r="X276" s="6">
        <v>2.1951087475014024</v>
      </c>
      <c r="Y276" s="6">
        <v>20.825279214283078</v>
      </c>
    </row>
    <row r="277" spans="1:25" x14ac:dyDescent="0.25">
      <c r="A277" t="str">
        <f t="shared" si="4"/>
        <v>RTD Ice TeaFranceDecemberEUR (€)Fully-AutomatedOldPET Bottle1.5Small-scaleLow</v>
      </c>
      <c r="B277" t="s">
        <v>130</v>
      </c>
      <c r="C277" t="s">
        <v>130</v>
      </c>
      <c r="D277" t="s">
        <v>15</v>
      </c>
      <c r="E277" s="12" t="s">
        <v>182</v>
      </c>
      <c r="F277" t="s">
        <v>187</v>
      </c>
      <c r="G277" t="s">
        <v>12</v>
      </c>
      <c r="H277" t="s">
        <v>72</v>
      </c>
      <c r="I277" t="s">
        <v>175</v>
      </c>
      <c r="J277" s="12">
        <v>1.5</v>
      </c>
      <c r="K277" t="s">
        <v>60</v>
      </c>
      <c r="L277" t="s">
        <v>13</v>
      </c>
      <c r="M277" t="s">
        <v>199</v>
      </c>
      <c r="O277" t="s">
        <v>197</v>
      </c>
      <c r="P277">
        <v>4</v>
      </c>
      <c r="Q277" t="s">
        <v>198</v>
      </c>
      <c r="R277" s="6">
        <v>0.95102924958817192</v>
      </c>
      <c r="S277" s="6">
        <v>23.384277227589777</v>
      </c>
      <c r="T277" s="6">
        <v>9.966297946714036</v>
      </c>
      <c r="U277" s="6">
        <v>94.928670699523522</v>
      </c>
      <c r="V277" s="6">
        <v>0.10859103876052667</v>
      </c>
      <c r="W277" s="6">
        <v>3.3975058215419698</v>
      </c>
      <c r="X277" s="6">
        <v>2.0832564525505131</v>
      </c>
      <c r="Y277" s="6">
        <v>19.76415534568288</v>
      </c>
    </row>
    <row r="278" spans="1:25" x14ac:dyDescent="0.25">
      <c r="A278" t="str">
        <f t="shared" si="4"/>
        <v>RTD Ice TeaFranceDecemberEUR (€)Fully-AutomatedOldPET Bottle1.5Small-scaleMedium</v>
      </c>
      <c r="B278" t="s">
        <v>130</v>
      </c>
      <c r="C278" t="s">
        <v>130</v>
      </c>
      <c r="D278" t="s">
        <v>15</v>
      </c>
      <c r="E278" s="12" t="s">
        <v>182</v>
      </c>
      <c r="F278" t="s">
        <v>187</v>
      </c>
      <c r="G278" t="s">
        <v>12</v>
      </c>
      <c r="H278" t="s">
        <v>72</v>
      </c>
      <c r="I278" t="s">
        <v>175</v>
      </c>
      <c r="J278" s="12">
        <v>1.5</v>
      </c>
      <c r="K278" t="s">
        <v>60</v>
      </c>
      <c r="L278" t="s">
        <v>63</v>
      </c>
      <c r="M278" t="s">
        <v>199</v>
      </c>
      <c r="O278" t="s">
        <v>197</v>
      </c>
      <c r="P278">
        <v>4</v>
      </c>
      <c r="Q278" t="s">
        <v>198</v>
      </c>
      <c r="R278" s="6">
        <v>0.98725402129597928</v>
      </c>
      <c r="S278" s="6">
        <v>24.275883305120828</v>
      </c>
      <c r="T278" s="6">
        <v>10.345636555419302</v>
      </c>
      <c r="U278" s="6">
        <v>98.542805224562784</v>
      </c>
      <c r="V278" s="6">
        <v>0.11232844986022575</v>
      </c>
      <c r="W278" s="6">
        <v>3.5120685970199426</v>
      </c>
      <c r="X278" s="6">
        <v>2.1539226881818427</v>
      </c>
      <c r="Y278" s="6">
        <v>20.434166462701384</v>
      </c>
    </row>
    <row r="279" spans="1:25" x14ac:dyDescent="0.25">
      <c r="A279" t="str">
        <f t="shared" si="4"/>
        <v>RTD Ice TeaFranceDecemberEUR (€)Fully-AutomatedOldPET Bottle1.5Small-scaleHigh</v>
      </c>
      <c r="B279" t="s">
        <v>130</v>
      </c>
      <c r="C279" t="s">
        <v>130</v>
      </c>
      <c r="D279" t="s">
        <v>15</v>
      </c>
      <c r="E279" s="12" t="s">
        <v>182</v>
      </c>
      <c r="F279" t="s">
        <v>187</v>
      </c>
      <c r="G279" t="s">
        <v>12</v>
      </c>
      <c r="H279" t="s">
        <v>72</v>
      </c>
      <c r="I279" t="s">
        <v>175</v>
      </c>
      <c r="J279" s="12">
        <v>1.5</v>
      </c>
      <c r="K279" t="s">
        <v>60</v>
      </c>
      <c r="L279" t="s">
        <v>11</v>
      </c>
      <c r="M279" t="s">
        <v>199</v>
      </c>
      <c r="O279" t="s">
        <v>197</v>
      </c>
      <c r="P279">
        <v>4</v>
      </c>
      <c r="Q279" t="s">
        <v>198</v>
      </c>
      <c r="R279" s="6">
        <v>1.0263767747404109</v>
      </c>
      <c r="S279" s="6">
        <v>25.238817868854369</v>
      </c>
      <c r="T279" s="6">
        <v>10.755322252820989</v>
      </c>
      <c r="U279" s="6">
        <v>102.44607051160517</v>
      </c>
      <c r="V279" s="6">
        <v>0.11636485384790077</v>
      </c>
      <c r="W279" s="6">
        <v>3.6357963945361527</v>
      </c>
      <c r="X279" s="6">
        <v>2.2302422226636791</v>
      </c>
      <c r="Y279" s="6">
        <v>21.157778469081371</v>
      </c>
    </row>
    <row r="280" spans="1:25" x14ac:dyDescent="0.25">
      <c r="A280" t="str">
        <f t="shared" si="4"/>
        <v>RTD Ice TeaFranceDecemberEUR (€)Fully-AutomatedOldPET Bottle1.5High-scaleLow</v>
      </c>
      <c r="B280" t="s">
        <v>130</v>
      </c>
      <c r="C280" t="s">
        <v>130</v>
      </c>
      <c r="D280" t="s">
        <v>15</v>
      </c>
      <c r="E280" s="12" t="s">
        <v>182</v>
      </c>
      <c r="F280" t="s">
        <v>187</v>
      </c>
      <c r="G280" t="s">
        <v>12</v>
      </c>
      <c r="H280" t="s">
        <v>72</v>
      </c>
      <c r="I280" t="s">
        <v>175</v>
      </c>
      <c r="J280" s="12">
        <v>1.5</v>
      </c>
      <c r="K280" t="s">
        <v>107</v>
      </c>
      <c r="L280" t="s">
        <v>13</v>
      </c>
      <c r="M280" t="s">
        <v>200</v>
      </c>
      <c r="O280" t="s">
        <v>197</v>
      </c>
      <c r="P280">
        <v>4</v>
      </c>
      <c r="Q280" t="s">
        <v>198</v>
      </c>
      <c r="R280" s="6">
        <v>0.94735517551409787</v>
      </c>
      <c r="S280" s="6">
        <v>23.303269542876816</v>
      </c>
      <c r="T280" s="6">
        <v>9.924900298563184</v>
      </c>
      <c r="U280" s="6">
        <v>94.544201480122396</v>
      </c>
      <c r="V280" s="6">
        <v>9.4033174426037439E-2</v>
      </c>
      <c r="W280" s="6">
        <v>3.949443319554145</v>
      </c>
      <c r="X280" s="6">
        <v>1.9832551741874107</v>
      </c>
      <c r="Y280" s="6">
        <v>19.274121170216773</v>
      </c>
    </row>
    <row r="281" spans="1:25" x14ac:dyDescent="0.25">
      <c r="A281" t="str">
        <f t="shared" si="4"/>
        <v>RTD Ice TeaFranceDecemberEUR (€)Fully-AutomatedOldPET Bottle1.5High-scaleMedium</v>
      </c>
      <c r="B281" t="s">
        <v>130</v>
      </c>
      <c r="C281" t="s">
        <v>130</v>
      </c>
      <c r="D281" t="s">
        <v>15</v>
      </c>
      <c r="E281" s="12" t="s">
        <v>182</v>
      </c>
      <c r="F281" t="s">
        <v>187</v>
      </c>
      <c r="G281" t="s">
        <v>12</v>
      </c>
      <c r="H281" t="s">
        <v>72</v>
      </c>
      <c r="I281" t="s">
        <v>175</v>
      </c>
      <c r="J281" s="12">
        <v>1.5</v>
      </c>
      <c r="K281" t="s">
        <v>107</v>
      </c>
      <c r="L281" t="s">
        <v>63</v>
      </c>
      <c r="M281" t="s">
        <v>200</v>
      </c>
      <c r="O281" t="s">
        <v>197</v>
      </c>
      <c r="P281">
        <v>4</v>
      </c>
      <c r="Q281" t="s">
        <v>198</v>
      </c>
      <c r="R281" s="6">
        <v>0.98357994722190512</v>
      </c>
      <c r="S281" s="6">
        <v>24.194875620407874</v>
      </c>
      <c r="T281" s="6">
        <v>10.304238907268452</v>
      </c>
      <c r="U281" s="6">
        <v>98.158336005161644</v>
      </c>
      <c r="V281" s="6">
        <v>9.7416151997202008E-2</v>
      </c>
      <c r="W281" s="6">
        <v>4.0894308093019136</v>
      </c>
      <c r="X281" s="6">
        <v>2.0539746364656426</v>
      </c>
      <c r="Y281" s="6">
        <v>19.960874711720482</v>
      </c>
    </row>
    <row r="282" spans="1:25" x14ac:dyDescent="0.25">
      <c r="A282" t="str">
        <f t="shared" si="4"/>
        <v>RTD Ice TeaFranceDecemberEUR (€)Fully-AutomatedOldPET Bottle1.5High-scaleHigh</v>
      </c>
      <c r="B282" t="s">
        <v>130</v>
      </c>
      <c r="C282" t="s">
        <v>130</v>
      </c>
      <c r="D282" t="s">
        <v>15</v>
      </c>
      <c r="E282" s="12" t="s">
        <v>182</v>
      </c>
      <c r="F282" t="s">
        <v>187</v>
      </c>
      <c r="G282" t="s">
        <v>12</v>
      </c>
      <c r="H282" t="s">
        <v>72</v>
      </c>
      <c r="I282" t="s">
        <v>175</v>
      </c>
      <c r="J282" s="12">
        <v>1.5</v>
      </c>
      <c r="K282" t="s">
        <v>107</v>
      </c>
      <c r="L282" t="s">
        <v>11</v>
      </c>
      <c r="M282" t="s">
        <v>200</v>
      </c>
      <c r="O282" t="s">
        <v>197</v>
      </c>
      <c r="P282">
        <v>4</v>
      </c>
      <c r="Q282" t="s">
        <v>198</v>
      </c>
      <c r="R282" s="6">
        <v>1.0227027006663367</v>
      </c>
      <c r="S282" s="6">
        <v>25.157810184141404</v>
      </c>
      <c r="T282" s="6">
        <v>10.71392460467014</v>
      </c>
      <c r="U282" s="6">
        <v>102.06160129220405</v>
      </c>
      <c r="V282" s="6">
        <v>0.10106976777405981</v>
      </c>
      <c r="W282" s="6">
        <v>4.240617298229501</v>
      </c>
      <c r="X282" s="6">
        <v>2.1303516557261339</v>
      </c>
      <c r="Y282" s="6">
        <v>20.702568536544497</v>
      </c>
    </row>
    <row r="283" spans="1:25" x14ac:dyDescent="0.25">
      <c r="A283" t="str">
        <f t="shared" si="4"/>
        <v>RTD Ice TeaFranceDecemberEUR (€)Fully-AutomatedOldPET Bottle1.5Medium-scaleLow</v>
      </c>
      <c r="B283" t="s">
        <v>130</v>
      </c>
      <c r="C283" t="s">
        <v>130</v>
      </c>
      <c r="D283" t="s">
        <v>15</v>
      </c>
      <c r="E283" s="12" t="s">
        <v>182</v>
      </c>
      <c r="F283" t="s">
        <v>187</v>
      </c>
      <c r="G283" t="s">
        <v>12</v>
      </c>
      <c r="H283" t="s">
        <v>72</v>
      </c>
      <c r="I283" t="s">
        <v>175</v>
      </c>
      <c r="J283" s="12">
        <v>1.5</v>
      </c>
      <c r="K283" t="s">
        <v>62</v>
      </c>
      <c r="L283" t="s">
        <v>13</v>
      </c>
      <c r="M283" t="s">
        <v>200</v>
      </c>
      <c r="O283" t="s">
        <v>197</v>
      </c>
      <c r="P283">
        <v>4</v>
      </c>
      <c r="Q283" t="s">
        <v>198</v>
      </c>
      <c r="R283" s="6">
        <v>0.94873295329187568</v>
      </c>
      <c r="S283" s="6">
        <v>23.333647424644177</v>
      </c>
      <c r="T283" s="6">
        <v>9.940424416619754</v>
      </c>
      <c r="U283" s="6">
        <v>94.688377437397804</v>
      </c>
      <c r="V283" s="6">
        <v>9.4946053213916221E-2</v>
      </c>
      <c r="W283" s="6">
        <v>3.9903291062351971</v>
      </c>
      <c r="X283" s="6">
        <v>2.0043352592847765</v>
      </c>
      <c r="Y283" s="6">
        <v>19.478219716814529</v>
      </c>
    </row>
    <row r="284" spans="1:25" x14ac:dyDescent="0.25">
      <c r="A284" t="str">
        <f t="shared" si="4"/>
        <v>RTD Ice TeaFranceDecemberEUR (€)Fully-AutomatedOldPET Bottle1.5Medium-scaleMedium</v>
      </c>
      <c r="B284" t="s">
        <v>130</v>
      </c>
      <c r="C284" t="s">
        <v>130</v>
      </c>
      <c r="D284" t="s">
        <v>15</v>
      </c>
      <c r="E284" s="12" t="s">
        <v>182</v>
      </c>
      <c r="F284" t="s">
        <v>187</v>
      </c>
      <c r="G284" t="s">
        <v>12</v>
      </c>
      <c r="H284" t="s">
        <v>72</v>
      </c>
      <c r="I284" t="s">
        <v>175</v>
      </c>
      <c r="J284" s="12">
        <v>1.5</v>
      </c>
      <c r="K284" t="s">
        <v>62</v>
      </c>
      <c r="L284" t="s">
        <v>63</v>
      </c>
      <c r="M284" t="s">
        <v>200</v>
      </c>
      <c r="O284" t="s">
        <v>197</v>
      </c>
      <c r="P284">
        <v>4</v>
      </c>
      <c r="Q284" t="s">
        <v>198</v>
      </c>
      <c r="R284" s="6">
        <v>0.98495772499968293</v>
      </c>
      <c r="S284" s="6">
        <v>24.225253502175232</v>
      </c>
      <c r="T284" s="6">
        <v>10.31976302532502</v>
      </c>
      <c r="U284" s="6">
        <v>98.30251196243708</v>
      </c>
      <c r="V284" s="6">
        <v>9.8329030785080832E-2</v>
      </c>
      <c r="W284" s="6">
        <v>4.130316595982964</v>
      </c>
      <c r="X284" s="6">
        <v>2.0750547215630095</v>
      </c>
      <c r="Y284" s="6">
        <v>20.164973258318238</v>
      </c>
    </row>
    <row r="285" spans="1:25" x14ac:dyDescent="0.25">
      <c r="A285" t="str">
        <f t="shared" si="4"/>
        <v>RTD Ice TeaFranceDecemberEUR (€)Fully-AutomatedOldPET Bottle1.5Medium-scaleHigh</v>
      </c>
      <c r="B285" t="s">
        <v>130</v>
      </c>
      <c r="C285" t="s">
        <v>130</v>
      </c>
      <c r="D285" t="s">
        <v>15</v>
      </c>
      <c r="E285" s="12" t="s">
        <v>182</v>
      </c>
      <c r="F285" t="s">
        <v>187</v>
      </c>
      <c r="G285" t="s">
        <v>12</v>
      </c>
      <c r="H285" t="s">
        <v>72</v>
      </c>
      <c r="I285" t="s">
        <v>175</v>
      </c>
      <c r="J285" s="12">
        <v>1.5</v>
      </c>
      <c r="K285" t="s">
        <v>62</v>
      </c>
      <c r="L285" t="s">
        <v>11</v>
      </c>
      <c r="M285" t="s">
        <v>200</v>
      </c>
      <c r="O285" t="s">
        <v>197</v>
      </c>
      <c r="P285">
        <v>4</v>
      </c>
      <c r="Q285" t="s">
        <v>198</v>
      </c>
      <c r="R285" s="6">
        <v>1.0240804784441147</v>
      </c>
      <c r="S285" s="6">
        <v>25.188188065908765</v>
      </c>
      <c r="T285" s="6">
        <v>10.729448722726705</v>
      </c>
      <c r="U285" s="6">
        <v>102.20577724947947</v>
      </c>
      <c r="V285" s="6">
        <v>0.1019826465619386</v>
      </c>
      <c r="W285" s="6">
        <v>4.2815030849105531</v>
      </c>
      <c r="X285" s="6">
        <v>2.1514317408235004</v>
      </c>
      <c r="Y285" s="6">
        <v>20.906667083142246</v>
      </c>
    </row>
    <row r="286" spans="1:25" x14ac:dyDescent="0.25">
      <c r="A286" t="str">
        <f t="shared" si="4"/>
        <v>RTD Ice TeaFranceDecemberEUR (€)Fully-AutomatedOldPET Bottle1.5Small-scaleLow</v>
      </c>
      <c r="B286" t="s">
        <v>130</v>
      </c>
      <c r="C286" t="s">
        <v>130</v>
      </c>
      <c r="D286" t="s">
        <v>15</v>
      </c>
      <c r="E286" s="12" t="s">
        <v>182</v>
      </c>
      <c r="F286" t="s">
        <v>187</v>
      </c>
      <c r="G286" t="s">
        <v>12</v>
      </c>
      <c r="H286" t="s">
        <v>72</v>
      </c>
      <c r="I286" t="s">
        <v>175</v>
      </c>
      <c r="J286" s="12">
        <v>1.5</v>
      </c>
      <c r="K286" t="s">
        <v>60</v>
      </c>
      <c r="L286" t="s">
        <v>13</v>
      </c>
      <c r="M286" t="s">
        <v>200</v>
      </c>
      <c r="O286" t="s">
        <v>197</v>
      </c>
      <c r="P286">
        <v>4</v>
      </c>
      <c r="Q286" t="s">
        <v>198</v>
      </c>
      <c r="R286" s="6">
        <v>0.95102924958817192</v>
      </c>
      <c r="S286" s="6">
        <v>23.384277227589777</v>
      </c>
      <c r="T286" s="6">
        <v>9.966297946714036</v>
      </c>
      <c r="U286" s="6">
        <v>94.928670699523522</v>
      </c>
      <c r="V286" s="6">
        <v>9.6467517860380866E-2</v>
      </c>
      <c r="W286" s="6">
        <v>4.0584720840369499</v>
      </c>
      <c r="X286" s="6">
        <v>2.0394687344470532</v>
      </c>
      <c r="Y286" s="6">
        <v>19.818383961144107</v>
      </c>
    </row>
    <row r="287" spans="1:25" x14ac:dyDescent="0.25">
      <c r="A287" t="str">
        <f t="shared" si="4"/>
        <v>RTD Ice TeaFranceDecemberEUR (€)Fully-AutomatedOldPET Bottle1.5Small-scaleMedium</v>
      </c>
      <c r="B287" t="s">
        <v>130</v>
      </c>
      <c r="C287" t="s">
        <v>130</v>
      </c>
      <c r="D287" t="s">
        <v>15</v>
      </c>
      <c r="E287" s="12" t="s">
        <v>182</v>
      </c>
      <c r="F287" t="s">
        <v>187</v>
      </c>
      <c r="G287" t="s">
        <v>12</v>
      </c>
      <c r="H287" t="s">
        <v>72</v>
      </c>
      <c r="I287" t="s">
        <v>175</v>
      </c>
      <c r="J287" s="12">
        <v>1.5</v>
      </c>
      <c r="K287" t="s">
        <v>60</v>
      </c>
      <c r="L287" t="s">
        <v>63</v>
      </c>
      <c r="M287" t="s">
        <v>200</v>
      </c>
      <c r="O287" t="s">
        <v>197</v>
      </c>
      <c r="P287">
        <v>4</v>
      </c>
      <c r="Q287" t="s">
        <v>198</v>
      </c>
      <c r="R287" s="6">
        <v>0.98725402129597928</v>
      </c>
      <c r="S287" s="6">
        <v>24.275883305120828</v>
      </c>
      <c r="T287" s="6">
        <v>10.345636555419302</v>
      </c>
      <c r="U287" s="6">
        <v>98.542805224562784</v>
      </c>
      <c r="V287" s="6">
        <v>9.9850495431545477E-2</v>
      </c>
      <c r="W287" s="6">
        <v>4.1984595737847163</v>
      </c>
      <c r="X287" s="6">
        <v>2.1101881967252862</v>
      </c>
      <c r="Y287" s="6">
        <v>20.505137502647827</v>
      </c>
    </row>
    <row r="288" spans="1:25" x14ac:dyDescent="0.25">
      <c r="A288" t="str">
        <f t="shared" si="4"/>
        <v>RTD Ice TeaFranceDecemberEUR (€)Fully-AutomatedOldPET Bottle1.5Small-scaleHigh</v>
      </c>
      <c r="B288" t="s">
        <v>130</v>
      </c>
      <c r="C288" t="s">
        <v>130</v>
      </c>
      <c r="D288" t="s">
        <v>15</v>
      </c>
      <c r="E288" s="12" t="s">
        <v>182</v>
      </c>
      <c r="F288" t="s">
        <v>187</v>
      </c>
      <c r="G288" t="s">
        <v>12</v>
      </c>
      <c r="H288" t="s">
        <v>72</v>
      </c>
      <c r="I288" t="s">
        <v>175</v>
      </c>
      <c r="J288" s="12">
        <v>1.5</v>
      </c>
      <c r="K288" t="s">
        <v>60</v>
      </c>
      <c r="L288" t="s">
        <v>11</v>
      </c>
      <c r="M288" t="s">
        <v>200</v>
      </c>
      <c r="O288" t="s">
        <v>197</v>
      </c>
      <c r="P288">
        <v>4</v>
      </c>
      <c r="Q288" t="s">
        <v>198</v>
      </c>
      <c r="R288" s="6">
        <v>1.0263767747404109</v>
      </c>
      <c r="S288" s="6">
        <v>25.238817868854369</v>
      </c>
      <c r="T288" s="6">
        <v>10.755322252820989</v>
      </c>
      <c r="U288" s="6">
        <v>102.44607051160517</v>
      </c>
      <c r="V288" s="6">
        <v>0.10350411120840325</v>
      </c>
      <c r="W288" s="6">
        <v>4.3496460627123046</v>
      </c>
      <c r="X288" s="6">
        <v>2.1865652159857771</v>
      </c>
      <c r="Y288" s="6">
        <v>21.246831327471831</v>
      </c>
    </row>
    <row r="289" spans="1:25" x14ac:dyDescent="0.25">
      <c r="A289" t="str">
        <f t="shared" si="4"/>
        <v>RTD Ice TeaFranceDecemberEUR (€)Fully-AutomatedOldPET Bottle1.5High-scaleLow</v>
      </c>
      <c r="B289" t="s">
        <v>130</v>
      </c>
      <c r="C289" t="s">
        <v>130</v>
      </c>
      <c r="D289" t="s">
        <v>15</v>
      </c>
      <c r="E289" s="12" t="s">
        <v>182</v>
      </c>
      <c r="F289" t="s">
        <v>187</v>
      </c>
      <c r="G289" t="s">
        <v>12</v>
      </c>
      <c r="H289" t="s">
        <v>72</v>
      </c>
      <c r="I289" t="s">
        <v>175</v>
      </c>
      <c r="J289" s="12">
        <v>1.5</v>
      </c>
      <c r="K289" t="s">
        <v>107</v>
      </c>
      <c r="L289" t="s">
        <v>13</v>
      </c>
      <c r="M289" t="s">
        <v>199</v>
      </c>
      <c r="O289" t="s">
        <v>197</v>
      </c>
      <c r="P289">
        <v>6</v>
      </c>
      <c r="Q289" t="s">
        <v>201</v>
      </c>
      <c r="R289" s="6">
        <v>0.94735517551409787</v>
      </c>
      <c r="S289" s="6">
        <v>23.303269542876816</v>
      </c>
      <c r="T289" s="6">
        <v>9.924900298563184</v>
      </c>
      <c r="U289" s="6">
        <v>94.544201480122396</v>
      </c>
      <c r="V289" s="6">
        <v>9.7814676612131432E-2</v>
      </c>
      <c r="W289" s="6">
        <v>3.0921917145737345</v>
      </c>
      <c r="X289" s="6">
        <v>1.913785343580747</v>
      </c>
      <c r="Y289" s="6">
        <v>18.13629127679657</v>
      </c>
    </row>
    <row r="290" spans="1:25" x14ac:dyDescent="0.25">
      <c r="A290" t="str">
        <f t="shared" si="4"/>
        <v>RTD Ice TeaFranceDecemberEUR (€)Fully-AutomatedOldPET Bottle1.5High-scaleMedium</v>
      </c>
      <c r="B290" t="s">
        <v>130</v>
      </c>
      <c r="C290" t="s">
        <v>130</v>
      </c>
      <c r="D290" t="s">
        <v>15</v>
      </c>
      <c r="E290" s="12" t="s">
        <v>182</v>
      </c>
      <c r="F290" t="s">
        <v>187</v>
      </c>
      <c r="G290" t="s">
        <v>12</v>
      </c>
      <c r="H290" t="s">
        <v>72</v>
      </c>
      <c r="I290" t="s">
        <v>175</v>
      </c>
      <c r="J290" s="12">
        <v>1.5</v>
      </c>
      <c r="K290" t="s">
        <v>107</v>
      </c>
      <c r="L290" t="s">
        <v>63</v>
      </c>
      <c r="M290" t="s">
        <v>199</v>
      </c>
      <c r="O290" t="s">
        <v>197</v>
      </c>
      <c r="P290">
        <v>6</v>
      </c>
      <c r="Q290" t="s">
        <v>201</v>
      </c>
      <c r="R290" s="6">
        <v>0.98357994722190512</v>
      </c>
      <c r="S290" s="6">
        <v>24.194875620407874</v>
      </c>
      <c r="T290" s="6">
        <v>10.304238907268452</v>
      </c>
      <c r="U290" s="6">
        <v>98.158336005161644</v>
      </c>
      <c r="V290" s="6">
        <v>0.10124160084857314</v>
      </c>
      <c r="W290" s="6">
        <v>3.1984690143096555</v>
      </c>
      <c r="X290" s="6">
        <v>1.9800955196463028</v>
      </c>
      <c r="Y290" s="6">
        <v>18.76415372992242</v>
      </c>
    </row>
    <row r="291" spans="1:25" x14ac:dyDescent="0.25">
      <c r="A291" t="str">
        <f t="shared" si="4"/>
        <v>RTD Ice TeaFranceDecemberEUR (€)Fully-AutomatedOldPET Bottle1.5High-scaleHigh</v>
      </c>
      <c r="B291" t="s">
        <v>130</v>
      </c>
      <c r="C291" t="s">
        <v>130</v>
      </c>
      <c r="D291" t="s">
        <v>15</v>
      </c>
      <c r="E291" s="12" t="s">
        <v>182</v>
      </c>
      <c r="F291" t="s">
        <v>187</v>
      </c>
      <c r="G291" t="s">
        <v>12</v>
      </c>
      <c r="H291" t="s">
        <v>72</v>
      </c>
      <c r="I291" t="s">
        <v>175</v>
      </c>
      <c r="J291" s="12">
        <v>1.5</v>
      </c>
      <c r="K291" t="s">
        <v>107</v>
      </c>
      <c r="L291" t="s">
        <v>11</v>
      </c>
      <c r="M291" t="s">
        <v>199</v>
      </c>
      <c r="O291" t="s">
        <v>197</v>
      </c>
      <c r="P291">
        <v>6</v>
      </c>
      <c r="Q291" t="s">
        <v>201</v>
      </c>
      <c r="R291" s="6">
        <v>1.0227027006663367</v>
      </c>
      <c r="S291" s="6">
        <v>25.157810184141404</v>
      </c>
      <c r="T291" s="6">
        <v>10.71392460467014</v>
      </c>
      <c r="U291" s="6">
        <v>102.06160129220405</v>
      </c>
      <c r="V291" s="6">
        <v>0.10494267902393022</v>
      </c>
      <c r="W291" s="6">
        <v>3.3132484980244499</v>
      </c>
      <c r="X291" s="6">
        <v>2.0517105097971031</v>
      </c>
      <c r="Y291" s="6">
        <v>19.44224517929834</v>
      </c>
    </row>
    <row r="292" spans="1:25" x14ac:dyDescent="0.25">
      <c r="A292" t="str">
        <f t="shared" si="4"/>
        <v>RTD Ice TeaFranceDecemberEUR (€)Fully-AutomatedOldPET Bottle1.5Medium-scaleLow</v>
      </c>
      <c r="B292" t="s">
        <v>130</v>
      </c>
      <c r="C292" t="s">
        <v>130</v>
      </c>
      <c r="D292" t="s">
        <v>15</v>
      </c>
      <c r="E292" s="12" t="s">
        <v>182</v>
      </c>
      <c r="F292" t="s">
        <v>187</v>
      </c>
      <c r="G292" t="s">
        <v>12</v>
      </c>
      <c r="H292" t="s">
        <v>72</v>
      </c>
      <c r="I292" t="s">
        <v>175</v>
      </c>
      <c r="J292" s="12">
        <v>1.5</v>
      </c>
      <c r="K292" t="s">
        <v>62</v>
      </c>
      <c r="L292" t="s">
        <v>13</v>
      </c>
      <c r="M292" t="s">
        <v>199</v>
      </c>
      <c r="O292" t="s">
        <v>197</v>
      </c>
      <c r="P292">
        <v>6</v>
      </c>
      <c r="Q292" t="s">
        <v>201</v>
      </c>
      <c r="R292" s="6">
        <v>0.94873295329187568</v>
      </c>
      <c r="S292" s="6">
        <v>23.333647424644177</v>
      </c>
      <c r="T292" s="6">
        <v>9.940424416619754</v>
      </c>
      <c r="U292" s="6">
        <v>94.688377437397804</v>
      </c>
      <c r="V292" s="6">
        <v>9.8828565501020316E-2</v>
      </c>
      <c r="W292" s="6">
        <v>3.1259011162018244</v>
      </c>
      <c r="X292" s="6">
        <v>1.9348654286781135</v>
      </c>
      <c r="Y292" s="6">
        <v>18.335790829675549</v>
      </c>
    </row>
    <row r="293" spans="1:25" x14ac:dyDescent="0.25">
      <c r="A293" t="str">
        <f t="shared" si="4"/>
        <v>RTD Ice TeaFranceDecemberEUR (€)Fully-AutomatedOldPET Bottle1.5Medium-scaleMedium</v>
      </c>
      <c r="B293" t="s">
        <v>130</v>
      </c>
      <c r="C293" t="s">
        <v>130</v>
      </c>
      <c r="D293" t="s">
        <v>15</v>
      </c>
      <c r="E293" s="12" t="s">
        <v>182</v>
      </c>
      <c r="F293" t="s">
        <v>187</v>
      </c>
      <c r="G293" t="s">
        <v>12</v>
      </c>
      <c r="H293" t="s">
        <v>72</v>
      </c>
      <c r="I293" t="s">
        <v>175</v>
      </c>
      <c r="J293" s="12">
        <v>1.5</v>
      </c>
      <c r="K293" t="s">
        <v>62</v>
      </c>
      <c r="L293" t="s">
        <v>63</v>
      </c>
      <c r="M293" t="s">
        <v>199</v>
      </c>
      <c r="O293" t="s">
        <v>197</v>
      </c>
      <c r="P293">
        <v>6</v>
      </c>
      <c r="Q293" t="s">
        <v>201</v>
      </c>
      <c r="R293" s="6">
        <v>0.98495772499968293</v>
      </c>
      <c r="S293" s="6">
        <v>24.225253502175232</v>
      </c>
      <c r="T293" s="6">
        <v>10.31976302532502</v>
      </c>
      <c r="U293" s="6">
        <v>98.30251196243708</v>
      </c>
      <c r="V293" s="6">
        <v>0.10225548973746204</v>
      </c>
      <c r="W293" s="6">
        <v>3.2321784159377458</v>
      </c>
      <c r="X293" s="6">
        <v>2.0011756047436697</v>
      </c>
      <c r="Y293" s="6">
        <v>18.963653282801403</v>
      </c>
    </row>
    <row r="294" spans="1:25" x14ac:dyDescent="0.25">
      <c r="A294" t="str">
        <f t="shared" si="4"/>
        <v>RTD Ice TeaFranceDecemberEUR (€)Fully-AutomatedOldPET Bottle1.5Medium-scaleHigh</v>
      </c>
      <c r="B294" t="s">
        <v>130</v>
      </c>
      <c r="C294" t="s">
        <v>130</v>
      </c>
      <c r="D294" t="s">
        <v>15</v>
      </c>
      <c r="E294" s="12" t="s">
        <v>182</v>
      </c>
      <c r="F294" t="s">
        <v>187</v>
      </c>
      <c r="G294" t="s">
        <v>12</v>
      </c>
      <c r="H294" t="s">
        <v>72</v>
      </c>
      <c r="I294" t="s">
        <v>175</v>
      </c>
      <c r="J294" s="12">
        <v>1.5</v>
      </c>
      <c r="K294" t="s">
        <v>62</v>
      </c>
      <c r="L294" t="s">
        <v>11</v>
      </c>
      <c r="M294" t="s">
        <v>199</v>
      </c>
      <c r="O294" t="s">
        <v>197</v>
      </c>
      <c r="P294">
        <v>6</v>
      </c>
      <c r="Q294" t="s">
        <v>201</v>
      </c>
      <c r="R294" s="6">
        <v>1.0240804784441147</v>
      </c>
      <c r="S294" s="6">
        <v>25.188188065908765</v>
      </c>
      <c r="T294" s="6">
        <v>10.729448722726705</v>
      </c>
      <c r="U294" s="6">
        <v>102.20577724947947</v>
      </c>
      <c r="V294" s="6">
        <v>0.10595656791281911</v>
      </c>
      <c r="W294" s="6">
        <v>3.3469578996525402</v>
      </c>
      <c r="X294" s="6">
        <v>2.07279059489447</v>
      </c>
      <c r="Y294" s="6">
        <v>19.641744732177326</v>
      </c>
    </row>
    <row r="295" spans="1:25" x14ac:dyDescent="0.25">
      <c r="A295" t="str">
        <f t="shared" si="4"/>
        <v>RTD Ice TeaFranceDecemberEUR (€)Fully-AutomatedOldPET Bottle1.5Small-scaleLow</v>
      </c>
      <c r="B295" t="s">
        <v>130</v>
      </c>
      <c r="C295" t="s">
        <v>130</v>
      </c>
      <c r="D295" t="s">
        <v>15</v>
      </c>
      <c r="E295" s="12" t="s">
        <v>182</v>
      </c>
      <c r="F295" t="s">
        <v>187</v>
      </c>
      <c r="G295" t="s">
        <v>12</v>
      </c>
      <c r="H295" t="s">
        <v>72</v>
      </c>
      <c r="I295" t="s">
        <v>175</v>
      </c>
      <c r="J295" s="12">
        <v>1.5</v>
      </c>
      <c r="K295" t="s">
        <v>60</v>
      </c>
      <c r="L295" t="s">
        <v>13</v>
      </c>
      <c r="M295" t="s">
        <v>199</v>
      </c>
      <c r="O295" t="s">
        <v>197</v>
      </c>
      <c r="P295">
        <v>6</v>
      </c>
      <c r="Q295" t="s">
        <v>201</v>
      </c>
      <c r="R295" s="6">
        <v>0.95102924958817192</v>
      </c>
      <c r="S295" s="6">
        <v>23.384277227589777</v>
      </c>
      <c r="T295" s="6">
        <v>9.966297946714036</v>
      </c>
      <c r="U295" s="6">
        <v>94.928670699523522</v>
      </c>
      <c r="V295" s="6">
        <v>0.10051838031583514</v>
      </c>
      <c r="W295" s="6">
        <v>3.1820834522486403</v>
      </c>
      <c r="X295" s="6">
        <v>1.9699989038403902</v>
      </c>
      <c r="Y295" s="6">
        <v>18.668290084473853</v>
      </c>
    </row>
    <row r="296" spans="1:25" x14ac:dyDescent="0.25">
      <c r="A296" t="str">
        <f t="shared" si="4"/>
        <v>RTD Ice TeaFranceDecemberEUR (€)Fully-AutomatedOldPET Bottle1.5Small-scaleMedium</v>
      </c>
      <c r="B296" t="s">
        <v>130</v>
      </c>
      <c r="C296" t="s">
        <v>130</v>
      </c>
      <c r="D296" t="s">
        <v>15</v>
      </c>
      <c r="E296" s="12" t="s">
        <v>182</v>
      </c>
      <c r="F296" t="s">
        <v>187</v>
      </c>
      <c r="G296" t="s">
        <v>12</v>
      </c>
      <c r="H296" t="s">
        <v>72</v>
      </c>
      <c r="I296" t="s">
        <v>175</v>
      </c>
      <c r="J296" s="12">
        <v>1.5</v>
      </c>
      <c r="K296" t="s">
        <v>60</v>
      </c>
      <c r="L296" t="s">
        <v>63</v>
      </c>
      <c r="M296" t="s">
        <v>199</v>
      </c>
      <c r="O296" t="s">
        <v>197</v>
      </c>
      <c r="P296">
        <v>6</v>
      </c>
      <c r="Q296" t="s">
        <v>201</v>
      </c>
      <c r="R296" s="6">
        <v>0.98725402129597928</v>
      </c>
      <c r="S296" s="6">
        <v>24.275883305120828</v>
      </c>
      <c r="T296" s="6">
        <v>10.345636555419302</v>
      </c>
      <c r="U296" s="6">
        <v>98.542805224562784</v>
      </c>
      <c r="V296" s="6">
        <v>0.10394530455227685</v>
      </c>
      <c r="W296" s="6">
        <v>3.2883607519845617</v>
      </c>
      <c r="X296" s="6">
        <v>2.036309079905946</v>
      </c>
      <c r="Y296" s="6">
        <v>19.29615253759971</v>
      </c>
    </row>
    <row r="297" spans="1:25" x14ac:dyDescent="0.25">
      <c r="A297" t="str">
        <f t="shared" si="4"/>
        <v>RTD Ice TeaFranceDecemberEUR (€)Fully-AutomatedOldPET Bottle1.5Small-scaleHigh</v>
      </c>
      <c r="B297" t="s">
        <v>130</v>
      </c>
      <c r="C297" t="s">
        <v>130</v>
      </c>
      <c r="D297" t="s">
        <v>15</v>
      </c>
      <c r="E297" s="12" t="s">
        <v>182</v>
      </c>
      <c r="F297" t="s">
        <v>187</v>
      </c>
      <c r="G297" t="s">
        <v>12</v>
      </c>
      <c r="H297" t="s">
        <v>72</v>
      </c>
      <c r="I297" t="s">
        <v>175</v>
      </c>
      <c r="J297" s="12">
        <v>1.5</v>
      </c>
      <c r="K297" t="s">
        <v>60</v>
      </c>
      <c r="L297" t="s">
        <v>11</v>
      </c>
      <c r="M297" t="s">
        <v>199</v>
      </c>
      <c r="O297" t="s">
        <v>197</v>
      </c>
      <c r="P297">
        <v>6</v>
      </c>
      <c r="Q297" t="s">
        <v>201</v>
      </c>
      <c r="R297" s="6">
        <v>1.0263767747404109</v>
      </c>
      <c r="S297" s="6">
        <v>25.238817868854369</v>
      </c>
      <c r="T297" s="6">
        <v>10.755322252820989</v>
      </c>
      <c r="U297" s="6">
        <v>102.44607051160517</v>
      </c>
      <c r="V297" s="6">
        <v>0.10764638272763391</v>
      </c>
      <c r="W297" s="6">
        <v>3.4031402356993561</v>
      </c>
      <c r="X297" s="6">
        <v>2.1079240700567463</v>
      </c>
      <c r="Y297" s="6">
        <v>19.974243986975623</v>
      </c>
    </row>
    <row r="298" spans="1:25" x14ac:dyDescent="0.25">
      <c r="A298" t="str">
        <f t="shared" si="4"/>
        <v>RTD Ice TeaFranceDecemberEUR (€)Fully-AutomatedOldPET Bottle1.5High-scaleLow</v>
      </c>
      <c r="B298" t="s">
        <v>130</v>
      </c>
      <c r="C298" t="s">
        <v>130</v>
      </c>
      <c r="D298" t="s">
        <v>15</v>
      </c>
      <c r="E298" s="12" t="s">
        <v>182</v>
      </c>
      <c r="F298" t="s">
        <v>187</v>
      </c>
      <c r="G298" t="s">
        <v>12</v>
      </c>
      <c r="H298" t="s">
        <v>72</v>
      </c>
      <c r="I298" t="s">
        <v>175</v>
      </c>
      <c r="J298" s="12">
        <v>1.5</v>
      </c>
      <c r="K298" t="s">
        <v>107</v>
      </c>
      <c r="L298" t="s">
        <v>13</v>
      </c>
      <c r="M298" t="s">
        <v>200</v>
      </c>
      <c r="O298" t="s">
        <v>197</v>
      </c>
      <c r="P298">
        <v>6</v>
      </c>
      <c r="Q298" t="s">
        <v>201</v>
      </c>
      <c r="R298" s="6">
        <v>0.94735517551409787</v>
      </c>
      <c r="S298" s="6">
        <v>23.303269542876816</v>
      </c>
      <c r="T298" s="6">
        <v>9.924900298563184</v>
      </c>
      <c r="U298" s="6">
        <v>94.544201480122396</v>
      </c>
      <c r="V298" s="6">
        <v>8.5960515981345895E-2</v>
      </c>
      <c r="W298" s="6">
        <v>3.734020950260815</v>
      </c>
      <c r="X298" s="6">
        <v>1.8699976254772877</v>
      </c>
      <c r="Y298" s="6">
        <v>18.178255909007746</v>
      </c>
    </row>
    <row r="299" spans="1:25" x14ac:dyDescent="0.25">
      <c r="A299" t="str">
        <f t="shared" si="4"/>
        <v>RTD Ice TeaFranceDecemberEUR (€)Fully-AutomatedOldPET Bottle1.5High-scaleMedium</v>
      </c>
      <c r="B299" t="s">
        <v>130</v>
      </c>
      <c r="C299" t="s">
        <v>130</v>
      </c>
      <c r="D299" t="s">
        <v>15</v>
      </c>
      <c r="E299" s="12" t="s">
        <v>182</v>
      </c>
      <c r="F299" t="s">
        <v>187</v>
      </c>
      <c r="G299" t="s">
        <v>12</v>
      </c>
      <c r="H299" t="s">
        <v>72</v>
      </c>
      <c r="I299" t="s">
        <v>175</v>
      </c>
      <c r="J299" s="12">
        <v>1.5</v>
      </c>
      <c r="K299" t="s">
        <v>107</v>
      </c>
      <c r="L299" t="s">
        <v>63</v>
      </c>
      <c r="M299" t="s">
        <v>200</v>
      </c>
      <c r="O299" t="s">
        <v>197</v>
      </c>
      <c r="P299">
        <v>6</v>
      </c>
      <c r="Q299" t="s">
        <v>201</v>
      </c>
      <c r="R299" s="6">
        <v>0.98357994722190512</v>
      </c>
      <c r="S299" s="6">
        <v>24.194875620407874</v>
      </c>
      <c r="T299" s="6">
        <v>10.304238907268452</v>
      </c>
      <c r="U299" s="6">
        <v>98.158336005161644</v>
      </c>
      <c r="V299" s="6">
        <v>8.9033006689253125E-2</v>
      </c>
      <c r="W299" s="6">
        <v>3.8657229642665318</v>
      </c>
      <c r="X299" s="6">
        <v>1.9363610281897459</v>
      </c>
      <c r="Y299" s="6">
        <v>18.822860786618801</v>
      </c>
    </row>
    <row r="300" spans="1:25" x14ac:dyDescent="0.25">
      <c r="A300" t="str">
        <f t="shared" si="4"/>
        <v>RTD Ice TeaFranceDecemberEUR (€)Fully-AutomatedOldPET Bottle1.5High-scaleHigh</v>
      </c>
      <c r="B300" t="s">
        <v>130</v>
      </c>
      <c r="C300" t="s">
        <v>130</v>
      </c>
      <c r="D300" t="s">
        <v>15</v>
      </c>
      <c r="E300" s="12" t="s">
        <v>182</v>
      </c>
      <c r="F300" t="s">
        <v>187</v>
      </c>
      <c r="G300" t="s">
        <v>12</v>
      </c>
      <c r="H300" t="s">
        <v>72</v>
      </c>
      <c r="I300" t="s">
        <v>175</v>
      </c>
      <c r="J300" s="12">
        <v>1.5</v>
      </c>
      <c r="K300" t="s">
        <v>107</v>
      </c>
      <c r="L300" t="s">
        <v>11</v>
      </c>
      <c r="M300" t="s">
        <v>200</v>
      </c>
      <c r="O300" t="s">
        <v>197</v>
      </c>
      <c r="P300">
        <v>6</v>
      </c>
      <c r="Q300" t="s">
        <v>201</v>
      </c>
      <c r="R300" s="6">
        <v>1.0227027006663367</v>
      </c>
      <c r="S300" s="6">
        <v>25.157810184141404</v>
      </c>
      <c r="T300" s="6">
        <v>10.71392460467014</v>
      </c>
      <c r="U300" s="6">
        <v>102.06160129220405</v>
      </c>
      <c r="V300" s="6">
        <v>9.235129665379295E-2</v>
      </c>
      <c r="W300" s="6">
        <v>4.0079611393927044</v>
      </c>
      <c r="X300" s="6">
        <v>2.0080335031192011</v>
      </c>
      <c r="Y300" s="6">
        <v>19.519034054438748</v>
      </c>
    </row>
    <row r="301" spans="1:25" x14ac:dyDescent="0.25">
      <c r="A301" t="str">
        <f t="shared" si="4"/>
        <v>RTD Ice TeaFranceDecemberEUR (€)Fully-AutomatedOldPET Bottle1.5Medium-scaleLow</v>
      </c>
      <c r="B301" t="s">
        <v>130</v>
      </c>
      <c r="C301" t="s">
        <v>130</v>
      </c>
      <c r="D301" t="s">
        <v>15</v>
      </c>
      <c r="E301" s="12" t="s">
        <v>182</v>
      </c>
      <c r="F301" t="s">
        <v>187</v>
      </c>
      <c r="G301" t="s">
        <v>12</v>
      </c>
      <c r="H301" t="s">
        <v>72</v>
      </c>
      <c r="I301" t="s">
        <v>175</v>
      </c>
      <c r="J301" s="12">
        <v>1.5</v>
      </c>
      <c r="K301" t="s">
        <v>62</v>
      </c>
      <c r="L301" t="s">
        <v>13</v>
      </c>
      <c r="M301" t="s">
        <v>200</v>
      </c>
      <c r="O301" t="s">
        <v>197</v>
      </c>
      <c r="P301">
        <v>6</v>
      </c>
      <c r="Q301" t="s">
        <v>201</v>
      </c>
      <c r="R301" s="6">
        <v>0.94873295329187568</v>
      </c>
      <c r="S301" s="6">
        <v>23.333647424644177</v>
      </c>
      <c r="T301" s="6">
        <v>9.940424416619754</v>
      </c>
      <c r="U301" s="6">
        <v>94.688377437397804</v>
      </c>
      <c r="V301" s="6">
        <v>8.6873394769224691E-2</v>
      </c>
      <c r="W301" s="6">
        <v>3.7749067369418676</v>
      </c>
      <c r="X301" s="6">
        <v>1.8910777105746537</v>
      </c>
      <c r="Y301" s="6">
        <v>18.382354455605494</v>
      </c>
    </row>
    <row r="302" spans="1:25" x14ac:dyDescent="0.25">
      <c r="A302" t="str">
        <f t="shared" si="4"/>
        <v>RTD Ice TeaFranceDecemberEUR (€)Fully-AutomatedOldPET Bottle1.5Medium-scaleMedium</v>
      </c>
      <c r="B302" t="s">
        <v>130</v>
      </c>
      <c r="C302" t="s">
        <v>130</v>
      </c>
      <c r="D302" t="s">
        <v>15</v>
      </c>
      <c r="E302" s="12" t="s">
        <v>182</v>
      </c>
      <c r="F302" t="s">
        <v>187</v>
      </c>
      <c r="G302" t="s">
        <v>12</v>
      </c>
      <c r="H302" t="s">
        <v>72</v>
      </c>
      <c r="I302" t="s">
        <v>175</v>
      </c>
      <c r="J302" s="12">
        <v>1.5</v>
      </c>
      <c r="K302" t="s">
        <v>62</v>
      </c>
      <c r="L302" t="s">
        <v>63</v>
      </c>
      <c r="M302" t="s">
        <v>200</v>
      </c>
      <c r="O302" t="s">
        <v>197</v>
      </c>
      <c r="P302">
        <v>6</v>
      </c>
      <c r="Q302" t="s">
        <v>201</v>
      </c>
      <c r="R302" s="6">
        <v>0.98495772499968293</v>
      </c>
      <c r="S302" s="6">
        <v>24.225253502175232</v>
      </c>
      <c r="T302" s="6">
        <v>10.31976302532502</v>
      </c>
      <c r="U302" s="6">
        <v>98.30251196243708</v>
      </c>
      <c r="V302" s="6">
        <v>8.9945885477131921E-2</v>
      </c>
      <c r="W302" s="6">
        <v>3.906608750947584</v>
      </c>
      <c r="X302" s="6">
        <v>1.9574411132871126</v>
      </c>
      <c r="Y302" s="6">
        <v>19.026959333216556</v>
      </c>
    </row>
    <row r="303" spans="1:25" x14ac:dyDescent="0.25">
      <c r="A303" t="str">
        <f t="shared" si="4"/>
        <v>RTD Ice TeaFranceDecemberEUR (€)Fully-AutomatedOldPET Bottle1.5Medium-scaleHigh</v>
      </c>
      <c r="B303" t="s">
        <v>130</v>
      </c>
      <c r="C303" t="s">
        <v>130</v>
      </c>
      <c r="D303" t="s">
        <v>15</v>
      </c>
      <c r="E303" s="12" t="s">
        <v>182</v>
      </c>
      <c r="F303" t="s">
        <v>187</v>
      </c>
      <c r="G303" t="s">
        <v>12</v>
      </c>
      <c r="H303" t="s">
        <v>72</v>
      </c>
      <c r="I303" t="s">
        <v>175</v>
      </c>
      <c r="J303" s="12">
        <v>1.5</v>
      </c>
      <c r="K303" t="s">
        <v>62</v>
      </c>
      <c r="L303" t="s">
        <v>11</v>
      </c>
      <c r="M303" t="s">
        <v>200</v>
      </c>
      <c r="O303" t="s">
        <v>197</v>
      </c>
      <c r="P303">
        <v>6</v>
      </c>
      <c r="Q303" t="s">
        <v>201</v>
      </c>
      <c r="R303" s="6">
        <v>1.0240804784441147</v>
      </c>
      <c r="S303" s="6">
        <v>25.188188065908765</v>
      </c>
      <c r="T303" s="6">
        <v>10.729448722726705</v>
      </c>
      <c r="U303" s="6">
        <v>102.20577724947947</v>
      </c>
      <c r="V303" s="6">
        <v>9.3264175441671746E-2</v>
      </c>
      <c r="W303" s="6">
        <v>4.0488469260737574</v>
      </c>
      <c r="X303" s="6">
        <v>2.0291135882165676</v>
      </c>
      <c r="Y303" s="6">
        <v>19.7231326010365</v>
      </c>
    </row>
    <row r="304" spans="1:25" x14ac:dyDescent="0.25">
      <c r="A304" t="str">
        <f t="shared" si="4"/>
        <v>RTD Ice TeaFranceDecemberEUR (€)Fully-AutomatedOldPET Bottle1.5Small-scaleLow</v>
      </c>
      <c r="B304" t="s">
        <v>130</v>
      </c>
      <c r="C304" t="s">
        <v>130</v>
      </c>
      <c r="D304" t="s">
        <v>15</v>
      </c>
      <c r="E304" s="12" t="s">
        <v>182</v>
      </c>
      <c r="F304" t="s">
        <v>187</v>
      </c>
      <c r="G304" t="s">
        <v>12</v>
      </c>
      <c r="H304" t="s">
        <v>72</v>
      </c>
      <c r="I304" t="s">
        <v>175</v>
      </c>
      <c r="J304" s="12">
        <v>1.5</v>
      </c>
      <c r="K304" t="s">
        <v>60</v>
      </c>
      <c r="L304" t="s">
        <v>13</v>
      </c>
      <c r="M304" t="s">
        <v>200</v>
      </c>
      <c r="O304" t="s">
        <v>197</v>
      </c>
      <c r="P304">
        <v>6</v>
      </c>
      <c r="Q304" t="s">
        <v>201</v>
      </c>
      <c r="R304" s="6">
        <v>0.95102924958817192</v>
      </c>
      <c r="S304" s="6">
        <v>23.384277227589777</v>
      </c>
      <c r="T304" s="6">
        <v>9.966297946714036</v>
      </c>
      <c r="U304" s="6">
        <v>94.928670699523522</v>
      </c>
      <c r="V304" s="6">
        <v>8.8394859415689336E-2</v>
      </c>
      <c r="W304" s="6">
        <v>3.8430497147436191</v>
      </c>
      <c r="X304" s="6">
        <v>1.9262111857369308</v>
      </c>
      <c r="Y304" s="6">
        <v>18.72251869993508</v>
      </c>
    </row>
    <row r="305" spans="1:25" x14ac:dyDescent="0.25">
      <c r="A305" t="str">
        <f t="shared" si="4"/>
        <v>RTD Ice TeaFranceDecemberEUR (€)Fully-AutomatedOldPET Bottle1.5Small-scaleMedium</v>
      </c>
      <c r="B305" t="s">
        <v>130</v>
      </c>
      <c r="C305" t="s">
        <v>130</v>
      </c>
      <c r="D305" t="s">
        <v>15</v>
      </c>
      <c r="E305" s="12" t="s">
        <v>182</v>
      </c>
      <c r="F305" t="s">
        <v>187</v>
      </c>
      <c r="G305" t="s">
        <v>12</v>
      </c>
      <c r="H305" t="s">
        <v>72</v>
      </c>
      <c r="I305" t="s">
        <v>175</v>
      </c>
      <c r="J305" s="12">
        <v>1.5</v>
      </c>
      <c r="K305" t="s">
        <v>60</v>
      </c>
      <c r="L305" t="s">
        <v>63</v>
      </c>
      <c r="M305" t="s">
        <v>200</v>
      </c>
      <c r="O305" t="s">
        <v>197</v>
      </c>
      <c r="P305">
        <v>6</v>
      </c>
      <c r="Q305" t="s">
        <v>201</v>
      </c>
      <c r="R305" s="6">
        <v>0.98725402129597928</v>
      </c>
      <c r="S305" s="6">
        <v>24.275883305120828</v>
      </c>
      <c r="T305" s="6">
        <v>10.345636555419302</v>
      </c>
      <c r="U305" s="6">
        <v>98.542805224562784</v>
      </c>
      <c r="V305" s="6">
        <v>9.146735012359658E-2</v>
      </c>
      <c r="W305" s="6">
        <v>3.9747517287493359</v>
      </c>
      <c r="X305" s="6">
        <v>1.9925745884493895</v>
      </c>
      <c r="Y305" s="6">
        <v>19.367123577546138</v>
      </c>
    </row>
    <row r="306" spans="1:25" x14ac:dyDescent="0.25">
      <c r="A306" t="str">
        <f t="shared" si="4"/>
        <v>RTD Ice TeaFranceDecemberEUR (€)Fully-AutomatedOldPET Bottle1.5Small-scaleHigh</v>
      </c>
      <c r="B306" t="s">
        <v>130</v>
      </c>
      <c r="C306" t="s">
        <v>130</v>
      </c>
      <c r="D306" t="s">
        <v>15</v>
      </c>
      <c r="E306" s="12" t="s">
        <v>182</v>
      </c>
      <c r="F306" t="s">
        <v>187</v>
      </c>
      <c r="G306" t="s">
        <v>12</v>
      </c>
      <c r="H306" t="s">
        <v>72</v>
      </c>
      <c r="I306" t="s">
        <v>175</v>
      </c>
      <c r="J306" s="12">
        <v>1.5</v>
      </c>
      <c r="K306" t="s">
        <v>60</v>
      </c>
      <c r="L306" t="s">
        <v>11</v>
      </c>
      <c r="M306" t="s">
        <v>200</v>
      </c>
      <c r="O306" t="s">
        <v>197</v>
      </c>
      <c r="P306">
        <v>6</v>
      </c>
      <c r="Q306" t="s">
        <v>201</v>
      </c>
      <c r="R306" s="6">
        <v>1.0263767747404109</v>
      </c>
      <c r="S306" s="6">
        <v>25.238817868854369</v>
      </c>
      <c r="T306" s="6">
        <v>10.755322252820989</v>
      </c>
      <c r="U306" s="6">
        <v>102.44607051160517</v>
      </c>
      <c r="V306" s="6">
        <v>9.4785640088136391E-2</v>
      </c>
      <c r="W306" s="6">
        <v>4.1169899038755098</v>
      </c>
      <c r="X306" s="6">
        <v>2.0642470633788443</v>
      </c>
      <c r="Y306" s="6">
        <v>20.063296845366079</v>
      </c>
    </row>
    <row r="307" spans="1:25" x14ac:dyDescent="0.25">
      <c r="A307" t="str">
        <f t="shared" si="4"/>
        <v>RTD Ice TeaFranceDecemberEUR (€)Fully-AutomatedOldPET Bottle1.5High-scaleLow</v>
      </c>
      <c r="B307" t="s">
        <v>130</v>
      </c>
      <c r="C307" t="s">
        <v>130</v>
      </c>
      <c r="D307" t="s">
        <v>15</v>
      </c>
      <c r="E307" s="12" t="s">
        <v>182</v>
      </c>
      <c r="F307" t="s">
        <v>187</v>
      </c>
      <c r="G307" t="s">
        <v>12</v>
      </c>
      <c r="H307" t="s">
        <v>72</v>
      </c>
      <c r="I307" t="s">
        <v>175</v>
      </c>
      <c r="J307" s="12">
        <v>1.5</v>
      </c>
      <c r="K307" t="s">
        <v>107</v>
      </c>
      <c r="L307" t="s">
        <v>13</v>
      </c>
      <c r="M307" t="s">
        <v>199</v>
      </c>
      <c r="O307" t="s">
        <v>197</v>
      </c>
      <c r="P307">
        <v>8</v>
      </c>
      <c r="Q307" t="s">
        <v>202</v>
      </c>
      <c r="R307" s="6">
        <v>0.94735517551409787</v>
      </c>
      <c r="S307" s="6">
        <v>23.303269542876816</v>
      </c>
      <c r="T307" s="6">
        <v>9.924900298563184</v>
      </c>
      <c r="U307" s="6">
        <v>94.544201480122396</v>
      </c>
      <c r="V307" s="6">
        <v>9.3418125788706743E-2</v>
      </c>
      <c r="W307" s="6">
        <v>2.9748678612743924</v>
      </c>
      <c r="X307" s="6">
        <v>1.8521027426814125</v>
      </c>
      <c r="Y307" s="6">
        <v>17.539458480074032</v>
      </c>
    </row>
    <row r="308" spans="1:25" x14ac:dyDescent="0.25">
      <c r="A308" t="str">
        <f t="shared" si="4"/>
        <v>RTD Ice TeaFranceDecemberEUR (€)Fully-AutomatedOldPET Bottle1.5High-scaleMedium</v>
      </c>
      <c r="B308" t="s">
        <v>130</v>
      </c>
      <c r="C308" t="s">
        <v>130</v>
      </c>
      <c r="D308" t="s">
        <v>15</v>
      </c>
      <c r="E308" s="12" t="s">
        <v>182</v>
      </c>
      <c r="F308" t="s">
        <v>187</v>
      </c>
      <c r="G308" t="s">
        <v>12</v>
      </c>
      <c r="H308" t="s">
        <v>72</v>
      </c>
      <c r="I308" t="s">
        <v>175</v>
      </c>
      <c r="J308" s="12">
        <v>1.5</v>
      </c>
      <c r="K308" t="s">
        <v>107</v>
      </c>
      <c r="L308" t="s">
        <v>63</v>
      </c>
      <c r="M308" t="s">
        <v>199</v>
      </c>
      <c r="O308" t="s">
        <v>197</v>
      </c>
      <c r="P308">
        <v>8</v>
      </c>
      <c r="Q308" t="s">
        <v>202</v>
      </c>
      <c r="R308" s="6">
        <v>0.98357994722190512</v>
      </c>
      <c r="S308" s="6">
        <v>24.194875620407874</v>
      </c>
      <c r="T308" s="6">
        <v>10.304238907268452</v>
      </c>
      <c r="U308" s="6">
        <v>98.158336005161644</v>
      </c>
      <c r="V308" s="6">
        <v>9.6675951916555203E-2</v>
      </c>
      <c r="W308" s="6">
        <v>3.0766327051141853</v>
      </c>
      <c r="X308" s="6">
        <v>1.9160405110200707</v>
      </c>
      <c r="Y308" s="6">
        <v>18.144365825633631</v>
      </c>
    </row>
    <row r="309" spans="1:25" x14ac:dyDescent="0.25">
      <c r="A309" t="str">
        <f t="shared" si="4"/>
        <v>RTD Ice TeaFranceDecemberEUR (€)Fully-AutomatedOldPET Bottle1.5High-scaleHigh</v>
      </c>
      <c r="B309" t="s">
        <v>130</v>
      </c>
      <c r="C309" t="s">
        <v>130</v>
      </c>
      <c r="D309" t="s">
        <v>15</v>
      </c>
      <c r="E309" s="12" t="s">
        <v>182</v>
      </c>
      <c r="F309" t="s">
        <v>187</v>
      </c>
      <c r="G309" t="s">
        <v>12</v>
      </c>
      <c r="H309" t="s">
        <v>72</v>
      </c>
      <c r="I309" t="s">
        <v>175</v>
      </c>
      <c r="J309" s="12">
        <v>1.5</v>
      </c>
      <c r="K309" t="s">
        <v>107</v>
      </c>
      <c r="L309" t="s">
        <v>11</v>
      </c>
      <c r="M309" t="s">
        <v>199</v>
      </c>
      <c r="O309" t="s">
        <v>197</v>
      </c>
      <c r="P309">
        <v>8</v>
      </c>
      <c r="Q309" t="s">
        <v>202</v>
      </c>
      <c r="R309" s="6">
        <v>1.0227027006663367</v>
      </c>
      <c r="S309" s="6">
        <v>25.157810184141404</v>
      </c>
      <c r="T309" s="6">
        <v>10.71392460467014</v>
      </c>
      <c r="U309" s="6">
        <v>102.06160129220405</v>
      </c>
      <c r="V309" s="6">
        <v>0.10019440413463156</v>
      </c>
      <c r="W309" s="6">
        <v>3.1865387364611606</v>
      </c>
      <c r="X309" s="6">
        <v>1.9850933008258216</v>
      </c>
      <c r="Y309" s="6">
        <v>18.797665758838001</v>
      </c>
    </row>
    <row r="310" spans="1:25" x14ac:dyDescent="0.25">
      <c r="A310" t="str">
        <f t="shared" si="4"/>
        <v>RTD Ice TeaFranceDecemberEUR (€)Fully-AutomatedOldPET Bottle1.5Medium-scaleLow</v>
      </c>
      <c r="B310" t="s">
        <v>130</v>
      </c>
      <c r="C310" t="s">
        <v>130</v>
      </c>
      <c r="D310" t="s">
        <v>15</v>
      </c>
      <c r="E310" s="12" t="s">
        <v>182</v>
      </c>
      <c r="F310" t="s">
        <v>187</v>
      </c>
      <c r="G310" t="s">
        <v>12</v>
      </c>
      <c r="H310" t="s">
        <v>72</v>
      </c>
      <c r="I310" t="s">
        <v>175</v>
      </c>
      <c r="J310" s="12">
        <v>1.5</v>
      </c>
      <c r="K310" t="s">
        <v>62</v>
      </c>
      <c r="L310" t="s">
        <v>13</v>
      </c>
      <c r="M310" t="s">
        <v>199</v>
      </c>
      <c r="O310" t="s">
        <v>197</v>
      </c>
      <c r="P310">
        <v>8</v>
      </c>
      <c r="Q310" t="s">
        <v>202</v>
      </c>
      <c r="R310" s="6">
        <v>0.94873295329187568</v>
      </c>
      <c r="S310" s="6">
        <v>23.333647424644177</v>
      </c>
      <c r="T310" s="6">
        <v>9.940424416619754</v>
      </c>
      <c r="U310" s="6">
        <v>94.688377437397804</v>
      </c>
      <c r="V310" s="6">
        <v>9.4432014677595641E-2</v>
      </c>
      <c r="W310" s="6">
        <v>3.0085772629024823</v>
      </c>
      <c r="X310" s="6">
        <v>1.873182827778779</v>
      </c>
      <c r="Y310" s="6">
        <v>17.738958032953011</v>
      </c>
    </row>
    <row r="311" spans="1:25" x14ac:dyDescent="0.25">
      <c r="A311" t="str">
        <f t="shared" si="4"/>
        <v>RTD Ice TeaFranceDecemberEUR (€)Fully-AutomatedOldPET Bottle1.5Medium-scaleMedium</v>
      </c>
      <c r="B311" t="s">
        <v>130</v>
      </c>
      <c r="C311" t="s">
        <v>130</v>
      </c>
      <c r="D311" t="s">
        <v>15</v>
      </c>
      <c r="E311" s="12" t="s">
        <v>182</v>
      </c>
      <c r="F311" t="s">
        <v>187</v>
      </c>
      <c r="G311" t="s">
        <v>12</v>
      </c>
      <c r="H311" t="s">
        <v>72</v>
      </c>
      <c r="I311" t="s">
        <v>175</v>
      </c>
      <c r="J311" s="12">
        <v>1.5</v>
      </c>
      <c r="K311" t="s">
        <v>62</v>
      </c>
      <c r="L311" t="s">
        <v>63</v>
      </c>
      <c r="M311" t="s">
        <v>199</v>
      </c>
      <c r="O311" t="s">
        <v>197</v>
      </c>
      <c r="P311">
        <v>8</v>
      </c>
      <c r="Q311" t="s">
        <v>202</v>
      </c>
      <c r="R311" s="6">
        <v>0.98495772499968293</v>
      </c>
      <c r="S311" s="6">
        <v>24.225253502175232</v>
      </c>
      <c r="T311" s="6">
        <v>10.31976302532502</v>
      </c>
      <c r="U311" s="6">
        <v>98.30251196243708</v>
      </c>
      <c r="V311" s="6">
        <v>9.76898408054441E-2</v>
      </c>
      <c r="W311" s="6">
        <v>3.1103421067422752</v>
      </c>
      <c r="X311" s="6">
        <v>1.9371205961174374</v>
      </c>
      <c r="Y311" s="6">
        <v>18.343865378512614</v>
      </c>
    </row>
    <row r="312" spans="1:25" x14ac:dyDescent="0.25">
      <c r="A312" t="str">
        <f t="shared" si="4"/>
        <v>RTD Ice TeaFranceDecemberEUR (€)Fully-AutomatedOldPET Bottle1.5Medium-scaleHigh</v>
      </c>
      <c r="B312" t="s">
        <v>130</v>
      </c>
      <c r="C312" t="s">
        <v>130</v>
      </c>
      <c r="D312" t="s">
        <v>15</v>
      </c>
      <c r="E312" s="12" t="s">
        <v>182</v>
      </c>
      <c r="F312" t="s">
        <v>187</v>
      </c>
      <c r="G312" t="s">
        <v>12</v>
      </c>
      <c r="H312" t="s">
        <v>72</v>
      </c>
      <c r="I312" t="s">
        <v>175</v>
      </c>
      <c r="J312" s="12">
        <v>1.5</v>
      </c>
      <c r="K312" t="s">
        <v>62</v>
      </c>
      <c r="L312" t="s">
        <v>11</v>
      </c>
      <c r="M312" t="s">
        <v>199</v>
      </c>
      <c r="O312" t="s">
        <v>197</v>
      </c>
      <c r="P312">
        <v>8</v>
      </c>
      <c r="Q312" t="s">
        <v>202</v>
      </c>
      <c r="R312" s="6">
        <v>1.0240804784441147</v>
      </c>
      <c r="S312" s="6">
        <v>25.188188065908765</v>
      </c>
      <c r="T312" s="6">
        <v>10.729448722726705</v>
      </c>
      <c r="U312" s="6">
        <v>102.20577724947947</v>
      </c>
      <c r="V312" s="6">
        <v>0.10120829302352045</v>
      </c>
      <c r="W312" s="6">
        <v>3.2202481380892509</v>
      </c>
      <c r="X312" s="6">
        <v>2.0061733859231885</v>
      </c>
      <c r="Y312" s="6">
        <v>18.997165311716984</v>
      </c>
    </row>
    <row r="313" spans="1:25" x14ac:dyDescent="0.25">
      <c r="A313" t="str">
        <f t="shared" si="4"/>
        <v>RTD Ice TeaFranceDecemberEUR (€)Fully-AutomatedOldPET Bottle1.5Small-scaleLow</v>
      </c>
      <c r="B313" t="s">
        <v>130</v>
      </c>
      <c r="C313" t="s">
        <v>130</v>
      </c>
      <c r="D313" t="s">
        <v>15</v>
      </c>
      <c r="E313" s="12" t="s">
        <v>182</v>
      </c>
      <c r="F313" t="s">
        <v>187</v>
      </c>
      <c r="G313" t="s">
        <v>12</v>
      </c>
      <c r="H313" t="s">
        <v>72</v>
      </c>
      <c r="I313" t="s">
        <v>175</v>
      </c>
      <c r="J313" s="12">
        <v>1.5</v>
      </c>
      <c r="K313" t="s">
        <v>60</v>
      </c>
      <c r="L313" t="s">
        <v>13</v>
      </c>
      <c r="M313" t="s">
        <v>199</v>
      </c>
      <c r="O313" t="s">
        <v>197</v>
      </c>
      <c r="P313">
        <v>8</v>
      </c>
      <c r="Q313" t="s">
        <v>202</v>
      </c>
      <c r="R313" s="6">
        <v>0.95102924958817192</v>
      </c>
      <c r="S313" s="6">
        <v>23.384277227589777</v>
      </c>
      <c r="T313" s="6">
        <v>9.966297946714036</v>
      </c>
      <c r="U313" s="6">
        <v>94.928670699523522</v>
      </c>
      <c r="V313" s="6">
        <v>9.6121829492410452E-2</v>
      </c>
      <c r="W313" s="6">
        <v>3.0647595989492982</v>
      </c>
      <c r="X313" s="6">
        <v>1.9083163029410557</v>
      </c>
      <c r="Y313" s="6">
        <v>18.071457287751315</v>
      </c>
    </row>
    <row r="314" spans="1:25" x14ac:dyDescent="0.25">
      <c r="A314" t="str">
        <f t="shared" si="4"/>
        <v>RTD Ice TeaFranceDecemberEUR (€)Fully-AutomatedOldPET Bottle1.5Small-scaleMedium</v>
      </c>
      <c r="B314" t="s">
        <v>130</v>
      </c>
      <c r="C314" t="s">
        <v>130</v>
      </c>
      <c r="D314" t="s">
        <v>15</v>
      </c>
      <c r="E314" s="12" t="s">
        <v>182</v>
      </c>
      <c r="F314" t="s">
        <v>187</v>
      </c>
      <c r="G314" t="s">
        <v>12</v>
      </c>
      <c r="H314" t="s">
        <v>72</v>
      </c>
      <c r="I314" t="s">
        <v>175</v>
      </c>
      <c r="J314" s="12">
        <v>1.5</v>
      </c>
      <c r="K314" t="s">
        <v>60</v>
      </c>
      <c r="L314" t="s">
        <v>63</v>
      </c>
      <c r="M314" t="s">
        <v>199</v>
      </c>
      <c r="O314" t="s">
        <v>197</v>
      </c>
      <c r="P314">
        <v>8</v>
      </c>
      <c r="Q314" t="s">
        <v>202</v>
      </c>
      <c r="R314" s="6">
        <v>0.98725402129597928</v>
      </c>
      <c r="S314" s="6">
        <v>24.275883305120828</v>
      </c>
      <c r="T314" s="6">
        <v>10.345636555419302</v>
      </c>
      <c r="U314" s="6">
        <v>98.542805224562784</v>
      </c>
      <c r="V314" s="6">
        <v>9.9379655620258911E-2</v>
      </c>
      <c r="W314" s="6">
        <v>3.1665244427890911</v>
      </c>
      <c r="X314" s="6">
        <v>1.9722540712797136</v>
      </c>
      <c r="Y314" s="6">
        <v>18.676364633310918</v>
      </c>
    </row>
    <row r="315" spans="1:25" x14ac:dyDescent="0.25">
      <c r="A315" t="str">
        <f t="shared" si="4"/>
        <v>RTD Ice TeaFranceDecemberEUR (€)Fully-AutomatedOldPET Bottle1.5Small-scaleHigh</v>
      </c>
      <c r="B315" t="s">
        <v>130</v>
      </c>
      <c r="C315" t="s">
        <v>130</v>
      </c>
      <c r="D315" t="s">
        <v>15</v>
      </c>
      <c r="E315" s="12" t="s">
        <v>182</v>
      </c>
      <c r="F315" t="s">
        <v>187</v>
      </c>
      <c r="G315" t="s">
        <v>12</v>
      </c>
      <c r="H315" t="s">
        <v>72</v>
      </c>
      <c r="I315" t="s">
        <v>175</v>
      </c>
      <c r="J315" s="12">
        <v>1.5</v>
      </c>
      <c r="K315" t="s">
        <v>60</v>
      </c>
      <c r="L315" t="s">
        <v>11</v>
      </c>
      <c r="M315" t="s">
        <v>199</v>
      </c>
      <c r="O315" t="s">
        <v>197</v>
      </c>
      <c r="P315">
        <v>8</v>
      </c>
      <c r="Q315" t="s">
        <v>202</v>
      </c>
      <c r="R315" s="6">
        <v>1.0263767747404109</v>
      </c>
      <c r="S315" s="6">
        <v>25.238817868854369</v>
      </c>
      <c r="T315" s="6">
        <v>10.755322252820989</v>
      </c>
      <c r="U315" s="6">
        <v>102.44607051160517</v>
      </c>
      <c r="V315" s="6">
        <v>0.10289810783833526</v>
      </c>
      <c r="W315" s="6">
        <v>3.2764304741360664</v>
      </c>
      <c r="X315" s="6">
        <v>2.0413068610854648</v>
      </c>
      <c r="Y315" s="6">
        <v>19.329664566515284</v>
      </c>
    </row>
    <row r="316" spans="1:25" x14ac:dyDescent="0.25">
      <c r="A316" t="str">
        <f t="shared" si="4"/>
        <v>RTD Ice TeaFranceDecemberEUR (€)Fully-AutomatedOldPET Bottle1.5High-scaleLow</v>
      </c>
      <c r="B316" t="s">
        <v>130</v>
      </c>
      <c r="C316" t="s">
        <v>130</v>
      </c>
      <c r="D316" t="s">
        <v>15</v>
      </c>
      <c r="E316" s="12" t="s">
        <v>182</v>
      </c>
      <c r="F316" t="s">
        <v>187</v>
      </c>
      <c r="G316" t="s">
        <v>12</v>
      </c>
      <c r="H316" t="s">
        <v>72</v>
      </c>
      <c r="I316" t="s">
        <v>175</v>
      </c>
      <c r="J316" s="12">
        <v>1.5</v>
      </c>
      <c r="K316" t="s">
        <v>107</v>
      </c>
      <c r="L316" t="s">
        <v>13</v>
      </c>
      <c r="M316" t="s">
        <v>200</v>
      </c>
      <c r="O316" t="s">
        <v>197</v>
      </c>
      <c r="P316">
        <v>8</v>
      </c>
      <c r="Q316" t="s">
        <v>202</v>
      </c>
      <c r="R316" s="6">
        <v>0.94735517551409787</v>
      </c>
      <c r="S316" s="6">
        <v>23.303269542876816</v>
      </c>
      <c r="T316" s="6">
        <v>9.924900298563184</v>
      </c>
      <c r="U316" s="6">
        <v>94.544201480122396</v>
      </c>
      <c r="V316" s="6">
        <v>8.156396515792122E-2</v>
      </c>
      <c r="W316" s="6">
        <v>3.6166970969614733</v>
      </c>
      <c r="X316" s="6">
        <v>1.8083150245779531</v>
      </c>
      <c r="Y316" s="6">
        <v>17.581423112285208</v>
      </c>
    </row>
    <row r="317" spans="1:25" x14ac:dyDescent="0.25">
      <c r="A317" t="str">
        <f t="shared" si="4"/>
        <v>RTD Ice TeaFranceDecemberEUR (€)Fully-AutomatedOldPET Bottle1.5High-scaleMedium</v>
      </c>
      <c r="B317" t="s">
        <v>130</v>
      </c>
      <c r="C317" t="s">
        <v>130</v>
      </c>
      <c r="D317" t="s">
        <v>15</v>
      </c>
      <c r="E317" s="12" t="s">
        <v>182</v>
      </c>
      <c r="F317" t="s">
        <v>187</v>
      </c>
      <c r="G317" t="s">
        <v>12</v>
      </c>
      <c r="H317" t="s">
        <v>72</v>
      </c>
      <c r="I317" t="s">
        <v>175</v>
      </c>
      <c r="J317" s="12">
        <v>1.5</v>
      </c>
      <c r="K317" t="s">
        <v>107</v>
      </c>
      <c r="L317" t="s">
        <v>63</v>
      </c>
      <c r="M317" t="s">
        <v>200</v>
      </c>
      <c r="O317" t="s">
        <v>197</v>
      </c>
      <c r="P317">
        <v>8</v>
      </c>
      <c r="Q317" t="s">
        <v>202</v>
      </c>
      <c r="R317" s="6">
        <v>0.98357994722190512</v>
      </c>
      <c r="S317" s="6">
        <v>24.194875620407874</v>
      </c>
      <c r="T317" s="6">
        <v>10.304238907268452</v>
      </c>
      <c r="U317" s="6">
        <v>98.158336005161644</v>
      </c>
      <c r="V317" s="6">
        <v>8.4467357757235184E-2</v>
      </c>
      <c r="W317" s="6">
        <v>3.7438866550710617</v>
      </c>
      <c r="X317" s="6">
        <v>1.8723060195635137</v>
      </c>
      <c r="Y317" s="6">
        <v>18.203072882330012</v>
      </c>
    </row>
    <row r="318" spans="1:25" x14ac:dyDescent="0.25">
      <c r="A318" t="str">
        <f t="shared" si="4"/>
        <v>RTD Ice TeaFranceDecemberEUR (€)Fully-AutomatedOldPET Bottle1.5High-scaleHigh</v>
      </c>
      <c r="B318" t="s">
        <v>130</v>
      </c>
      <c r="C318" t="s">
        <v>130</v>
      </c>
      <c r="D318" t="s">
        <v>15</v>
      </c>
      <c r="E318" s="12" t="s">
        <v>182</v>
      </c>
      <c r="F318" t="s">
        <v>187</v>
      </c>
      <c r="G318" t="s">
        <v>12</v>
      </c>
      <c r="H318" t="s">
        <v>72</v>
      </c>
      <c r="I318" t="s">
        <v>175</v>
      </c>
      <c r="J318" s="12">
        <v>1.5</v>
      </c>
      <c r="K318" t="s">
        <v>107</v>
      </c>
      <c r="L318" t="s">
        <v>11</v>
      </c>
      <c r="M318" t="s">
        <v>200</v>
      </c>
      <c r="O318" t="s">
        <v>197</v>
      </c>
      <c r="P318">
        <v>8</v>
      </c>
      <c r="Q318" t="s">
        <v>202</v>
      </c>
      <c r="R318" s="6">
        <v>1.0227027006663367</v>
      </c>
      <c r="S318" s="6">
        <v>25.157810184141404</v>
      </c>
      <c r="T318" s="6">
        <v>10.71392460467014</v>
      </c>
      <c r="U318" s="6">
        <v>102.06160129220405</v>
      </c>
      <c r="V318" s="6">
        <v>8.760302176449429E-2</v>
      </c>
      <c r="W318" s="6">
        <v>3.8812513778294151</v>
      </c>
      <c r="X318" s="6">
        <v>1.9414162941479196</v>
      </c>
      <c r="Y318" s="6">
        <v>18.874454633978406</v>
      </c>
    </row>
    <row r="319" spans="1:25" x14ac:dyDescent="0.25">
      <c r="A319" t="str">
        <f t="shared" si="4"/>
        <v>RTD Ice TeaFranceDecemberEUR (€)Fully-AutomatedOldPET Bottle1.5Medium-scaleLow</v>
      </c>
      <c r="B319" t="s">
        <v>130</v>
      </c>
      <c r="C319" t="s">
        <v>130</v>
      </c>
      <c r="D319" t="s">
        <v>15</v>
      </c>
      <c r="E319" s="12" t="s">
        <v>182</v>
      </c>
      <c r="F319" t="s">
        <v>187</v>
      </c>
      <c r="G319" t="s">
        <v>12</v>
      </c>
      <c r="H319" t="s">
        <v>72</v>
      </c>
      <c r="I319" t="s">
        <v>175</v>
      </c>
      <c r="J319" s="12">
        <v>1.5</v>
      </c>
      <c r="K319" t="s">
        <v>62</v>
      </c>
      <c r="L319" t="s">
        <v>13</v>
      </c>
      <c r="M319" t="s">
        <v>200</v>
      </c>
      <c r="O319" t="s">
        <v>197</v>
      </c>
      <c r="P319">
        <v>8</v>
      </c>
      <c r="Q319" t="s">
        <v>202</v>
      </c>
      <c r="R319" s="6">
        <v>0.94873295329187568</v>
      </c>
      <c r="S319" s="6">
        <v>23.333647424644177</v>
      </c>
      <c r="T319" s="6">
        <v>9.940424416619754</v>
      </c>
      <c r="U319" s="6">
        <v>94.688377437397804</v>
      </c>
      <c r="V319" s="6">
        <v>8.2476843945800016E-2</v>
      </c>
      <c r="W319" s="6">
        <v>3.6575828836425255</v>
      </c>
      <c r="X319" s="6">
        <v>1.8293951096753192</v>
      </c>
      <c r="Y319" s="6">
        <v>17.78552165888296</v>
      </c>
    </row>
    <row r="320" spans="1:25" x14ac:dyDescent="0.25">
      <c r="A320" t="str">
        <f t="shared" si="4"/>
        <v>RTD Ice TeaFranceDecemberEUR (€)Fully-AutomatedOldPET Bottle1.5Medium-scaleMedium</v>
      </c>
      <c r="B320" t="s">
        <v>130</v>
      </c>
      <c r="C320" t="s">
        <v>130</v>
      </c>
      <c r="D320" t="s">
        <v>15</v>
      </c>
      <c r="E320" s="12" t="s">
        <v>182</v>
      </c>
      <c r="F320" t="s">
        <v>187</v>
      </c>
      <c r="G320" t="s">
        <v>12</v>
      </c>
      <c r="H320" t="s">
        <v>72</v>
      </c>
      <c r="I320" t="s">
        <v>175</v>
      </c>
      <c r="J320" s="12">
        <v>1.5</v>
      </c>
      <c r="K320" t="s">
        <v>62</v>
      </c>
      <c r="L320" t="s">
        <v>63</v>
      </c>
      <c r="M320" t="s">
        <v>200</v>
      </c>
      <c r="O320" t="s">
        <v>197</v>
      </c>
      <c r="P320">
        <v>8</v>
      </c>
      <c r="Q320" t="s">
        <v>202</v>
      </c>
      <c r="R320" s="6">
        <v>0.98495772499968293</v>
      </c>
      <c r="S320" s="6">
        <v>24.225253502175232</v>
      </c>
      <c r="T320" s="6">
        <v>10.31976302532502</v>
      </c>
      <c r="U320" s="6">
        <v>98.30251196243708</v>
      </c>
      <c r="V320" s="6">
        <v>8.5380236545113994E-2</v>
      </c>
      <c r="W320" s="6">
        <v>3.7847724417521134</v>
      </c>
      <c r="X320" s="6">
        <v>1.8933861046608804</v>
      </c>
      <c r="Y320" s="6">
        <v>18.407171428927768</v>
      </c>
    </row>
    <row r="321" spans="1:25" x14ac:dyDescent="0.25">
      <c r="A321" t="str">
        <f t="shared" si="4"/>
        <v>RTD Ice TeaFranceDecemberEUR (€)Fully-AutomatedOldPET Bottle1.5Medium-scaleHigh</v>
      </c>
      <c r="B321" t="s">
        <v>130</v>
      </c>
      <c r="C321" t="s">
        <v>130</v>
      </c>
      <c r="D321" t="s">
        <v>15</v>
      </c>
      <c r="E321" s="12" t="s">
        <v>182</v>
      </c>
      <c r="F321" t="s">
        <v>187</v>
      </c>
      <c r="G321" t="s">
        <v>12</v>
      </c>
      <c r="H321" t="s">
        <v>72</v>
      </c>
      <c r="I321" t="s">
        <v>175</v>
      </c>
      <c r="J321" s="12">
        <v>1.5</v>
      </c>
      <c r="K321" t="s">
        <v>62</v>
      </c>
      <c r="L321" t="s">
        <v>11</v>
      </c>
      <c r="M321" t="s">
        <v>200</v>
      </c>
      <c r="O321" t="s">
        <v>197</v>
      </c>
      <c r="P321">
        <v>8</v>
      </c>
      <c r="Q321" t="s">
        <v>202</v>
      </c>
      <c r="R321" s="6">
        <v>1.0240804784441147</v>
      </c>
      <c r="S321" s="6">
        <v>25.188188065908765</v>
      </c>
      <c r="T321" s="6">
        <v>10.729448722726705</v>
      </c>
      <c r="U321" s="6">
        <v>102.20577724947947</v>
      </c>
      <c r="V321" s="6">
        <v>8.85159005523731E-2</v>
      </c>
      <c r="W321" s="6">
        <v>3.9221371645104677</v>
      </c>
      <c r="X321" s="6">
        <v>1.9624963792452861</v>
      </c>
      <c r="Y321" s="6">
        <v>19.078553180576158</v>
      </c>
    </row>
    <row r="322" spans="1:25" x14ac:dyDescent="0.25">
      <c r="A322" t="str">
        <f t="shared" ref="A322:A385" si="5">C322&amp;D322&amp;E322&amp;F322&amp;G322&amp;H322&amp;I322&amp;J322&amp;K322&amp;L322</f>
        <v>RTD Ice TeaFranceDecemberEUR (€)Fully-AutomatedOldPET Bottle1.5Small-scaleLow</v>
      </c>
      <c r="B322" t="s">
        <v>130</v>
      </c>
      <c r="C322" t="s">
        <v>130</v>
      </c>
      <c r="D322" t="s">
        <v>15</v>
      </c>
      <c r="E322" s="12" t="s">
        <v>182</v>
      </c>
      <c r="F322" t="s">
        <v>187</v>
      </c>
      <c r="G322" t="s">
        <v>12</v>
      </c>
      <c r="H322" t="s">
        <v>72</v>
      </c>
      <c r="I322" t="s">
        <v>175</v>
      </c>
      <c r="J322" s="12">
        <v>1.5</v>
      </c>
      <c r="K322" t="s">
        <v>60</v>
      </c>
      <c r="L322" t="s">
        <v>13</v>
      </c>
      <c r="M322" t="s">
        <v>200</v>
      </c>
      <c r="O322" t="s">
        <v>197</v>
      </c>
      <c r="P322">
        <v>8</v>
      </c>
      <c r="Q322" t="s">
        <v>202</v>
      </c>
      <c r="R322" s="6">
        <v>0.95102924958817192</v>
      </c>
      <c r="S322" s="6">
        <v>23.384277227589777</v>
      </c>
      <c r="T322" s="6">
        <v>9.966297946714036</v>
      </c>
      <c r="U322" s="6">
        <v>94.928670699523522</v>
      </c>
      <c r="V322" s="6">
        <v>8.3998308592264648E-2</v>
      </c>
      <c r="W322" s="6">
        <v>3.725725861444277</v>
      </c>
      <c r="X322" s="6">
        <v>1.8645285848375959</v>
      </c>
      <c r="Y322" s="6">
        <v>18.125685903212542</v>
      </c>
    </row>
    <row r="323" spans="1:25" x14ac:dyDescent="0.25">
      <c r="A323" t="str">
        <f t="shared" si="5"/>
        <v>RTD Ice TeaFranceDecemberEUR (€)Fully-AutomatedOldPET Bottle1.5Small-scaleMedium</v>
      </c>
      <c r="B323" t="s">
        <v>130</v>
      </c>
      <c r="C323" t="s">
        <v>130</v>
      </c>
      <c r="D323" t="s">
        <v>15</v>
      </c>
      <c r="E323" s="12" t="s">
        <v>182</v>
      </c>
      <c r="F323" t="s">
        <v>187</v>
      </c>
      <c r="G323" t="s">
        <v>12</v>
      </c>
      <c r="H323" t="s">
        <v>72</v>
      </c>
      <c r="I323" t="s">
        <v>175</v>
      </c>
      <c r="J323" s="12">
        <v>1.5</v>
      </c>
      <c r="K323" t="s">
        <v>60</v>
      </c>
      <c r="L323" t="s">
        <v>63</v>
      </c>
      <c r="M323" t="s">
        <v>200</v>
      </c>
      <c r="O323" t="s">
        <v>197</v>
      </c>
      <c r="P323">
        <v>8</v>
      </c>
      <c r="Q323" t="s">
        <v>202</v>
      </c>
      <c r="R323" s="6">
        <v>0.98725402129597928</v>
      </c>
      <c r="S323" s="6">
        <v>24.275883305120828</v>
      </c>
      <c r="T323" s="6">
        <v>10.345636555419302</v>
      </c>
      <c r="U323" s="6">
        <v>98.542805224562784</v>
      </c>
      <c r="V323" s="6">
        <v>8.690170119157864E-2</v>
      </c>
      <c r="W323" s="6">
        <v>3.8529154195538653</v>
      </c>
      <c r="X323" s="6">
        <v>1.9285195798231571</v>
      </c>
      <c r="Y323" s="6">
        <v>18.747335673257354</v>
      </c>
    </row>
    <row r="324" spans="1:25" x14ac:dyDescent="0.25">
      <c r="A324" t="str">
        <f t="shared" si="5"/>
        <v>RTD Ice TeaFranceDecemberEUR (€)Fully-AutomatedOldPET Bottle1.5Small-scaleHigh</v>
      </c>
      <c r="B324" t="s">
        <v>130</v>
      </c>
      <c r="C324" t="s">
        <v>130</v>
      </c>
      <c r="D324" t="s">
        <v>15</v>
      </c>
      <c r="E324" s="12" t="s">
        <v>182</v>
      </c>
      <c r="F324" t="s">
        <v>187</v>
      </c>
      <c r="G324" t="s">
        <v>12</v>
      </c>
      <c r="H324" t="s">
        <v>72</v>
      </c>
      <c r="I324" t="s">
        <v>175</v>
      </c>
      <c r="J324" s="12">
        <v>1.5</v>
      </c>
      <c r="K324" t="s">
        <v>60</v>
      </c>
      <c r="L324" t="s">
        <v>11</v>
      </c>
      <c r="M324" t="s">
        <v>200</v>
      </c>
      <c r="O324" t="s">
        <v>197</v>
      </c>
      <c r="P324">
        <v>8</v>
      </c>
      <c r="Q324" t="s">
        <v>202</v>
      </c>
      <c r="R324" s="6">
        <v>1.0263767747404109</v>
      </c>
      <c r="S324" s="6">
        <v>25.238817868854369</v>
      </c>
      <c r="T324" s="6">
        <v>10.755322252820989</v>
      </c>
      <c r="U324" s="6">
        <v>102.44607051160517</v>
      </c>
      <c r="V324" s="6">
        <v>9.0037365198837732E-2</v>
      </c>
      <c r="W324" s="6">
        <v>3.9902801423122196</v>
      </c>
      <c r="X324" s="6">
        <v>1.9976298544075628</v>
      </c>
      <c r="Y324" s="6">
        <v>19.41871742490574</v>
      </c>
    </row>
    <row r="325" spans="1:25" x14ac:dyDescent="0.25">
      <c r="A325" t="str">
        <f t="shared" si="5"/>
        <v>RTD Ice TeaFranceDecemberEUR (€)Fully-AutomatedOldPET Bottle1.5High-scaleLow</v>
      </c>
      <c r="B325" t="s">
        <v>130</v>
      </c>
      <c r="C325" t="s">
        <v>130</v>
      </c>
      <c r="D325" t="s">
        <v>15</v>
      </c>
      <c r="E325" s="12" t="s">
        <v>182</v>
      </c>
      <c r="F325" t="s">
        <v>187</v>
      </c>
      <c r="G325" t="s">
        <v>12</v>
      </c>
      <c r="H325" t="s">
        <v>72</v>
      </c>
      <c r="I325" t="s">
        <v>175</v>
      </c>
      <c r="J325" s="12">
        <v>1.5</v>
      </c>
      <c r="K325" t="s">
        <v>107</v>
      </c>
      <c r="L325" t="s">
        <v>13</v>
      </c>
      <c r="M325" t="s">
        <v>199</v>
      </c>
      <c r="O325" t="s">
        <v>197</v>
      </c>
      <c r="P325">
        <v>12</v>
      </c>
      <c r="Q325" t="s">
        <v>203</v>
      </c>
      <c r="R325" s="6">
        <v>0.94735517551409787</v>
      </c>
      <c r="S325" s="6">
        <v>23.303269542876816</v>
      </c>
      <c r="T325" s="6">
        <v>9.924900298563184</v>
      </c>
      <c r="U325" s="6">
        <v>94.544201480122396</v>
      </c>
      <c r="V325" s="6">
        <v>8.8892264646946051E-2</v>
      </c>
      <c r="W325" s="6">
        <v>2.8540933064074228</v>
      </c>
      <c r="X325" s="6">
        <v>1.7886059476379799</v>
      </c>
      <c r="Y325" s="6">
        <v>16.925071777565542</v>
      </c>
    </row>
    <row r="326" spans="1:25" x14ac:dyDescent="0.25">
      <c r="A326" t="str">
        <f t="shared" si="5"/>
        <v>RTD Ice TeaFranceDecemberEUR (€)Fully-AutomatedOldPET Bottle1.5High-scaleMedium</v>
      </c>
      <c r="B326" t="s">
        <v>130</v>
      </c>
      <c r="C326" t="s">
        <v>130</v>
      </c>
      <c r="D326" t="s">
        <v>15</v>
      </c>
      <c r="E326" s="12" t="s">
        <v>182</v>
      </c>
      <c r="F326" t="s">
        <v>187</v>
      </c>
      <c r="G326" t="s">
        <v>12</v>
      </c>
      <c r="H326" t="s">
        <v>72</v>
      </c>
      <c r="I326" t="s">
        <v>175</v>
      </c>
      <c r="J326" s="12">
        <v>1.5</v>
      </c>
      <c r="K326" t="s">
        <v>107</v>
      </c>
      <c r="L326" t="s">
        <v>63</v>
      </c>
      <c r="M326" t="s">
        <v>199</v>
      </c>
      <c r="O326" t="s">
        <v>197</v>
      </c>
      <c r="P326">
        <v>12</v>
      </c>
      <c r="Q326" t="s">
        <v>203</v>
      </c>
      <c r="R326" s="6">
        <v>0.98357994722190512</v>
      </c>
      <c r="S326" s="6">
        <v>24.194875620407874</v>
      </c>
      <c r="T326" s="6">
        <v>10.304238907268452</v>
      </c>
      <c r="U326" s="6">
        <v>98.158336005161644</v>
      </c>
      <c r="V326" s="6">
        <v>9.1976019192419101E-2</v>
      </c>
      <c r="W326" s="6">
        <v>2.9512129750600242</v>
      </c>
      <c r="X326" s="6">
        <v>1.8501015315518905</v>
      </c>
      <c r="Y326" s="6">
        <v>17.506348865336349</v>
      </c>
    </row>
    <row r="327" spans="1:25" x14ac:dyDescent="0.25">
      <c r="A327" t="str">
        <f t="shared" si="5"/>
        <v>RTD Ice TeaFranceDecemberEUR (€)Fully-AutomatedOldPET Bottle1.5High-scaleHigh</v>
      </c>
      <c r="B327" t="s">
        <v>130</v>
      </c>
      <c r="C327" t="s">
        <v>130</v>
      </c>
      <c r="D327" t="s">
        <v>15</v>
      </c>
      <c r="E327" s="12" t="s">
        <v>182</v>
      </c>
      <c r="F327" t="s">
        <v>187</v>
      </c>
      <c r="G327" t="s">
        <v>12</v>
      </c>
      <c r="H327" t="s">
        <v>72</v>
      </c>
      <c r="I327" t="s">
        <v>175</v>
      </c>
      <c r="J327" s="12">
        <v>1.5</v>
      </c>
      <c r="K327" t="s">
        <v>107</v>
      </c>
      <c r="L327" t="s">
        <v>11</v>
      </c>
      <c r="M327" t="s">
        <v>199</v>
      </c>
      <c r="O327" t="s">
        <v>197</v>
      </c>
      <c r="P327">
        <v>12</v>
      </c>
      <c r="Q327" t="s">
        <v>203</v>
      </c>
      <c r="R327" s="6">
        <v>1.0227027006663367</v>
      </c>
      <c r="S327" s="6">
        <v>25.157810184141404</v>
      </c>
      <c r="T327" s="6">
        <v>10.71392460467014</v>
      </c>
      <c r="U327" s="6">
        <v>102.06160129220405</v>
      </c>
      <c r="V327" s="6">
        <v>9.5306474101529995E-2</v>
      </c>
      <c r="W327" s="6">
        <v>3.0561022172048333</v>
      </c>
      <c r="X327" s="6">
        <v>1.9165167621789143</v>
      </c>
      <c r="Y327" s="6">
        <v>18.134128120128828</v>
      </c>
    </row>
    <row r="328" spans="1:25" x14ac:dyDescent="0.25">
      <c r="A328" t="str">
        <f t="shared" si="5"/>
        <v>RTD Ice TeaFranceDecemberEUR (€)Fully-AutomatedOldPET Bottle1.5Medium-scaleLow</v>
      </c>
      <c r="B328" t="s">
        <v>130</v>
      </c>
      <c r="C328" t="s">
        <v>130</v>
      </c>
      <c r="D328" t="s">
        <v>15</v>
      </c>
      <c r="E328" s="12" t="s">
        <v>182</v>
      </c>
      <c r="F328" t="s">
        <v>187</v>
      </c>
      <c r="G328" t="s">
        <v>12</v>
      </c>
      <c r="H328" t="s">
        <v>72</v>
      </c>
      <c r="I328" t="s">
        <v>175</v>
      </c>
      <c r="J328" s="12">
        <v>1.5</v>
      </c>
      <c r="K328" t="s">
        <v>62</v>
      </c>
      <c r="L328" t="s">
        <v>13</v>
      </c>
      <c r="M328" t="s">
        <v>199</v>
      </c>
      <c r="O328" t="s">
        <v>197</v>
      </c>
      <c r="P328">
        <v>12</v>
      </c>
      <c r="Q328" t="s">
        <v>203</v>
      </c>
      <c r="R328" s="6">
        <v>0.94873295329187568</v>
      </c>
      <c r="S328" s="6">
        <v>23.333647424644177</v>
      </c>
      <c r="T328" s="6">
        <v>9.940424416619754</v>
      </c>
      <c r="U328" s="6">
        <v>94.688377437397804</v>
      </c>
      <c r="V328" s="6">
        <v>8.9906153535834935E-2</v>
      </c>
      <c r="W328" s="6">
        <v>2.8878027080355122</v>
      </c>
      <c r="X328" s="6">
        <v>1.8096860327353463</v>
      </c>
      <c r="Y328" s="6">
        <v>17.124571330444518</v>
      </c>
    </row>
    <row r="329" spans="1:25" x14ac:dyDescent="0.25">
      <c r="A329" t="str">
        <f t="shared" si="5"/>
        <v>RTD Ice TeaFranceDecemberEUR (€)Fully-AutomatedOldPET Bottle1.5Medium-scaleMedium</v>
      </c>
      <c r="B329" t="s">
        <v>130</v>
      </c>
      <c r="C329" t="s">
        <v>130</v>
      </c>
      <c r="D329" t="s">
        <v>15</v>
      </c>
      <c r="E329" s="12" t="s">
        <v>182</v>
      </c>
      <c r="F329" t="s">
        <v>187</v>
      </c>
      <c r="G329" t="s">
        <v>12</v>
      </c>
      <c r="H329" t="s">
        <v>72</v>
      </c>
      <c r="I329" t="s">
        <v>175</v>
      </c>
      <c r="J329" s="12">
        <v>1.5</v>
      </c>
      <c r="K329" t="s">
        <v>62</v>
      </c>
      <c r="L329" t="s">
        <v>63</v>
      </c>
      <c r="M329" t="s">
        <v>199</v>
      </c>
      <c r="O329" t="s">
        <v>197</v>
      </c>
      <c r="P329">
        <v>12</v>
      </c>
      <c r="Q329" t="s">
        <v>203</v>
      </c>
      <c r="R329" s="6">
        <v>0.98495772499968293</v>
      </c>
      <c r="S329" s="6">
        <v>24.225253502175232</v>
      </c>
      <c r="T329" s="6">
        <v>10.31976302532502</v>
      </c>
      <c r="U329" s="6">
        <v>98.30251196243708</v>
      </c>
      <c r="V329" s="6">
        <v>9.2989908081307984E-2</v>
      </c>
      <c r="W329" s="6">
        <v>2.9849223766881141</v>
      </c>
      <c r="X329" s="6">
        <v>1.8711816166492572</v>
      </c>
      <c r="Y329" s="6">
        <v>17.705848418215332</v>
      </c>
    </row>
    <row r="330" spans="1:25" x14ac:dyDescent="0.25">
      <c r="A330" t="str">
        <f t="shared" si="5"/>
        <v>RTD Ice TeaFranceDecemberEUR (€)Fully-AutomatedOldPET Bottle1.5Medium-scaleHigh</v>
      </c>
      <c r="B330" t="s">
        <v>130</v>
      </c>
      <c r="C330" t="s">
        <v>130</v>
      </c>
      <c r="D330" t="s">
        <v>15</v>
      </c>
      <c r="E330" s="12" t="s">
        <v>182</v>
      </c>
      <c r="F330" t="s">
        <v>187</v>
      </c>
      <c r="G330" t="s">
        <v>12</v>
      </c>
      <c r="H330" t="s">
        <v>72</v>
      </c>
      <c r="I330" t="s">
        <v>175</v>
      </c>
      <c r="J330" s="12">
        <v>1.5</v>
      </c>
      <c r="K330" t="s">
        <v>62</v>
      </c>
      <c r="L330" t="s">
        <v>11</v>
      </c>
      <c r="M330" t="s">
        <v>199</v>
      </c>
      <c r="O330" t="s">
        <v>197</v>
      </c>
      <c r="P330">
        <v>12</v>
      </c>
      <c r="Q330" t="s">
        <v>203</v>
      </c>
      <c r="R330" s="6">
        <v>1.0240804784441147</v>
      </c>
      <c r="S330" s="6">
        <v>25.188188065908765</v>
      </c>
      <c r="T330" s="6">
        <v>10.729448722726705</v>
      </c>
      <c r="U330" s="6">
        <v>102.20577724947947</v>
      </c>
      <c r="V330" s="6">
        <v>9.6320362990418906E-2</v>
      </c>
      <c r="W330" s="6">
        <v>3.0898116188329237</v>
      </c>
      <c r="X330" s="6">
        <v>1.937596847276281</v>
      </c>
      <c r="Y330" s="6">
        <v>18.333627673007811</v>
      </c>
    </row>
    <row r="331" spans="1:25" x14ac:dyDescent="0.25">
      <c r="A331" t="str">
        <f t="shared" si="5"/>
        <v>RTD Ice TeaFranceDecemberEUR (€)Fully-AutomatedOldPET Bottle1.5Small-scaleLow</v>
      </c>
      <c r="B331" t="s">
        <v>130</v>
      </c>
      <c r="C331" t="s">
        <v>130</v>
      </c>
      <c r="D331" t="s">
        <v>15</v>
      </c>
      <c r="E331" s="12" t="s">
        <v>182</v>
      </c>
      <c r="F331" t="s">
        <v>187</v>
      </c>
      <c r="G331" t="s">
        <v>12</v>
      </c>
      <c r="H331" t="s">
        <v>72</v>
      </c>
      <c r="I331" t="s">
        <v>175</v>
      </c>
      <c r="J331" s="12">
        <v>1.5</v>
      </c>
      <c r="K331" t="s">
        <v>60</v>
      </c>
      <c r="L331" t="s">
        <v>13</v>
      </c>
      <c r="M331" t="s">
        <v>199</v>
      </c>
      <c r="O331" t="s">
        <v>197</v>
      </c>
      <c r="P331">
        <v>12</v>
      </c>
      <c r="Q331" t="s">
        <v>203</v>
      </c>
      <c r="R331" s="6">
        <v>0.95102924958817192</v>
      </c>
      <c r="S331" s="6">
        <v>23.384277227589777</v>
      </c>
      <c r="T331" s="6">
        <v>9.966297946714036</v>
      </c>
      <c r="U331" s="6">
        <v>94.928670699523522</v>
      </c>
      <c r="V331" s="6">
        <v>9.1595968350649759E-2</v>
      </c>
      <c r="W331" s="6">
        <v>2.9439850440823281</v>
      </c>
      <c r="X331" s="6">
        <v>1.8448195078976231</v>
      </c>
      <c r="Y331" s="6">
        <v>17.457070585242825</v>
      </c>
    </row>
    <row r="332" spans="1:25" x14ac:dyDescent="0.25">
      <c r="A332" t="str">
        <f t="shared" si="5"/>
        <v>RTD Ice TeaFranceDecemberEUR (€)Fully-AutomatedOldPET Bottle1.5Small-scaleMedium</v>
      </c>
      <c r="B332" t="s">
        <v>130</v>
      </c>
      <c r="C332" t="s">
        <v>130</v>
      </c>
      <c r="D332" t="s">
        <v>15</v>
      </c>
      <c r="E332" s="12" t="s">
        <v>182</v>
      </c>
      <c r="F332" t="s">
        <v>187</v>
      </c>
      <c r="G332" t="s">
        <v>12</v>
      </c>
      <c r="H332" t="s">
        <v>72</v>
      </c>
      <c r="I332" t="s">
        <v>175</v>
      </c>
      <c r="J332" s="12">
        <v>1.5</v>
      </c>
      <c r="K332" t="s">
        <v>60</v>
      </c>
      <c r="L332" t="s">
        <v>63</v>
      </c>
      <c r="M332" t="s">
        <v>199</v>
      </c>
      <c r="O332" t="s">
        <v>197</v>
      </c>
      <c r="P332">
        <v>12</v>
      </c>
      <c r="Q332" t="s">
        <v>203</v>
      </c>
      <c r="R332" s="6">
        <v>0.98725402129597928</v>
      </c>
      <c r="S332" s="6">
        <v>24.275883305120828</v>
      </c>
      <c r="T332" s="6">
        <v>10.345636555419302</v>
      </c>
      <c r="U332" s="6">
        <v>98.542805224562784</v>
      </c>
      <c r="V332" s="6">
        <v>9.4679722896122809E-2</v>
      </c>
      <c r="W332" s="6">
        <v>3.04110471273493</v>
      </c>
      <c r="X332" s="6">
        <v>1.9063150918115337</v>
      </c>
      <c r="Y332" s="6">
        <v>18.038347673013632</v>
      </c>
    </row>
    <row r="333" spans="1:25" x14ac:dyDescent="0.25">
      <c r="A333" t="str">
        <f t="shared" si="5"/>
        <v>RTD Ice TeaFranceDecemberEUR (€)Fully-AutomatedOldPET Bottle1.5Small-scaleHigh</v>
      </c>
      <c r="B333" t="s">
        <v>130</v>
      </c>
      <c r="C333" t="s">
        <v>130</v>
      </c>
      <c r="D333" t="s">
        <v>15</v>
      </c>
      <c r="E333" s="12" t="s">
        <v>182</v>
      </c>
      <c r="F333" t="s">
        <v>187</v>
      </c>
      <c r="G333" t="s">
        <v>12</v>
      </c>
      <c r="H333" t="s">
        <v>72</v>
      </c>
      <c r="I333" t="s">
        <v>175</v>
      </c>
      <c r="J333" s="12">
        <v>1.5</v>
      </c>
      <c r="K333" t="s">
        <v>60</v>
      </c>
      <c r="L333" t="s">
        <v>11</v>
      </c>
      <c r="M333" t="s">
        <v>199</v>
      </c>
      <c r="O333" t="s">
        <v>197</v>
      </c>
      <c r="P333">
        <v>12</v>
      </c>
      <c r="Q333" t="s">
        <v>203</v>
      </c>
      <c r="R333" s="6">
        <v>1.0263767747404109</v>
      </c>
      <c r="S333" s="6">
        <v>25.238817868854369</v>
      </c>
      <c r="T333" s="6">
        <v>10.755322252820989</v>
      </c>
      <c r="U333" s="6">
        <v>102.44607051160517</v>
      </c>
      <c r="V333" s="6">
        <v>9.8010177805233717E-2</v>
      </c>
      <c r="W333" s="6">
        <v>3.1459939548797391</v>
      </c>
      <c r="X333" s="6">
        <v>1.9727303224385575</v>
      </c>
      <c r="Y333" s="6">
        <v>18.666126927806111</v>
      </c>
    </row>
    <row r="334" spans="1:25" x14ac:dyDescent="0.25">
      <c r="A334" t="str">
        <f t="shared" si="5"/>
        <v>RTD Ice TeaFranceDecemberEUR (€)Fully-AutomatedOldPET Bottle1.5High-scaleLow</v>
      </c>
      <c r="B334" t="s">
        <v>130</v>
      </c>
      <c r="C334" t="s">
        <v>130</v>
      </c>
      <c r="D334" t="s">
        <v>15</v>
      </c>
      <c r="E334" s="12" t="s">
        <v>182</v>
      </c>
      <c r="F334" t="s">
        <v>187</v>
      </c>
      <c r="G334" t="s">
        <v>12</v>
      </c>
      <c r="H334" t="s">
        <v>72</v>
      </c>
      <c r="I334" t="s">
        <v>175</v>
      </c>
      <c r="J334" s="12">
        <v>1.5</v>
      </c>
      <c r="K334" t="s">
        <v>107</v>
      </c>
      <c r="L334" t="s">
        <v>13</v>
      </c>
      <c r="M334" t="s">
        <v>200</v>
      </c>
      <c r="O334" t="s">
        <v>197</v>
      </c>
      <c r="P334">
        <v>12</v>
      </c>
      <c r="Q334" t="s">
        <v>203</v>
      </c>
      <c r="R334" s="6">
        <v>0.94735517551409787</v>
      </c>
      <c r="S334" s="6">
        <v>23.303269542876816</v>
      </c>
      <c r="T334" s="6">
        <v>9.924900298563184</v>
      </c>
      <c r="U334" s="6">
        <v>94.544201480122396</v>
      </c>
      <c r="V334" s="6">
        <v>7.7038104016160527E-2</v>
      </c>
      <c r="W334" s="6">
        <v>3.4959225420945033</v>
      </c>
      <c r="X334" s="6">
        <v>1.7448182295345205</v>
      </c>
      <c r="Y334" s="6">
        <v>16.967036409776718</v>
      </c>
    </row>
    <row r="335" spans="1:25" x14ac:dyDescent="0.25">
      <c r="A335" t="str">
        <f t="shared" si="5"/>
        <v>RTD Ice TeaFranceDecemberEUR (€)Fully-AutomatedOldPET Bottle1.5High-scaleMedium</v>
      </c>
      <c r="B335" t="s">
        <v>130</v>
      </c>
      <c r="C335" t="s">
        <v>130</v>
      </c>
      <c r="D335" t="s">
        <v>15</v>
      </c>
      <c r="E335" s="12" t="s">
        <v>182</v>
      </c>
      <c r="F335" t="s">
        <v>187</v>
      </c>
      <c r="G335" t="s">
        <v>12</v>
      </c>
      <c r="H335" t="s">
        <v>72</v>
      </c>
      <c r="I335" t="s">
        <v>175</v>
      </c>
      <c r="J335" s="12">
        <v>1.5</v>
      </c>
      <c r="K335" t="s">
        <v>107</v>
      </c>
      <c r="L335" t="s">
        <v>63</v>
      </c>
      <c r="M335" t="s">
        <v>200</v>
      </c>
      <c r="O335" t="s">
        <v>197</v>
      </c>
      <c r="P335">
        <v>12</v>
      </c>
      <c r="Q335" t="s">
        <v>203</v>
      </c>
      <c r="R335" s="6">
        <v>0.98357994722190512</v>
      </c>
      <c r="S335" s="6">
        <v>24.194875620407874</v>
      </c>
      <c r="T335" s="6">
        <v>10.304238907268452</v>
      </c>
      <c r="U335" s="6">
        <v>98.158336005161644</v>
      </c>
      <c r="V335" s="6">
        <v>7.9767425033099082E-2</v>
      </c>
      <c r="W335" s="6">
        <v>3.6184669250169006</v>
      </c>
      <c r="X335" s="6">
        <v>1.8063670400953336</v>
      </c>
      <c r="Y335" s="6">
        <v>17.56505592203273</v>
      </c>
    </row>
    <row r="336" spans="1:25" x14ac:dyDescent="0.25">
      <c r="A336" t="str">
        <f t="shared" si="5"/>
        <v>RTD Ice TeaFranceDecemberEUR (€)Fully-AutomatedOldPET Bottle1.5High-scaleHigh</v>
      </c>
      <c r="B336" t="s">
        <v>130</v>
      </c>
      <c r="C336" t="s">
        <v>130</v>
      </c>
      <c r="D336" t="s">
        <v>15</v>
      </c>
      <c r="E336" s="12" t="s">
        <v>182</v>
      </c>
      <c r="F336" t="s">
        <v>187</v>
      </c>
      <c r="G336" t="s">
        <v>12</v>
      </c>
      <c r="H336" t="s">
        <v>72</v>
      </c>
      <c r="I336" t="s">
        <v>175</v>
      </c>
      <c r="J336" s="12">
        <v>1.5</v>
      </c>
      <c r="K336" t="s">
        <v>107</v>
      </c>
      <c r="L336" t="s">
        <v>11</v>
      </c>
      <c r="M336" t="s">
        <v>200</v>
      </c>
      <c r="O336" t="s">
        <v>197</v>
      </c>
      <c r="P336">
        <v>12</v>
      </c>
      <c r="Q336" t="s">
        <v>203</v>
      </c>
      <c r="R336" s="6">
        <v>1.0227027006663367</v>
      </c>
      <c r="S336" s="6">
        <v>25.157810184141404</v>
      </c>
      <c r="T336" s="6">
        <v>10.71392460467014</v>
      </c>
      <c r="U336" s="6">
        <v>102.06160129220405</v>
      </c>
      <c r="V336" s="6">
        <v>8.2715091731392756E-2</v>
      </c>
      <c r="W336" s="6">
        <v>3.7508148585730878</v>
      </c>
      <c r="X336" s="6">
        <v>1.8728397555010123</v>
      </c>
      <c r="Y336" s="6">
        <v>18.210916995269237</v>
      </c>
    </row>
    <row r="337" spans="1:25" x14ac:dyDescent="0.25">
      <c r="A337" t="str">
        <f t="shared" si="5"/>
        <v>RTD Ice TeaFranceDecemberEUR (€)Fully-AutomatedOldPET Bottle1.5Medium-scaleLow</v>
      </c>
      <c r="B337" t="s">
        <v>130</v>
      </c>
      <c r="C337" t="s">
        <v>130</v>
      </c>
      <c r="D337" t="s">
        <v>15</v>
      </c>
      <c r="E337" s="12" t="s">
        <v>182</v>
      </c>
      <c r="F337" t="s">
        <v>187</v>
      </c>
      <c r="G337" t="s">
        <v>12</v>
      </c>
      <c r="H337" t="s">
        <v>72</v>
      </c>
      <c r="I337" t="s">
        <v>175</v>
      </c>
      <c r="J337" s="12">
        <v>1.5</v>
      </c>
      <c r="K337" t="s">
        <v>62</v>
      </c>
      <c r="L337" t="s">
        <v>13</v>
      </c>
      <c r="M337" t="s">
        <v>200</v>
      </c>
      <c r="O337" t="s">
        <v>197</v>
      </c>
      <c r="P337">
        <v>12</v>
      </c>
      <c r="Q337" t="s">
        <v>203</v>
      </c>
      <c r="R337" s="6">
        <v>0.94873295329187568</v>
      </c>
      <c r="S337" s="6">
        <v>23.333647424644177</v>
      </c>
      <c r="T337" s="6">
        <v>9.940424416619754</v>
      </c>
      <c r="U337" s="6">
        <v>94.688377437397804</v>
      </c>
      <c r="V337" s="6">
        <v>7.7950982804039309E-2</v>
      </c>
      <c r="W337" s="6">
        <v>3.5368083287755554</v>
      </c>
      <c r="X337" s="6">
        <v>1.7658983146318865</v>
      </c>
      <c r="Y337" s="6">
        <v>17.171134956374466</v>
      </c>
    </row>
    <row r="338" spans="1:25" x14ac:dyDescent="0.25">
      <c r="A338" t="str">
        <f t="shared" si="5"/>
        <v>RTD Ice TeaFranceDecemberEUR (€)Fully-AutomatedOldPET Bottle1.5Medium-scaleMedium</v>
      </c>
      <c r="B338" t="s">
        <v>130</v>
      </c>
      <c r="C338" t="s">
        <v>130</v>
      </c>
      <c r="D338" t="s">
        <v>15</v>
      </c>
      <c r="E338" s="12" t="s">
        <v>182</v>
      </c>
      <c r="F338" t="s">
        <v>187</v>
      </c>
      <c r="G338" t="s">
        <v>12</v>
      </c>
      <c r="H338" t="s">
        <v>72</v>
      </c>
      <c r="I338" t="s">
        <v>175</v>
      </c>
      <c r="J338" s="12">
        <v>1.5</v>
      </c>
      <c r="K338" t="s">
        <v>62</v>
      </c>
      <c r="L338" t="s">
        <v>63</v>
      </c>
      <c r="M338" t="s">
        <v>200</v>
      </c>
      <c r="O338" t="s">
        <v>197</v>
      </c>
      <c r="P338">
        <v>12</v>
      </c>
      <c r="Q338" t="s">
        <v>203</v>
      </c>
      <c r="R338" s="6">
        <v>0.98495772499968293</v>
      </c>
      <c r="S338" s="6">
        <v>24.225253502175232</v>
      </c>
      <c r="T338" s="6">
        <v>10.31976302532502</v>
      </c>
      <c r="U338" s="6">
        <v>98.30251196243708</v>
      </c>
      <c r="V338" s="6">
        <v>8.0680303820977878E-2</v>
      </c>
      <c r="W338" s="6">
        <v>3.6593527116979523</v>
      </c>
      <c r="X338" s="6">
        <v>1.8274471251927003</v>
      </c>
      <c r="Y338" s="6">
        <v>17.769154468630489</v>
      </c>
    </row>
    <row r="339" spans="1:25" x14ac:dyDescent="0.25">
      <c r="A339" t="str">
        <f t="shared" si="5"/>
        <v>RTD Ice TeaFranceDecemberEUR (€)Fully-AutomatedOldPET Bottle1.5Medium-scaleHigh</v>
      </c>
      <c r="B339" t="s">
        <v>130</v>
      </c>
      <c r="C339" t="s">
        <v>130</v>
      </c>
      <c r="D339" t="s">
        <v>15</v>
      </c>
      <c r="E339" s="12" t="s">
        <v>182</v>
      </c>
      <c r="F339" t="s">
        <v>187</v>
      </c>
      <c r="G339" t="s">
        <v>12</v>
      </c>
      <c r="H339" t="s">
        <v>72</v>
      </c>
      <c r="I339" t="s">
        <v>175</v>
      </c>
      <c r="J339" s="12">
        <v>1.5</v>
      </c>
      <c r="K339" t="s">
        <v>62</v>
      </c>
      <c r="L339" t="s">
        <v>11</v>
      </c>
      <c r="M339" t="s">
        <v>200</v>
      </c>
      <c r="O339" t="s">
        <v>197</v>
      </c>
      <c r="P339">
        <v>12</v>
      </c>
      <c r="Q339" t="s">
        <v>203</v>
      </c>
      <c r="R339" s="6">
        <v>1.0240804784441147</v>
      </c>
      <c r="S339" s="6">
        <v>25.188188065908765</v>
      </c>
      <c r="T339" s="6">
        <v>10.729448722726705</v>
      </c>
      <c r="U339" s="6">
        <v>102.20577724947947</v>
      </c>
      <c r="V339" s="6">
        <v>8.3627970519271538E-2</v>
      </c>
      <c r="W339" s="6">
        <v>3.7917006452541404</v>
      </c>
      <c r="X339" s="6">
        <v>1.8939198405983788</v>
      </c>
      <c r="Y339" s="6">
        <v>18.415015541866985</v>
      </c>
    </row>
    <row r="340" spans="1:25" x14ac:dyDescent="0.25">
      <c r="A340" t="str">
        <f t="shared" si="5"/>
        <v>RTD Ice TeaFranceDecemberEUR (€)Fully-AutomatedOldPET Bottle1.5Small-scaleLow</v>
      </c>
      <c r="B340" t="s">
        <v>130</v>
      </c>
      <c r="C340" t="s">
        <v>130</v>
      </c>
      <c r="D340" t="s">
        <v>15</v>
      </c>
      <c r="E340" s="12" t="s">
        <v>182</v>
      </c>
      <c r="F340" t="s">
        <v>187</v>
      </c>
      <c r="G340" t="s">
        <v>12</v>
      </c>
      <c r="H340" t="s">
        <v>72</v>
      </c>
      <c r="I340" t="s">
        <v>175</v>
      </c>
      <c r="J340" s="12">
        <v>1.5</v>
      </c>
      <c r="K340" t="s">
        <v>60</v>
      </c>
      <c r="L340" t="s">
        <v>13</v>
      </c>
      <c r="M340" t="s">
        <v>200</v>
      </c>
      <c r="O340" t="s">
        <v>197</v>
      </c>
      <c r="P340">
        <v>12</v>
      </c>
      <c r="Q340" t="s">
        <v>203</v>
      </c>
      <c r="R340" s="6">
        <v>0.95102924958817192</v>
      </c>
      <c r="S340" s="6">
        <v>23.384277227589777</v>
      </c>
      <c r="T340" s="6">
        <v>9.966297946714036</v>
      </c>
      <c r="U340" s="6">
        <v>94.928670699523522</v>
      </c>
      <c r="V340" s="6">
        <v>7.9472447450503955E-2</v>
      </c>
      <c r="W340" s="6">
        <v>3.6049513065773078</v>
      </c>
      <c r="X340" s="6">
        <v>1.8010317897941632</v>
      </c>
      <c r="Y340" s="6">
        <v>17.511299200704052</v>
      </c>
    </row>
    <row r="341" spans="1:25" x14ac:dyDescent="0.25">
      <c r="A341" t="str">
        <f t="shared" si="5"/>
        <v>RTD Ice TeaFranceDecemberEUR (€)Fully-AutomatedOldPET Bottle1.5Small-scaleMedium</v>
      </c>
      <c r="B341" t="s">
        <v>130</v>
      </c>
      <c r="C341" t="s">
        <v>130</v>
      </c>
      <c r="D341" t="s">
        <v>15</v>
      </c>
      <c r="E341" s="12" t="s">
        <v>182</v>
      </c>
      <c r="F341" t="s">
        <v>187</v>
      </c>
      <c r="G341" t="s">
        <v>12</v>
      </c>
      <c r="H341" t="s">
        <v>72</v>
      </c>
      <c r="I341" t="s">
        <v>175</v>
      </c>
      <c r="J341" s="12">
        <v>1.5</v>
      </c>
      <c r="K341" t="s">
        <v>60</v>
      </c>
      <c r="L341" t="s">
        <v>63</v>
      </c>
      <c r="M341" t="s">
        <v>200</v>
      </c>
      <c r="O341" t="s">
        <v>197</v>
      </c>
      <c r="P341">
        <v>12</v>
      </c>
      <c r="Q341" t="s">
        <v>203</v>
      </c>
      <c r="R341" s="6">
        <v>0.98725402129597928</v>
      </c>
      <c r="S341" s="6">
        <v>24.275883305120828</v>
      </c>
      <c r="T341" s="6">
        <v>10.345636555419302</v>
      </c>
      <c r="U341" s="6">
        <v>98.542805224562784</v>
      </c>
      <c r="V341" s="6">
        <v>8.2201768467442538E-2</v>
      </c>
      <c r="W341" s="6">
        <v>3.7274956894997042</v>
      </c>
      <c r="X341" s="6">
        <v>1.8625806003549772</v>
      </c>
      <c r="Y341" s="6">
        <v>18.109318712960071</v>
      </c>
    </row>
    <row r="342" spans="1:25" x14ac:dyDescent="0.25">
      <c r="A342" t="str">
        <f t="shared" si="5"/>
        <v>RTD Ice TeaFranceDecemberEUR (€)Fully-AutomatedOldPET Bottle1.5Small-scaleHigh</v>
      </c>
      <c r="B342" t="s">
        <v>130</v>
      </c>
      <c r="C342" t="s">
        <v>130</v>
      </c>
      <c r="D342" t="s">
        <v>15</v>
      </c>
      <c r="E342" s="12" t="s">
        <v>182</v>
      </c>
      <c r="F342" t="s">
        <v>187</v>
      </c>
      <c r="G342" t="s">
        <v>12</v>
      </c>
      <c r="H342" t="s">
        <v>72</v>
      </c>
      <c r="I342" t="s">
        <v>175</v>
      </c>
      <c r="J342" s="12">
        <v>1.5</v>
      </c>
      <c r="K342" t="s">
        <v>60</v>
      </c>
      <c r="L342" t="s">
        <v>11</v>
      </c>
      <c r="M342" t="s">
        <v>200</v>
      </c>
      <c r="O342" t="s">
        <v>197</v>
      </c>
      <c r="P342">
        <v>12</v>
      </c>
      <c r="Q342" t="s">
        <v>203</v>
      </c>
      <c r="R342" s="6">
        <v>1.0263767747404109</v>
      </c>
      <c r="S342" s="6">
        <v>25.238817868854369</v>
      </c>
      <c r="T342" s="6">
        <v>10.755322252820989</v>
      </c>
      <c r="U342" s="6">
        <v>102.44607051160517</v>
      </c>
      <c r="V342" s="6">
        <v>8.5149435165736184E-2</v>
      </c>
      <c r="W342" s="6">
        <v>3.8598436230558923</v>
      </c>
      <c r="X342" s="6">
        <v>1.9290533157606555</v>
      </c>
      <c r="Y342" s="6">
        <v>18.755179786196567</v>
      </c>
    </row>
    <row r="343" spans="1:25" x14ac:dyDescent="0.25">
      <c r="A343" t="str">
        <f t="shared" si="5"/>
        <v>RTD Ice TeaFranceDecemberEUR (€)Fully-AutomatedOldPET Bottle1.5High-scaleLow</v>
      </c>
      <c r="B343" t="s">
        <v>130</v>
      </c>
      <c r="C343" t="s">
        <v>130</v>
      </c>
      <c r="D343" t="s">
        <v>15</v>
      </c>
      <c r="E343" s="12" t="s">
        <v>182</v>
      </c>
      <c r="F343" t="s">
        <v>187</v>
      </c>
      <c r="G343" t="s">
        <v>12</v>
      </c>
      <c r="H343" t="s">
        <v>72</v>
      </c>
      <c r="I343" t="s">
        <v>175</v>
      </c>
      <c r="J343" s="12">
        <v>1.5</v>
      </c>
      <c r="K343" t="s">
        <v>107</v>
      </c>
      <c r="L343" t="s">
        <v>13</v>
      </c>
      <c r="M343" t="s">
        <v>199</v>
      </c>
      <c r="O343" t="s">
        <v>197</v>
      </c>
      <c r="P343">
        <v>24</v>
      </c>
      <c r="Q343" t="s">
        <v>204</v>
      </c>
      <c r="R343" s="6">
        <v>0.94735517551409787</v>
      </c>
      <c r="S343" s="6">
        <v>23.303269542876816</v>
      </c>
      <c r="T343" s="6">
        <v>9.924900298563184</v>
      </c>
      <c r="U343" s="6">
        <v>94.544201480122396</v>
      </c>
      <c r="V343" s="6">
        <v>7.2501683998768843E-2</v>
      </c>
      <c r="W343" s="6">
        <v>2.3941516935403717</v>
      </c>
      <c r="X343" s="6">
        <v>1.5387193324339412</v>
      </c>
      <c r="Y343" s="6">
        <v>14.518106993793824</v>
      </c>
    </row>
    <row r="344" spans="1:25" x14ac:dyDescent="0.25">
      <c r="A344" t="str">
        <f t="shared" si="5"/>
        <v>RTD Ice TeaFranceDecemberEUR (€)Fully-AutomatedOldPET Bottle1.5High-scaleMedium</v>
      </c>
      <c r="B344" t="s">
        <v>130</v>
      </c>
      <c r="C344" t="s">
        <v>130</v>
      </c>
      <c r="D344" t="s">
        <v>15</v>
      </c>
      <c r="E344" s="12" t="s">
        <v>182</v>
      </c>
      <c r="F344" t="s">
        <v>187</v>
      </c>
      <c r="G344" t="s">
        <v>12</v>
      </c>
      <c r="H344" t="s">
        <v>72</v>
      </c>
      <c r="I344" t="s">
        <v>175</v>
      </c>
      <c r="J344" s="12">
        <v>1.5</v>
      </c>
      <c r="K344" t="s">
        <v>107</v>
      </c>
      <c r="L344" t="s">
        <v>63</v>
      </c>
      <c r="M344" t="s">
        <v>199</v>
      </c>
      <c r="O344" t="s">
        <v>197</v>
      </c>
      <c r="P344">
        <v>24</v>
      </c>
      <c r="Q344" t="s">
        <v>204</v>
      </c>
      <c r="R344" s="6">
        <v>0.98357994722190512</v>
      </c>
      <c r="S344" s="6">
        <v>24.194875620407874</v>
      </c>
      <c r="T344" s="6">
        <v>10.304238907268452</v>
      </c>
      <c r="U344" s="6">
        <v>98.158336005161644</v>
      </c>
      <c r="V344" s="6">
        <v>7.4988054129257631E-2</v>
      </c>
      <c r="W344" s="6">
        <v>2.4744625206835109</v>
      </c>
      <c r="X344" s="6">
        <v>1.5910671912597265</v>
      </c>
      <c r="Y344" s="6">
        <v>15.011291329495419</v>
      </c>
    </row>
    <row r="345" spans="1:25" x14ac:dyDescent="0.25">
      <c r="A345" t="str">
        <f t="shared" si="5"/>
        <v>RTD Ice TeaFranceDecemberEUR (€)Fully-AutomatedOldPET Bottle1.5High-scaleHigh</v>
      </c>
      <c r="B345" t="s">
        <v>130</v>
      </c>
      <c r="C345" t="s">
        <v>130</v>
      </c>
      <c r="D345" t="s">
        <v>15</v>
      </c>
      <c r="E345" s="12" t="s">
        <v>182</v>
      </c>
      <c r="F345" t="s">
        <v>187</v>
      </c>
      <c r="G345" t="s">
        <v>12</v>
      </c>
      <c r="H345" t="s">
        <v>72</v>
      </c>
      <c r="I345" t="s">
        <v>175</v>
      </c>
      <c r="J345" s="12">
        <v>1.5</v>
      </c>
      <c r="K345" t="s">
        <v>107</v>
      </c>
      <c r="L345" t="s">
        <v>11</v>
      </c>
      <c r="M345" t="s">
        <v>199</v>
      </c>
      <c r="O345" t="s">
        <v>197</v>
      </c>
      <c r="P345">
        <v>24</v>
      </c>
      <c r="Q345" t="s">
        <v>204</v>
      </c>
      <c r="R345" s="6">
        <v>1.0227027006663367</v>
      </c>
      <c r="S345" s="6">
        <v>25.157810184141404</v>
      </c>
      <c r="T345" s="6">
        <v>10.71392460467014</v>
      </c>
      <c r="U345" s="6">
        <v>102.06160129220405</v>
      </c>
      <c r="V345" s="6">
        <v>7.7673333870185518E-2</v>
      </c>
      <c r="W345" s="6">
        <v>2.5611982139981007</v>
      </c>
      <c r="X345" s="6">
        <v>1.6476028787915751</v>
      </c>
      <c r="Y345" s="6">
        <v>15.54393041205314</v>
      </c>
    </row>
    <row r="346" spans="1:25" x14ac:dyDescent="0.25">
      <c r="A346" t="str">
        <f t="shared" si="5"/>
        <v>RTD Ice TeaFranceDecemberEUR (€)Fully-AutomatedOldPET Bottle1.5Medium-scaleLow</v>
      </c>
      <c r="B346" t="s">
        <v>130</v>
      </c>
      <c r="C346" t="s">
        <v>130</v>
      </c>
      <c r="D346" t="s">
        <v>15</v>
      </c>
      <c r="E346" s="12" t="s">
        <v>182</v>
      </c>
      <c r="F346" t="s">
        <v>187</v>
      </c>
      <c r="G346" t="s">
        <v>12</v>
      </c>
      <c r="H346" t="s">
        <v>72</v>
      </c>
      <c r="I346" t="s">
        <v>175</v>
      </c>
      <c r="J346" s="12">
        <v>1.5</v>
      </c>
      <c r="K346" t="s">
        <v>62</v>
      </c>
      <c r="L346" t="s">
        <v>13</v>
      </c>
      <c r="M346" t="s">
        <v>199</v>
      </c>
      <c r="O346" t="s">
        <v>197</v>
      </c>
      <c r="P346">
        <v>24</v>
      </c>
      <c r="Q346" t="s">
        <v>204</v>
      </c>
      <c r="R346" s="6">
        <v>0.94873295329187568</v>
      </c>
      <c r="S346" s="6">
        <v>23.333647424644177</v>
      </c>
      <c r="T346" s="6">
        <v>9.940424416619754</v>
      </c>
      <c r="U346" s="6">
        <v>94.688377437397804</v>
      </c>
      <c r="V346" s="6">
        <v>7.3300926423011281E-2</v>
      </c>
      <c r="W346" s="6">
        <v>2.4221331617632043</v>
      </c>
      <c r="X346" s="6">
        <v>1.5567879768031125</v>
      </c>
      <c r="Y346" s="6">
        <v>14.688468239179807</v>
      </c>
    </row>
    <row r="347" spans="1:25" x14ac:dyDescent="0.25">
      <c r="A347" t="str">
        <f t="shared" si="5"/>
        <v>RTD Ice TeaFranceDecemberEUR (€)Fully-AutomatedOldPET Bottle1.5Medium-scaleMedium</v>
      </c>
      <c r="B347" t="s">
        <v>130</v>
      </c>
      <c r="C347" t="s">
        <v>130</v>
      </c>
      <c r="D347" t="s">
        <v>15</v>
      </c>
      <c r="E347" s="12" t="s">
        <v>182</v>
      </c>
      <c r="F347" t="s">
        <v>187</v>
      </c>
      <c r="G347" t="s">
        <v>12</v>
      </c>
      <c r="H347" t="s">
        <v>72</v>
      </c>
      <c r="I347" t="s">
        <v>175</v>
      </c>
      <c r="J347" s="12">
        <v>1.5</v>
      </c>
      <c r="K347" t="s">
        <v>62</v>
      </c>
      <c r="L347" t="s">
        <v>63</v>
      </c>
      <c r="M347" t="s">
        <v>199</v>
      </c>
      <c r="O347" t="s">
        <v>197</v>
      </c>
      <c r="P347">
        <v>24</v>
      </c>
      <c r="Q347" t="s">
        <v>204</v>
      </c>
      <c r="R347" s="6">
        <v>0.98495772499968293</v>
      </c>
      <c r="S347" s="6">
        <v>24.225253502175232</v>
      </c>
      <c r="T347" s="6">
        <v>10.31976302532502</v>
      </c>
      <c r="U347" s="6">
        <v>98.30251196243708</v>
      </c>
      <c r="V347" s="6">
        <v>7.5787296553500055E-2</v>
      </c>
      <c r="W347" s="6">
        <v>2.5024439889063439</v>
      </c>
      <c r="X347" s="6">
        <v>1.6091358356288981</v>
      </c>
      <c r="Y347" s="6">
        <v>15.181652574881401</v>
      </c>
    </row>
    <row r="348" spans="1:25" x14ac:dyDescent="0.25">
      <c r="A348" t="str">
        <f t="shared" si="5"/>
        <v>RTD Ice TeaFranceDecemberEUR (€)Fully-AutomatedOldPET Bottle1.5Medium-scaleHigh</v>
      </c>
      <c r="B348" t="s">
        <v>130</v>
      </c>
      <c r="C348" t="s">
        <v>130</v>
      </c>
      <c r="D348" t="s">
        <v>15</v>
      </c>
      <c r="E348" s="12" t="s">
        <v>182</v>
      </c>
      <c r="F348" t="s">
        <v>187</v>
      </c>
      <c r="G348" t="s">
        <v>12</v>
      </c>
      <c r="H348" t="s">
        <v>72</v>
      </c>
      <c r="I348" t="s">
        <v>175</v>
      </c>
      <c r="J348" s="12">
        <v>1.5</v>
      </c>
      <c r="K348" t="s">
        <v>62</v>
      </c>
      <c r="L348" t="s">
        <v>11</v>
      </c>
      <c r="M348" t="s">
        <v>199</v>
      </c>
      <c r="O348" t="s">
        <v>197</v>
      </c>
      <c r="P348">
        <v>24</v>
      </c>
      <c r="Q348" t="s">
        <v>204</v>
      </c>
      <c r="R348" s="6">
        <v>1.0240804784441147</v>
      </c>
      <c r="S348" s="6">
        <v>25.188188065908765</v>
      </c>
      <c r="T348" s="6">
        <v>10.729448722726705</v>
      </c>
      <c r="U348" s="6">
        <v>102.20577724947947</v>
      </c>
      <c r="V348" s="6">
        <v>7.8472576294427943E-2</v>
      </c>
      <c r="W348" s="6">
        <v>2.5891796822209341</v>
      </c>
      <c r="X348" s="6">
        <v>1.6656715231607466</v>
      </c>
      <c r="Y348" s="6">
        <v>15.714291657439121</v>
      </c>
    </row>
    <row r="349" spans="1:25" x14ac:dyDescent="0.25">
      <c r="A349" t="str">
        <f t="shared" si="5"/>
        <v>RTD Ice TeaFranceDecemberEUR (€)Fully-AutomatedOldPET Bottle1.5Small-scaleLow</v>
      </c>
      <c r="B349" t="s">
        <v>130</v>
      </c>
      <c r="C349" t="s">
        <v>130</v>
      </c>
      <c r="D349" t="s">
        <v>15</v>
      </c>
      <c r="E349" s="12" t="s">
        <v>182</v>
      </c>
      <c r="F349" t="s">
        <v>187</v>
      </c>
      <c r="G349" t="s">
        <v>12</v>
      </c>
      <c r="H349" t="s">
        <v>72</v>
      </c>
      <c r="I349" t="s">
        <v>175</v>
      </c>
      <c r="J349" s="12">
        <v>1.5</v>
      </c>
      <c r="K349" t="s">
        <v>60</v>
      </c>
      <c r="L349" t="s">
        <v>13</v>
      </c>
      <c r="M349" t="s">
        <v>199</v>
      </c>
      <c r="O349" t="s">
        <v>197</v>
      </c>
      <c r="P349">
        <v>24</v>
      </c>
      <c r="Q349" t="s">
        <v>204</v>
      </c>
      <c r="R349" s="6">
        <v>0.95102924958817192</v>
      </c>
      <c r="S349" s="6">
        <v>23.384277227589777</v>
      </c>
      <c r="T349" s="6">
        <v>9.966297946714036</v>
      </c>
      <c r="U349" s="6">
        <v>94.928670699523522</v>
      </c>
      <c r="V349" s="6">
        <v>7.4632997130081993E-2</v>
      </c>
      <c r="W349" s="6">
        <v>2.468768942134592</v>
      </c>
      <c r="X349" s="6">
        <v>1.586902384085064</v>
      </c>
      <c r="Y349" s="6">
        <v>14.972403648156442</v>
      </c>
    </row>
    <row r="350" spans="1:25" x14ac:dyDescent="0.25">
      <c r="A350" t="str">
        <f t="shared" si="5"/>
        <v>RTD Ice TeaFranceDecemberEUR (€)Fully-AutomatedOldPET Bottle1.5Small-scaleMedium</v>
      </c>
      <c r="B350" t="s">
        <v>130</v>
      </c>
      <c r="C350" t="s">
        <v>130</v>
      </c>
      <c r="D350" t="s">
        <v>15</v>
      </c>
      <c r="E350" s="12" t="s">
        <v>182</v>
      </c>
      <c r="F350" t="s">
        <v>187</v>
      </c>
      <c r="G350" t="s">
        <v>12</v>
      </c>
      <c r="H350" t="s">
        <v>72</v>
      </c>
      <c r="I350" t="s">
        <v>175</v>
      </c>
      <c r="J350" s="12">
        <v>1.5</v>
      </c>
      <c r="K350" t="s">
        <v>60</v>
      </c>
      <c r="L350" t="s">
        <v>63</v>
      </c>
      <c r="M350" t="s">
        <v>199</v>
      </c>
      <c r="O350" t="s">
        <v>197</v>
      </c>
      <c r="P350">
        <v>24</v>
      </c>
      <c r="Q350" t="s">
        <v>204</v>
      </c>
      <c r="R350" s="6">
        <v>0.98725402129597928</v>
      </c>
      <c r="S350" s="6">
        <v>24.275883305120828</v>
      </c>
      <c r="T350" s="6">
        <v>10.345636555419302</v>
      </c>
      <c r="U350" s="6">
        <v>98.542805224562784</v>
      </c>
      <c r="V350" s="6">
        <v>7.7119367260570754E-2</v>
      </c>
      <c r="W350" s="6">
        <v>2.5490797692777316</v>
      </c>
      <c r="X350" s="6">
        <v>1.6392502429108493</v>
      </c>
      <c r="Y350" s="6">
        <v>15.465587983858033</v>
      </c>
    </row>
    <row r="351" spans="1:25" x14ac:dyDescent="0.25">
      <c r="A351" t="str">
        <f t="shared" si="5"/>
        <v>RTD Ice TeaFranceDecemberEUR (€)Fully-AutomatedOldPET Bottle1.5Small-scaleHigh</v>
      </c>
      <c r="B351" t="s">
        <v>130</v>
      </c>
      <c r="C351" t="s">
        <v>130</v>
      </c>
      <c r="D351" t="s">
        <v>15</v>
      </c>
      <c r="E351" s="12" t="s">
        <v>182</v>
      </c>
      <c r="F351" t="s">
        <v>187</v>
      </c>
      <c r="G351" t="s">
        <v>12</v>
      </c>
      <c r="H351" t="s">
        <v>72</v>
      </c>
      <c r="I351" t="s">
        <v>175</v>
      </c>
      <c r="J351" s="12">
        <v>1.5</v>
      </c>
      <c r="K351" t="s">
        <v>60</v>
      </c>
      <c r="L351" t="s">
        <v>11</v>
      </c>
      <c r="M351" t="s">
        <v>199</v>
      </c>
      <c r="O351" t="s">
        <v>197</v>
      </c>
      <c r="P351">
        <v>24</v>
      </c>
      <c r="Q351" t="s">
        <v>204</v>
      </c>
      <c r="R351" s="6">
        <v>1.0263767747404109</v>
      </c>
      <c r="S351" s="6">
        <v>25.238817868854369</v>
      </c>
      <c r="T351" s="6">
        <v>10.755322252820989</v>
      </c>
      <c r="U351" s="6">
        <v>102.44607051160517</v>
      </c>
      <c r="V351" s="6">
        <v>7.9804647001498641E-2</v>
      </c>
      <c r="W351" s="6">
        <v>2.6358154625923209</v>
      </c>
      <c r="X351" s="6">
        <v>1.6957859304426979</v>
      </c>
      <c r="Y351" s="6">
        <v>15.998227066415755</v>
      </c>
    </row>
    <row r="352" spans="1:25" x14ac:dyDescent="0.25">
      <c r="A352" t="str">
        <f t="shared" si="5"/>
        <v>RTD Ice TeaFranceDecemberEUR (€)Fully-AutomatedOldPET Bottle1.5High-scaleLow</v>
      </c>
      <c r="B352" t="s">
        <v>130</v>
      </c>
      <c r="C352" t="s">
        <v>130</v>
      </c>
      <c r="D352" t="s">
        <v>15</v>
      </c>
      <c r="E352" s="12" t="s">
        <v>182</v>
      </c>
      <c r="F352" t="s">
        <v>187</v>
      </c>
      <c r="G352" t="s">
        <v>12</v>
      </c>
      <c r="H352" t="s">
        <v>72</v>
      </c>
      <c r="I352" t="s">
        <v>175</v>
      </c>
      <c r="J352" s="12">
        <v>1.5</v>
      </c>
      <c r="K352" t="s">
        <v>107</v>
      </c>
      <c r="L352" t="s">
        <v>13</v>
      </c>
      <c r="M352" t="s">
        <v>200</v>
      </c>
      <c r="O352" t="s">
        <v>197</v>
      </c>
      <c r="P352">
        <v>24</v>
      </c>
      <c r="Q352" t="s">
        <v>204</v>
      </c>
      <c r="R352" s="6">
        <v>0.94735517551409787</v>
      </c>
      <c r="S352" s="6">
        <v>23.303269542876816</v>
      </c>
      <c r="T352" s="6">
        <v>9.924900298563184</v>
      </c>
      <c r="U352" s="6">
        <v>94.544201480122396</v>
      </c>
      <c r="V352" s="6">
        <v>6.0647523367983326E-2</v>
      </c>
      <c r="W352" s="6">
        <v>3.0359809292274522</v>
      </c>
      <c r="X352" s="6">
        <v>1.4949316143304818</v>
      </c>
      <c r="Y352" s="6">
        <v>14.560071626005005</v>
      </c>
    </row>
    <row r="353" spans="1:25" x14ac:dyDescent="0.25">
      <c r="A353" t="str">
        <f t="shared" si="5"/>
        <v>RTD Ice TeaFranceDecemberEUR (€)Fully-AutomatedOldPET Bottle1.5High-scaleMedium</v>
      </c>
      <c r="B353" t="s">
        <v>130</v>
      </c>
      <c r="C353" t="s">
        <v>130</v>
      </c>
      <c r="D353" t="s">
        <v>15</v>
      </c>
      <c r="E353" s="12" t="s">
        <v>182</v>
      </c>
      <c r="F353" t="s">
        <v>187</v>
      </c>
      <c r="G353" t="s">
        <v>12</v>
      </c>
      <c r="H353" t="s">
        <v>72</v>
      </c>
      <c r="I353" t="s">
        <v>175</v>
      </c>
      <c r="J353" s="12">
        <v>1.5</v>
      </c>
      <c r="K353" t="s">
        <v>107</v>
      </c>
      <c r="L353" t="s">
        <v>63</v>
      </c>
      <c r="M353" t="s">
        <v>200</v>
      </c>
      <c r="O353" t="s">
        <v>197</v>
      </c>
      <c r="P353">
        <v>24</v>
      </c>
      <c r="Q353" t="s">
        <v>204</v>
      </c>
      <c r="R353" s="6">
        <v>0.98357994722190512</v>
      </c>
      <c r="S353" s="6">
        <v>24.194875620407874</v>
      </c>
      <c r="T353" s="6">
        <v>10.304238907268452</v>
      </c>
      <c r="U353" s="6">
        <v>98.158336005161644</v>
      </c>
      <c r="V353" s="6">
        <v>6.2779459969937612E-2</v>
      </c>
      <c r="W353" s="6">
        <v>3.1417164706403873</v>
      </c>
      <c r="X353" s="6">
        <v>1.5473326998031696</v>
      </c>
      <c r="Y353" s="6">
        <v>15.069998386191802</v>
      </c>
    </row>
    <row r="354" spans="1:25" x14ac:dyDescent="0.25">
      <c r="A354" t="str">
        <f t="shared" si="5"/>
        <v>RTD Ice TeaFranceDecemberEUR (€)Fully-AutomatedOldPET Bottle1.5High-scaleHigh</v>
      </c>
      <c r="B354" t="s">
        <v>130</v>
      </c>
      <c r="C354" t="s">
        <v>130</v>
      </c>
      <c r="D354" t="s">
        <v>15</v>
      </c>
      <c r="E354" s="12" t="s">
        <v>182</v>
      </c>
      <c r="F354" t="s">
        <v>187</v>
      </c>
      <c r="G354" t="s">
        <v>12</v>
      </c>
      <c r="H354" t="s">
        <v>72</v>
      </c>
      <c r="I354" t="s">
        <v>175</v>
      </c>
      <c r="J354" s="12">
        <v>1.5</v>
      </c>
      <c r="K354" t="s">
        <v>107</v>
      </c>
      <c r="L354" t="s">
        <v>11</v>
      </c>
      <c r="M354" t="s">
        <v>200</v>
      </c>
      <c r="O354" t="s">
        <v>197</v>
      </c>
      <c r="P354">
        <v>24</v>
      </c>
      <c r="Q354" t="s">
        <v>204</v>
      </c>
      <c r="R354" s="6">
        <v>1.0227027006663367</v>
      </c>
      <c r="S354" s="6">
        <v>25.157810184141404</v>
      </c>
      <c r="T354" s="6">
        <v>10.71392460467014</v>
      </c>
      <c r="U354" s="6">
        <v>102.06160129220405</v>
      </c>
      <c r="V354" s="6">
        <v>6.5081951500048252E-2</v>
      </c>
      <c r="W354" s="6">
        <v>3.2559108553663552</v>
      </c>
      <c r="X354" s="6">
        <v>1.6039258721136731</v>
      </c>
      <c r="Y354" s="6">
        <v>15.620719287193545</v>
      </c>
    </row>
    <row r="355" spans="1:25" x14ac:dyDescent="0.25">
      <c r="A355" t="str">
        <f t="shared" si="5"/>
        <v>RTD Ice TeaFranceDecemberEUR (€)Fully-AutomatedOldPET Bottle1.5Medium-scaleLow</v>
      </c>
      <c r="B355" t="s">
        <v>130</v>
      </c>
      <c r="C355" t="s">
        <v>130</v>
      </c>
      <c r="D355" t="s">
        <v>15</v>
      </c>
      <c r="E355" s="12" t="s">
        <v>182</v>
      </c>
      <c r="F355" t="s">
        <v>187</v>
      </c>
      <c r="G355" t="s">
        <v>12</v>
      </c>
      <c r="H355" t="s">
        <v>72</v>
      </c>
      <c r="I355" t="s">
        <v>175</v>
      </c>
      <c r="J355" s="12">
        <v>1.5</v>
      </c>
      <c r="K355" t="s">
        <v>62</v>
      </c>
      <c r="L355" t="s">
        <v>13</v>
      </c>
      <c r="M355" t="s">
        <v>200</v>
      </c>
      <c r="O355" t="s">
        <v>197</v>
      </c>
      <c r="P355">
        <v>24</v>
      </c>
      <c r="Q355" t="s">
        <v>204</v>
      </c>
      <c r="R355" s="6">
        <v>0.94873295329187568</v>
      </c>
      <c r="S355" s="6">
        <v>23.333647424644177</v>
      </c>
      <c r="T355" s="6">
        <v>9.940424416619754</v>
      </c>
      <c r="U355" s="6">
        <v>94.688377437397804</v>
      </c>
      <c r="V355" s="6">
        <v>6.1345755691215656E-2</v>
      </c>
      <c r="W355" s="6">
        <v>3.0711387825032475</v>
      </c>
      <c r="X355" s="6">
        <v>1.5130002586996527</v>
      </c>
      <c r="Y355" s="6">
        <v>14.735031865109754</v>
      </c>
    </row>
    <row r="356" spans="1:25" x14ac:dyDescent="0.25">
      <c r="A356" t="str">
        <f t="shared" si="5"/>
        <v>RTD Ice TeaFranceDecemberEUR (€)Fully-AutomatedOldPET Bottle1.5Medium-scaleMedium</v>
      </c>
      <c r="B356" t="s">
        <v>130</v>
      </c>
      <c r="C356" t="s">
        <v>130</v>
      </c>
      <c r="D356" t="s">
        <v>15</v>
      </c>
      <c r="E356" s="12" t="s">
        <v>182</v>
      </c>
      <c r="F356" t="s">
        <v>187</v>
      </c>
      <c r="G356" t="s">
        <v>12</v>
      </c>
      <c r="H356" t="s">
        <v>72</v>
      </c>
      <c r="I356" t="s">
        <v>175</v>
      </c>
      <c r="J356" s="12">
        <v>1.5</v>
      </c>
      <c r="K356" t="s">
        <v>62</v>
      </c>
      <c r="L356" t="s">
        <v>63</v>
      </c>
      <c r="M356" t="s">
        <v>200</v>
      </c>
      <c r="O356" t="s">
        <v>197</v>
      </c>
      <c r="P356">
        <v>24</v>
      </c>
      <c r="Q356" t="s">
        <v>204</v>
      </c>
      <c r="R356" s="6">
        <v>0.98495772499968293</v>
      </c>
      <c r="S356" s="6">
        <v>24.225253502175232</v>
      </c>
      <c r="T356" s="6">
        <v>10.31976302532502</v>
      </c>
      <c r="U356" s="6">
        <v>98.30251196243708</v>
      </c>
      <c r="V356" s="6">
        <v>6.3477692293169963E-2</v>
      </c>
      <c r="W356" s="6">
        <v>3.1768743239161821</v>
      </c>
      <c r="X356" s="6">
        <v>1.5654013441723411</v>
      </c>
      <c r="Y356" s="6">
        <v>15.244958625296553</v>
      </c>
    </row>
    <row r="357" spans="1:25" x14ac:dyDescent="0.25">
      <c r="A357" t="str">
        <f t="shared" si="5"/>
        <v>RTD Ice TeaFranceDecemberEUR (€)Fully-AutomatedOldPET Bottle1.5Medium-scaleHigh</v>
      </c>
      <c r="B357" t="s">
        <v>130</v>
      </c>
      <c r="C357" t="s">
        <v>130</v>
      </c>
      <c r="D357" t="s">
        <v>15</v>
      </c>
      <c r="E357" s="12" t="s">
        <v>182</v>
      </c>
      <c r="F357" t="s">
        <v>187</v>
      </c>
      <c r="G357" t="s">
        <v>12</v>
      </c>
      <c r="H357" t="s">
        <v>72</v>
      </c>
      <c r="I357" t="s">
        <v>175</v>
      </c>
      <c r="J357" s="12">
        <v>1.5</v>
      </c>
      <c r="K357" t="s">
        <v>62</v>
      </c>
      <c r="L357" t="s">
        <v>11</v>
      </c>
      <c r="M357" t="s">
        <v>200</v>
      </c>
      <c r="O357" t="s">
        <v>197</v>
      </c>
      <c r="P357">
        <v>24</v>
      </c>
      <c r="Q357" t="s">
        <v>204</v>
      </c>
      <c r="R357" s="6">
        <v>1.0240804784441147</v>
      </c>
      <c r="S357" s="6">
        <v>25.188188065908765</v>
      </c>
      <c r="T357" s="6">
        <v>10.729448722726705</v>
      </c>
      <c r="U357" s="6">
        <v>102.20577724947947</v>
      </c>
      <c r="V357" s="6">
        <v>6.5780183823280589E-2</v>
      </c>
      <c r="W357" s="6">
        <v>3.2910687086421508</v>
      </c>
      <c r="X357" s="6">
        <v>1.6219945164828444</v>
      </c>
      <c r="Y357" s="6">
        <v>15.795679526298297</v>
      </c>
    </row>
    <row r="358" spans="1:25" x14ac:dyDescent="0.25">
      <c r="A358" t="str">
        <f t="shared" si="5"/>
        <v>RTD Ice TeaFranceDecemberEUR (€)Fully-AutomatedOldPET Bottle1.5Small-scaleLow</v>
      </c>
      <c r="B358" t="s">
        <v>130</v>
      </c>
      <c r="C358" t="s">
        <v>130</v>
      </c>
      <c r="D358" t="s">
        <v>15</v>
      </c>
      <c r="E358" s="12" t="s">
        <v>182</v>
      </c>
      <c r="F358" t="s">
        <v>187</v>
      </c>
      <c r="G358" t="s">
        <v>12</v>
      </c>
      <c r="H358" t="s">
        <v>72</v>
      </c>
      <c r="I358" t="s">
        <v>175</v>
      </c>
      <c r="J358" s="12">
        <v>1.5</v>
      </c>
      <c r="K358" t="s">
        <v>60</v>
      </c>
      <c r="L358" t="s">
        <v>13</v>
      </c>
      <c r="M358" t="s">
        <v>200</v>
      </c>
      <c r="O358" t="s">
        <v>197</v>
      </c>
      <c r="P358">
        <v>24</v>
      </c>
      <c r="Q358" t="s">
        <v>204</v>
      </c>
      <c r="R358" s="6">
        <v>0.95102924958817192</v>
      </c>
      <c r="S358" s="6">
        <v>23.384277227589777</v>
      </c>
      <c r="T358" s="6">
        <v>9.966297946714036</v>
      </c>
      <c r="U358" s="6">
        <v>94.928670699523522</v>
      </c>
      <c r="V358" s="6">
        <v>6.2509476229936189E-2</v>
      </c>
      <c r="W358" s="6">
        <v>3.1297352046295717</v>
      </c>
      <c r="X358" s="6">
        <v>1.5431146659816042</v>
      </c>
      <c r="Y358" s="6">
        <v>15.026632263617671</v>
      </c>
    </row>
    <row r="359" spans="1:25" x14ac:dyDescent="0.25">
      <c r="A359" t="str">
        <f t="shared" si="5"/>
        <v>RTD Ice TeaFranceDecemberEUR (€)Fully-AutomatedOldPET Bottle1.5Small-scaleMedium</v>
      </c>
      <c r="B359" t="s">
        <v>130</v>
      </c>
      <c r="C359" t="s">
        <v>130</v>
      </c>
      <c r="D359" t="s">
        <v>15</v>
      </c>
      <c r="E359" s="12" t="s">
        <v>182</v>
      </c>
      <c r="F359" t="s">
        <v>187</v>
      </c>
      <c r="G359" t="s">
        <v>12</v>
      </c>
      <c r="H359" t="s">
        <v>72</v>
      </c>
      <c r="I359" t="s">
        <v>175</v>
      </c>
      <c r="J359" s="12">
        <v>1.5</v>
      </c>
      <c r="K359" t="s">
        <v>60</v>
      </c>
      <c r="L359" t="s">
        <v>63</v>
      </c>
      <c r="M359" t="s">
        <v>200</v>
      </c>
      <c r="O359" t="s">
        <v>197</v>
      </c>
      <c r="P359">
        <v>24</v>
      </c>
      <c r="Q359" t="s">
        <v>204</v>
      </c>
      <c r="R359" s="6">
        <v>0.98725402129597928</v>
      </c>
      <c r="S359" s="6">
        <v>24.275883305120828</v>
      </c>
      <c r="T359" s="6">
        <v>10.345636555419302</v>
      </c>
      <c r="U359" s="6">
        <v>98.542805224562784</v>
      </c>
      <c r="V359" s="6">
        <v>6.4641412831890482E-2</v>
      </c>
      <c r="W359" s="6">
        <v>3.2354707460425058</v>
      </c>
      <c r="X359" s="6">
        <v>1.5955157514542928</v>
      </c>
      <c r="Y359" s="6">
        <v>15.53655902380447</v>
      </c>
    </row>
    <row r="360" spans="1:25" x14ac:dyDescent="0.25">
      <c r="A360" t="str">
        <f t="shared" si="5"/>
        <v>RTD Ice TeaFranceDecemberEUR (€)Fully-AutomatedOldPET Bottle1.5Small-scaleHigh</v>
      </c>
      <c r="B360" t="s">
        <v>130</v>
      </c>
      <c r="C360" t="s">
        <v>130</v>
      </c>
      <c r="D360" t="s">
        <v>15</v>
      </c>
      <c r="E360" s="12" t="s">
        <v>182</v>
      </c>
      <c r="F360" t="s">
        <v>187</v>
      </c>
      <c r="G360" t="s">
        <v>12</v>
      </c>
      <c r="H360" t="s">
        <v>72</v>
      </c>
      <c r="I360" t="s">
        <v>175</v>
      </c>
      <c r="J360" s="12">
        <v>1.5</v>
      </c>
      <c r="K360" t="s">
        <v>60</v>
      </c>
      <c r="L360" t="s">
        <v>11</v>
      </c>
      <c r="M360" t="s">
        <v>200</v>
      </c>
      <c r="O360" t="s">
        <v>197</v>
      </c>
      <c r="P360">
        <v>24</v>
      </c>
      <c r="Q360" t="s">
        <v>204</v>
      </c>
      <c r="R360" s="6">
        <v>1.0263767747404109</v>
      </c>
      <c r="S360" s="6">
        <v>25.238817868854369</v>
      </c>
      <c r="T360" s="6">
        <v>10.755322252820989</v>
      </c>
      <c r="U360" s="6">
        <v>102.44607051160517</v>
      </c>
      <c r="V360" s="6">
        <v>6.6943904362001122E-2</v>
      </c>
      <c r="W360" s="6">
        <v>3.3496651307684742</v>
      </c>
      <c r="X360" s="6">
        <v>1.6521089237647959</v>
      </c>
      <c r="Y360" s="6">
        <v>16.087279924806211</v>
      </c>
    </row>
    <row r="361" spans="1:25" x14ac:dyDescent="0.25">
      <c r="A361" t="str">
        <f t="shared" si="5"/>
        <v>RTD Ice TeaFranceDecemberEUR (€)Fully-AutomatedOldPET Bottle2High-scaleLow</v>
      </c>
      <c r="B361" t="s">
        <v>130</v>
      </c>
      <c r="C361" t="s">
        <v>130</v>
      </c>
      <c r="D361" t="s">
        <v>15</v>
      </c>
      <c r="E361" s="12" t="s">
        <v>182</v>
      </c>
      <c r="F361" t="s">
        <v>187</v>
      </c>
      <c r="G361" t="s">
        <v>12</v>
      </c>
      <c r="H361" t="s">
        <v>72</v>
      </c>
      <c r="I361" t="s">
        <v>175</v>
      </c>
      <c r="J361" s="12">
        <v>2</v>
      </c>
      <c r="K361" t="s">
        <v>107</v>
      </c>
      <c r="L361" t="s">
        <v>13</v>
      </c>
      <c r="M361" t="s">
        <v>199</v>
      </c>
      <c r="O361" t="s">
        <v>197</v>
      </c>
      <c r="P361">
        <v>4</v>
      </c>
      <c r="Q361" t="s">
        <v>198</v>
      </c>
      <c r="R361" s="6">
        <v>0.94735517551409787</v>
      </c>
      <c r="S361" s="6">
        <v>23.303269542876816</v>
      </c>
      <c r="T361" s="6">
        <v>9.924900298563184</v>
      </c>
      <c r="U361" s="6">
        <v>94.544201480122396</v>
      </c>
      <c r="V361" s="6">
        <v>8.1594162908778842E-2</v>
      </c>
      <c r="W361" s="6">
        <v>2.5629560432602436</v>
      </c>
      <c r="X361" s="6">
        <v>1.5677123606872263</v>
      </c>
      <c r="Y361" s="6">
        <v>14.877084277385293</v>
      </c>
    </row>
    <row r="362" spans="1:25" x14ac:dyDescent="0.25">
      <c r="A362" t="str">
        <f t="shared" si="5"/>
        <v>RTD Ice TeaFranceDecemberEUR (€)Fully-AutomatedOldPET Bottle2High-scaleMedium</v>
      </c>
      <c r="B362" t="s">
        <v>130</v>
      </c>
      <c r="C362" t="s">
        <v>130</v>
      </c>
      <c r="D362" t="s">
        <v>15</v>
      </c>
      <c r="E362" s="12" t="s">
        <v>182</v>
      </c>
      <c r="F362" t="s">
        <v>187</v>
      </c>
      <c r="G362" t="s">
        <v>12</v>
      </c>
      <c r="H362" t="s">
        <v>72</v>
      </c>
      <c r="I362" t="s">
        <v>175</v>
      </c>
      <c r="J362" s="12">
        <v>2</v>
      </c>
      <c r="K362" t="s">
        <v>107</v>
      </c>
      <c r="L362" t="s">
        <v>63</v>
      </c>
      <c r="M362" t="s">
        <v>199</v>
      </c>
      <c r="O362" t="s">
        <v>197</v>
      </c>
      <c r="P362">
        <v>4</v>
      </c>
      <c r="Q362" t="s">
        <v>198</v>
      </c>
      <c r="R362" s="6">
        <v>0.98357994722190512</v>
      </c>
      <c r="S362" s="6">
        <v>24.194875620407874</v>
      </c>
      <c r="T362" s="6">
        <v>10.304238907268452</v>
      </c>
      <c r="U362" s="6">
        <v>98.158336005161644</v>
      </c>
      <c r="V362" s="6">
        <v>8.4397221233553144E-2</v>
      </c>
      <c r="W362" s="6">
        <v>2.6488781248687223</v>
      </c>
      <c r="X362" s="6">
        <v>1.6207120374107236</v>
      </c>
      <c r="Y362" s="6">
        <v>15.379592615149173</v>
      </c>
    </row>
    <row r="363" spans="1:25" x14ac:dyDescent="0.25">
      <c r="A363" t="str">
        <f t="shared" si="5"/>
        <v>RTD Ice TeaFranceDecemberEUR (€)Fully-AutomatedOldPET Bottle2High-scaleHigh</v>
      </c>
      <c r="B363" t="s">
        <v>130</v>
      </c>
      <c r="C363" t="s">
        <v>130</v>
      </c>
      <c r="D363" t="s">
        <v>15</v>
      </c>
      <c r="E363" s="12" t="s">
        <v>182</v>
      </c>
      <c r="F363" t="s">
        <v>187</v>
      </c>
      <c r="G363" t="s">
        <v>12</v>
      </c>
      <c r="H363" t="s">
        <v>72</v>
      </c>
      <c r="I363" t="s">
        <v>175</v>
      </c>
      <c r="J363" s="12">
        <v>2</v>
      </c>
      <c r="K363" t="s">
        <v>107</v>
      </c>
      <c r="L363" t="s">
        <v>11</v>
      </c>
      <c r="M363" t="s">
        <v>199</v>
      </c>
      <c r="O363" t="s">
        <v>197</v>
      </c>
      <c r="P363">
        <v>4</v>
      </c>
      <c r="Q363" t="s">
        <v>198</v>
      </c>
      <c r="R363" s="6">
        <v>1.0227027006663367</v>
      </c>
      <c r="S363" s="6">
        <v>25.157810184141404</v>
      </c>
      <c r="T363" s="6">
        <v>10.71392460467014</v>
      </c>
      <c r="U363" s="6">
        <v>102.06160129220405</v>
      </c>
      <c r="V363" s="6">
        <v>8.7424524224309422E-2</v>
      </c>
      <c r="W363" s="6">
        <v>2.7416739730058799</v>
      </c>
      <c r="X363" s="6">
        <v>1.6779516882721008</v>
      </c>
      <c r="Y363" s="6">
        <v>15.922301619934164</v>
      </c>
    </row>
    <row r="364" spans="1:25" x14ac:dyDescent="0.25">
      <c r="A364" t="str">
        <f t="shared" si="5"/>
        <v>RTD Ice TeaFranceDecemberEUR (€)Fully-AutomatedOldPET Bottle2Medium-scaleLow</v>
      </c>
      <c r="B364" t="s">
        <v>130</v>
      </c>
      <c r="C364" t="s">
        <v>130</v>
      </c>
      <c r="D364" t="s">
        <v>15</v>
      </c>
      <c r="E364" s="12" t="s">
        <v>182</v>
      </c>
      <c r="F364" t="s">
        <v>187</v>
      </c>
      <c r="G364" t="s">
        <v>12</v>
      </c>
      <c r="H364" t="s">
        <v>72</v>
      </c>
      <c r="I364" t="s">
        <v>175</v>
      </c>
      <c r="J364" s="12">
        <v>2</v>
      </c>
      <c r="K364" t="s">
        <v>62</v>
      </c>
      <c r="L364" t="s">
        <v>13</v>
      </c>
      <c r="M364" t="s">
        <v>199</v>
      </c>
      <c r="O364" t="s">
        <v>197</v>
      </c>
      <c r="P364">
        <v>4</v>
      </c>
      <c r="Q364" t="s">
        <v>198</v>
      </c>
      <c r="R364" s="6">
        <v>0.94873295329187568</v>
      </c>
      <c r="S364" s="6">
        <v>23.333647424644177</v>
      </c>
      <c r="T364" s="6">
        <v>9.940424416619754</v>
      </c>
      <c r="U364" s="6">
        <v>94.688377437397804</v>
      </c>
      <c r="V364" s="6">
        <v>8.2608051797667739E-2</v>
      </c>
      <c r="W364" s="6">
        <v>2.5966654448883326</v>
      </c>
      <c r="X364" s="6">
        <v>1.5887924457845926</v>
      </c>
      <c r="Y364" s="6">
        <v>15.076583830264275</v>
      </c>
    </row>
    <row r="365" spans="1:25" x14ac:dyDescent="0.25">
      <c r="A365" t="str">
        <f t="shared" si="5"/>
        <v>RTD Ice TeaFranceDecemberEUR (€)Fully-AutomatedOldPET Bottle2Medium-scaleMedium</v>
      </c>
      <c r="B365" t="s">
        <v>130</v>
      </c>
      <c r="C365" t="s">
        <v>130</v>
      </c>
      <c r="D365" t="s">
        <v>15</v>
      </c>
      <c r="E365" s="12" t="s">
        <v>182</v>
      </c>
      <c r="F365" t="s">
        <v>187</v>
      </c>
      <c r="G365" t="s">
        <v>12</v>
      </c>
      <c r="H365" t="s">
        <v>72</v>
      </c>
      <c r="I365" t="s">
        <v>175</v>
      </c>
      <c r="J365" s="12">
        <v>2</v>
      </c>
      <c r="K365" t="s">
        <v>62</v>
      </c>
      <c r="L365" t="s">
        <v>63</v>
      </c>
      <c r="M365" t="s">
        <v>199</v>
      </c>
      <c r="O365" t="s">
        <v>197</v>
      </c>
      <c r="P365">
        <v>4</v>
      </c>
      <c r="Q365" t="s">
        <v>198</v>
      </c>
      <c r="R365" s="6">
        <v>0.98495772499968293</v>
      </c>
      <c r="S365" s="6">
        <v>24.225253502175232</v>
      </c>
      <c r="T365" s="6">
        <v>10.31976302532502</v>
      </c>
      <c r="U365" s="6">
        <v>98.30251196243708</v>
      </c>
      <c r="V365" s="6">
        <v>8.5411110122442041E-2</v>
      </c>
      <c r="W365" s="6">
        <v>2.6825875264968122</v>
      </c>
      <c r="X365" s="6">
        <v>1.6417921225080896</v>
      </c>
      <c r="Y365" s="6">
        <v>15.579092168028158</v>
      </c>
    </row>
    <row r="366" spans="1:25" x14ac:dyDescent="0.25">
      <c r="A366" t="str">
        <f t="shared" si="5"/>
        <v>RTD Ice TeaFranceDecemberEUR (€)Fully-AutomatedOldPET Bottle2Medium-scaleHigh</v>
      </c>
      <c r="B366" t="s">
        <v>130</v>
      </c>
      <c r="C366" t="s">
        <v>130</v>
      </c>
      <c r="D366" t="s">
        <v>15</v>
      </c>
      <c r="E366" s="12" t="s">
        <v>182</v>
      </c>
      <c r="F366" t="s">
        <v>187</v>
      </c>
      <c r="G366" t="s">
        <v>12</v>
      </c>
      <c r="H366" t="s">
        <v>72</v>
      </c>
      <c r="I366" t="s">
        <v>175</v>
      </c>
      <c r="J366" s="12">
        <v>2</v>
      </c>
      <c r="K366" t="s">
        <v>62</v>
      </c>
      <c r="L366" t="s">
        <v>11</v>
      </c>
      <c r="M366" t="s">
        <v>199</v>
      </c>
      <c r="O366" t="s">
        <v>197</v>
      </c>
      <c r="P366">
        <v>4</v>
      </c>
      <c r="Q366" t="s">
        <v>198</v>
      </c>
      <c r="R366" s="6">
        <v>1.0240804784441147</v>
      </c>
      <c r="S366" s="6">
        <v>25.188188065908765</v>
      </c>
      <c r="T366" s="6">
        <v>10.729448722726705</v>
      </c>
      <c r="U366" s="6">
        <v>102.20577724947947</v>
      </c>
      <c r="V366" s="6">
        <v>8.8438413113198305E-2</v>
      </c>
      <c r="W366" s="6">
        <v>2.7753833746339698</v>
      </c>
      <c r="X366" s="6">
        <v>1.6990317733694669</v>
      </c>
      <c r="Y366" s="6">
        <v>16.121801172813143</v>
      </c>
    </row>
    <row r="367" spans="1:25" x14ac:dyDescent="0.25">
      <c r="A367" t="str">
        <f t="shared" si="5"/>
        <v>RTD Ice TeaFranceDecemberEUR (€)Fully-AutomatedOldPET Bottle2Small-scaleLow</v>
      </c>
      <c r="B367" t="s">
        <v>130</v>
      </c>
      <c r="C367" t="s">
        <v>130</v>
      </c>
      <c r="D367" t="s">
        <v>15</v>
      </c>
      <c r="E367" s="12" t="s">
        <v>182</v>
      </c>
      <c r="F367" t="s">
        <v>187</v>
      </c>
      <c r="G367" t="s">
        <v>12</v>
      </c>
      <c r="H367" t="s">
        <v>72</v>
      </c>
      <c r="I367" t="s">
        <v>175</v>
      </c>
      <c r="J367" s="12">
        <v>2</v>
      </c>
      <c r="K367" t="s">
        <v>60</v>
      </c>
      <c r="L367" t="s">
        <v>13</v>
      </c>
      <c r="M367" t="s">
        <v>199</v>
      </c>
      <c r="O367" t="s">
        <v>197</v>
      </c>
      <c r="P367">
        <v>4</v>
      </c>
      <c r="Q367" t="s">
        <v>198</v>
      </c>
      <c r="R367" s="6">
        <v>0.95102924958817192</v>
      </c>
      <c r="S367" s="6">
        <v>23.384277227589777</v>
      </c>
      <c r="T367" s="6">
        <v>9.966297946714036</v>
      </c>
      <c r="U367" s="6">
        <v>94.928670699523522</v>
      </c>
      <c r="V367" s="6">
        <v>8.429786661248255E-2</v>
      </c>
      <c r="W367" s="6">
        <v>2.6528477809351489</v>
      </c>
      <c r="X367" s="6">
        <v>1.6239259209468693</v>
      </c>
      <c r="Y367" s="6">
        <v>15.409083085062575</v>
      </c>
    </row>
    <row r="368" spans="1:25" x14ac:dyDescent="0.25">
      <c r="A368" t="str">
        <f t="shared" si="5"/>
        <v>RTD Ice TeaFranceDecemberEUR (€)Fully-AutomatedOldPET Bottle2Small-scaleMedium</v>
      </c>
      <c r="B368" t="s">
        <v>130</v>
      </c>
      <c r="C368" t="s">
        <v>130</v>
      </c>
      <c r="D368" t="s">
        <v>15</v>
      </c>
      <c r="E368" s="12" t="s">
        <v>182</v>
      </c>
      <c r="F368" t="s">
        <v>187</v>
      </c>
      <c r="G368" t="s">
        <v>12</v>
      </c>
      <c r="H368" t="s">
        <v>72</v>
      </c>
      <c r="I368" t="s">
        <v>175</v>
      </c>
      <c r="J368" s="12">
        <v>2</v>
      </c>
      <c r="K368" t="s">
        <v>60</v>
      </c>
      <c r="L368" t="s">
        <v>63</v>
      </c>
      <c r="M368" t="s">
        <v>199</v>
      </c>
      <c r="O368" t="s">
        <v>197</v>
      </c>
      <c r="P368">
        <v>4</v>
      </c>
      <c r="Q368" t="s">
        <v>198</v>
      </c>
      <c r="R368" s="6">
        <v>0.98725402129597928</v>
      </c>
      <c r="S368" s="6">
        <v>24.275883305120828</v>
      </c>
      <c r="T368" s="6">
        <v>10.345636555419302</v>
      </c>
      <c r="U368" s="6">
        <v>98.542805224562784</v>
      </c>
      <c r="V368" s="6">
        <v>8.7100924937256852E-2</v>
      </c>
      <c r="W368" s="6">
        <v>2.7387698625436281</v>
      </c>
      <c r="X368" s="6">
        <v>1.6769255976703663</v>
      </c>
      <c r="Y368" s="6">
        <v>15.911591422826454</v>
      </c>
    </row>
    <row r="369" spans="1:25" x14ac:dyDescent="0.25">
      <c r="A369" t="str">
        <f t="shared" si="5"/>
        <v>RTD Ice TeaFranceDecemberEUR (€)Fully-AutomatedOldPET Bottle2Small-scaleHigh</v>
      </c>
      <c r="B369" t="s">
        <v>130</v>
      </c>
      <c r="C369" t="s">
        <v>130</v>
      </c>
      <c r="D369" t="s">
        <v>15</v>
      </c>
      <c r="E369" s="12" t="s">
        <v>182</v>
      </c>
      <c r="F369" t="s">
        <v>187</v>
      </c>
      <c r="G369" t="s">
        <v>12</v>
      </c>
      <c r="H369" t="s">
        <v>72</v>
      </c>
      <c r="I369" t="s">
        <v>175</v>
      </c>
      <c r="J369" s="12">
        <v>2</v>
      </c>
      <c r="K369" t="s">
        <v>60</v>
      </c>
      <c r="L369" t="s">
        <v>11</v>
      </c>
      <c r="M369" t="s">
        <v>199</v>
      </c>
      <c r="O369" t="s">
        <v>197</v>
      </c>
      <c r="P369">
        <v>4</v>
      </c>
      <c r="Q369" t="s">
        <v>198</v>
      </c>
      <c r="R369" s="6">
        <v>1.0263767747404109</v>
      </c>
      <c r="S369" s="6">
        <v>25.238817868854369</v>
      </c>
      <c r="T369" s="6">
        <v>10.755322252820989</v>
      </c>
      <c r="U369" s="6">
        <v>102.44607051160517</v>
      </c>
      <c r="V369" s="6">
        <v>9.012822792801313E-2</v>
      </c>
      <c r="W369" s="6">
        <v>2.8315657106807857</v>
      </c>
      <c r="X369" s="6">
        <v>1.7341652485317436</v>
      </c>
      <c r="Y369" s="6">
        <v>16.45430042761145</v>
      </c>
    </row>
    <row r="370" spans="1:25" x14ac:dyDescent="0.25">
      <c r="A370" t="str">
        <f t="shared" si="5"/>
        <v>RTD Ice TeaFranceDecemberEUR (€)Fully-AutomatedOldPET Bottle2High-scaleLow</v>
      </c>
      <c r="B370" t="s">
        <v>130</v>
      </c>
      <c r="C370" t="s">
        <v>130</v>
      </c>
      <c r="D370" t="s">
        <v>15</v>
      </c>
      <c r="E370" s="12" t="s">
        <v>182</v>
      </c>
      <c r="F370" t="s">
        <v>187</v>
      </c>
      <c r="G370" t="s">
        <v>12</v>
      </c>
      <c r="H370" t="s">
        <v>72</v>
      </c>
      <c r="I370" t="s">
        <v>175</v>
      </c>
      <c r="J370" s="12">
        <v>2</v>
      </c>
      <c r="K370" t="s">
        <v>107</v>
      </c>
      <c r="L370" t="s">
        <v>13</v>
      </c>
      <c r="M370" t="s">
        <v>200</v>
      </c>
      <c r="O370" t="s">
        <v>197</v>
      </c>
      <c r="P370">
        <v>4</v>
      </c>
      <c r="Q370" t="s">
        <v>198</v>
      </c>
      <c r="R370" s="6">
        <v>0.94735517551409787</v>
      </c>
      <c r="S370" s="6">
        <v>23.303269542876816</v>
      </c>
      <c r="T370" s="6">
        <v>9.924900298563184</v>
      </c>
      <c r="U370" s="6">
        <v>94.544201480122396</v>
      </c>
      <c r="V370" s="6">
        <v>7.2043820213467474E-2</v>
      </c>
      <c r="W370" s="6">
        <v>3.0395246361936596</v>
      </c>
      <c r="X370" s="6">
        <v>1.5235786693788997</v>
      </c>
      <c r="Y370" s="6">
        <v>14.810223150442638</v>
      </c>
    </row>
    <row r="371" spans="1:25" x14ac:dyDescent="0.25">
      <c r="A371" t="str">
        <f t="shared" si="5"/>
        <v>RTD Ice TeaFranceDecemberEUR (€)Fully-AutomatedOldPET Bottle2High-scaleMedium</v>
      </c>
      <c r="B371" t="s">
        <v>130</v>
      </c>
      <c r="C371" t="s">
        <v>130</v>
      </c>
      <c r="D371" t="s">
        <v>15</v>
      </c>
      <c r="E371" s="12" t="s">
        <v>182</v>
      </c>
      <c r="F371" t="s">
        <v>187</v>
      </c>
      <c r="G371" t="s">
        <v>12</v>
      </c>
      <c r="H371" t="s">
        <v>72</v>
      </c>
      <c r="I371" t="s">
        <v>175</v>
      </c>
      <c r="J371" s="12">
        <v>2</v>
      </c>
      <c r="K371" t="s">
        <v>107</v>
      </c>
      <c r="L371" t="s">
        <v>63</v>
      </c>
      <c r="M371" t="s">
        <v>200</v>
      </c>
      <c r="O371" t="s">
        <v>197</v>
      </c>
      <c r="P371">
        <v>4</v>
      </c>
      <c r="Q371" t="s">
        <v>198</v>
      </c>
      <c r="R371" s="6">
        <v>0.98357994722190512</v>
      </c>
      <c r="S371" s="6">
        <v>24.194875620407874</v>
      </c>
      <c r="T371" s="6">
        <v>10.304238907268452</v>
      </c>
      <c r="U371" s="6">
        <v>98.158336005161644</v>
      </c>
      <c r="V371" s="6">
        <v>7.4581053391840929E-2</v>
      </c>
      <c r="W371" s="6">
        <v>3.1445152535044847</v>
      </c>
      <c r="X371" s="6">
        <v>1.576618266087574</v>
      </c>
      <c r="Y371" s="6">
        <v>15.325288306570421</v>
      </c>
    </row>
    <row r="372" spans="1:25" x14ac:dyDescent="0.25">
      <c r="A372" t="str">
        <f t="shared" si="5"/>
        <v>RTD Ice TeaFranceDecemberEUR (€)Fully-AutomatedOldPET Bottle2High-scaleHigh</v>
      </c>
      <c r="B372" t="s">
        <v>130</v>
      </c>
      <c r="C372" t="s">
        <v>130</v>
      </c>
      <c r="D372" t="s">
        <v>15</v>
      </c>
      <c r="E372" s="12" t="s">
        <v>182</v>
      </c>
      <c r="F372" t="s">
        <v>187</v>
      </c>
      <c r="G372" t="s">
        <v>12</v>
      </c>
      <c r="H372" t="s">
        <v>72</v>
      </c>
      <c r="I372" t="s">
        <v>175</v>
      </c>
      <c r="J372" s="12">
        <v>2</v>
      </c>
      <c r="K372" t="s">
        <v>107</v>
      </c>
      <c r="L372" t="s">
        <v>11</v>
      </c>
      <c r="M372" t="s">
        <v>200</v>
      </c>
      <c r="O372" t="s">
        <v>197</v>
      </c>
      <c r="P372">
        <v>4</v>
      </c>
      <c r="Q372" t="s">
        <v>198</v>
      </c>
      <c r="R372" s="6">
        <v>1.0227027006663367</v>
      </c>
      <c r="S372" s="6">
        <v>25.157810184141404</v>
      </c>
      <c r="T372" s="6">
        <v>10.71392460467014</v>
      </c>
      <c r="U372" s="6">
        <v>102.06160129220405</v>
      </c>
      <c r="V372" s="6">
        <v>7.7321265224484251E-2</v>
      </c>
      <c r="W372" s="6">
        <v>3.2579051202001761</v>
      </c>
      <c r="X372" s="6">
        <v>1.6339010305329424</v>
      </c>
      <c r="Y372" s="6">
        <v>15.88155867518843</v>
      </c>
    </row>
    <row r="373" spans="1:25" x14ac:dyDescent="0.25">
      <c r="A373" t="str">
        <f t="shared" si="5"/>
        <v>RTD Ice TeaFranceDecemberEUR (€)Fully-AutomatedOldPET Bottle2Medium-scaleLow</v>
      </c>
      <c r="B373" t="s">
        <v>130</v>
      </c>
      <c r="C373" t="s">
        <v>130</v>
      </c>
      <c r="D373" t="s">
        <v>15</v>
      </c>
      <c r="E373" s="12" t="s">
        <v>182</v>
      </c>
      <c r="F373" t="s">
        <v>187</v>
      </c>
      <c r="G373" t="s">
        <v>12</v>
      </c>
      <c r="H373" t="s">
        <v>72</v>
      </c>
      <c r="I373" t="s">
        <v>175</v>
      </c>
      <c r="J373" s="12">
        <v>2</v>
      </c>
      <c r="K373" t="s">
        <v>62</v>
      </c>
      <c r="L373" t="s">
        <v>13</v>
      </c>
      <c r="M373" t="s">
        <v>200</v>
      </c>
      <c r="O373" t="s">
        <v>197</v>
      </c>
      <c r="P373">
        <v>4</v>
      </c>
      <c r="Q373" t="s">
        <v>198</v>
      </c>
      <c r="R373" s="6">
        <v>0.94873295329187568</v>
      </c>
      <c r="S373" s="6">
        <v>23.333647424644177</v>
      </c>
      <c r="T373" s="6">
        <v>9.940424416619754</v>
      </c>
      <c r="U373" s="6">
        <v>94.688377437397804</v>
      </c>
      <c r="V373" s="6">
        <v>7.295669900134627E-2</v>
      </c>
      <c r="W373" s="6">
        <v>3.0804104228747105</v>
      </c>
      <c r="X373" s="6">
        <v>1.544658754476266</v>
      </c>
      <c r="Y373" s="6">
        <v>15.014321697040389</v>
      </c>
    </row>
    <row r="374" spans="1:25" x14ac:dyDescent="0.25">
      <c r="A374" t="str">
        <f t="shared" si="5"/>
        <v>RTD Ice TeaFranceDecemberEUR (€)Fully-AutomatedOldPET Bottle2Medium-scaleMedium</v>
      </c>
      <c r="B374" t="s">
        <v>130</v>
      </c>
      <c r="C374" t="s">
        <v>130</v>
      </c>
      <c r="D374" t="s">
        <v>15</v>
      </c>
      <c r="E374" s="12" t="s">
        <v>182</v>
      </c>
      <c r="F374" t="s">
        <v>187</v>
      </c>
      <c r="G374" t="s">
        <v>12</v>
      </c>
      <c r="H374" t="s">
        <v>72</v>
      </c>
      <c r="I374" t="s">
        <v>175</v>
      </c>
      <c r="J374" s="12">
        <v>2</v>
      </c>
      <c r="K374" t="s">
        <v>62</v>
      </c>
      <c r="L374" t="s">
        <v>63</v>
      </c>
      <c r="M374" t="s">
        <v>200</v>
      </c>
      <c r="O374" t="s">
        <v>197</v>
      </c>
      <c r="P374">
        <v>4</v>
      </c>
      <c r="Q374" t="s">
        <v>198</v>
      </c>
      <c r="R374" s="6">
        <v>0.98495772499968293</v>
      </c>
      <c r="S374" s="6">
        <v>24.225253502175232</v>
      </c>
      <c r="T374" s="6">
        <v>10.31976302532502</v>
      </c>
      <c r="U374" s="6">
        <v>98.30251196243708</v>
      </c>
      <c r="V374" s="6">
        <v>7.5493932179719711E-2</v>
      </c>
      <c r="W374" s="6">
        <v>3.1854010401855368</v>
      </c>
      <c r="X374" s="6">
        <v>1.5976983511849401</v>
      </c>
      <c r="Y374" s="6">
        <v>15.529386853168175</v>
      </c>
    </row>
    <row r="375" spans="1:25" x14ac:dyDescent="0.25">
      <c r="A375" t="str">
        <f t="shared" si="5"/>
        <v>RTD Ice TeaFranceDecemberEUR (€)Fully-AutomatedOldPET Bottle2Medium-scaleHigh</v>
      </c>
      <c r="B375" t="s">
        <v>130</v>
      </c>
      <c r="C375" t="s">
        <v>130</v>
      </c>
      <c r="D375" t="s">
        <v>15</v>
      </c>
      <c r="E375" s="12" t="s">
        <v>182</v>
      </c>
      <c r="F375" t="s">
        <v>187</v>
      </c>
      <c r="G375" t="s">
        <v>12</v>
      </c>
      <c r="H375" t="s">
        <v>72</v>
      </c>
      <c r="I375" t="s">
        <v>175</v>
      </c>
      <c r="J375" s="12">
        <v>2</v>
      </c>
      <c r="K375" t="s">
        <v>62</v>
      </c>
      <c r="L375" t="s">
        <v>11</v>
      </c>
      <c r="M375" t="s">
        <v>200</v>
      </c>
      <c r="O375" t="s">
        <v>197</v>
      </c>
      <c r="P375">
        <v>4</v>
      </c>
      <c r="Q375" t="s">
        <v>198</v>
      </c>
      <c r="R375" s="6">
        <v>1.0240804784441147</v>
      </c>
      <c r="S375" s="6">
        <v>25.188188065908765</v>
      </c>
      <c r="T375" s="6">
        <v>10.729448722726705</v>
      </c>
      <c r="U375" s="6">
        <v>102.20577724947947</v>
      </c>
      <c r="V375" s="6">
        <v>7.8234144012363047E-2</v>
      </c>
      <c r="W375" s="6">
        <v>3.2987909068812273</v>
      </c>
      <c r="X375" s="6">
        <v>1.6549811156303085</v>
      </c>
      <c r="Y375" s="6">
        <v>16.085657221786178</v>
      </c>
    </row>
    <row r="376" spans="1:25" x14ac:dyDescent="0.25">
      <c r="A376" t="str">
        <f t="shared" si="5"/>
        <v>RTD Ice TeaFranceDecemberEUR (€)Fully-AutomatedOldPET Bottle2Small-scaleLow</v>
      </c>
      <c r="B376" t="s">
        <v>130</v>
      </c>
      <c r="C376" t="s">
        <v>130</v>
      </c>
      <c r="D376" t="s">
        <v>15</v>
      </c>
      <c r="E376" s="12" t="s">
        <v>182</v>
      </c>
      <c r="F376" t="s">
        <v>187</v>
      </c>
      <c r="G376" t="s">
        <v>12</v>
      </c>
      <c r="H376" t="s">
        <v>72</v>
      </c>
      <c r="I376" t="s">
        <v>175</v>
      </c>
      <c r="J376" s="12">
        <v>2</v>
      </c>
      <c r="K376" t="s">
        <v>60</v>
      </c>
      <c r="L376" t="s">
        <v>13</v>
      </c>
      <c r="M376" t="s">
        <v>200</v>
      </c>
      <c r="O376" t="s">
        <v>197</v>
      </c>
      <c r="P376">
        <v>4</v>
      </c>
      <c r="Q376" t="s">
        <v>198</v>
      </c>
      <c r="R376" s="6">
        <v>0.95102924958817192</v>
      </c>
      <c r="S376" s="6">
        <v>23.384277227589777</v>
      </c>
      <c r="T376" s="6">
        <v>9.966297946714036</v>
      </c>
      <c r="U376" s="6">
        <v>94.928670699523522</v>
      </c>
      <c r="V376" s="6">
        <v>7.4478163647810916E-2</v>
      </c>
      <c r="W376" s="6">
        <v>3.1485534006764633</v>
      </c>
      <c r="X376" s="6">
        <v>1.5797922296385427</v>
      </c>
      <c r="Y376" s="6">
        <v>15.354485941369971</v>
      </c>
    </row>
    <row r="377" spans="1:25" x14ac:dyDescent="0.25">
      <c r="A377" t="str">
        <f t="shared" si="5"/>
        <v>RTD Ice TeaFranceDecemberEUR (€)Fully-AutomatedOldPET Bottle2Small-scaleMedium</v>
      </c>
      <c r="B377" t="s">
        <v>130</v>
      </c>
      <c r="C377" t="s">
        <v>130</v>
      </c>
      <c r="D377" t="s">
        <v>15</v>
      </c>
      <c r="E377" s="12" t="s">
        <v>182</v>
      </c>
      <c r="F377" t="s">
        <v>187</v>
      </c>
      <c r="G377" t="s">
        <v>12</v>
      </c>
      <c r="H377" t="s">
        <v>72</v>
      </c>
      <c r="I377" t="s">
        <v>175</v>
      </c>
      <c r="J377" s="12">
        <v>2</v>
      </c>
      <c r="K377" t="s">
        <v>60</v>
      </c>
      <c r="L377" t="s">
        <v>63</v>
      </c>
      <c r="M377" t="s">
        <v>200</v>
      </c>
      <c r="O377" t="s">
        <v>197</v>
      </c>
      <c r="P377">
        <v>4</v>
      </c>
      <c r="Q377" t="s">
        <v>198</v>
      </c>
      <c r="R377" s="6">
        <v>0.98725402129597928</v>
      </c>
      <c r="S377" s="6">
        <v>24.275883305120828</v>
      </c>
      <c r="T377" s="6">
        <v>10.345636555419302</v>
      </c>
      <c r="U377" s="6">
        <v>98.542805224562784</v>
      </c>
      <c r="V377" s="6">
        <v>7.7015396826184357E-2</v>
      </c>
      <c r="W377" s="6">
        <v>3.2535440179872888</v>
      </c>
      <c r="X377" s="6">
        <v>1.6328318263472168</v>
      </c>
      <c r="Y377" s="6">
        <v>15.869551097497755</v>
      </c>
    </row>
    <row r="378" spans="1:25" x14ac:dyDescent="0.25">
      <c r="A378" t="str">
        <f t="shared" si="5"/>
        <v>RTD Ice TeaFranceDecemberEUR (€)Fully-AutomatedOldPET Bottle2Small-scaleHigh</v>
      </c>
      <c r="B378" t="s">
        <v>130</v>
      </c>
      <c r="C378" t="s">
        <v>130</v>
      </c>
      <c r="D378" t="s">
        <v>15</v>
      </c>
      <c r="E378" s="12" t="s">
        <v>182</v>
      </c>
      <c r="F378" t="s">
        <v>187</v>
      </c>
      <c r="G378" t="s">
        <v>12</v>
      </c>
      <c r="H378" t="s">
        <v>72</v>
      </c>
      <c r="I378" t="s">
        <v>175</v>
      </c>
      <c r="J378" s="12">
        <v>2</v>
      </c>
      <c r="K378" t="s">
        <v>60</v>
      </c>
      <c r="L378" t="s">
        <v>11</v>
      </c>
      <c r="M378" t="s">
        <v>200</v>
      </c>
      <c r="O378" t="s">
        <v>197</v>
      </c>
      <c r="P378">
        <v>4</v>
      </c>
      <c r="Q378" t="s">
        <v>198</v>
      </c>
      <c r="R378" s="6">
        <v>1.0263767747404109</v>
      </c>
      <c r="S378" s="6">
        <v>25.238817868854369</v>
      </c>
      <c r="T378" s="6">
        <v>10.755322252820989</v>
      </c>
      <c r="U378" s="6">
        <v>102.44607051160517</v>
      </c>
      <c r="V378" s="6">
        <v>7.9755608658827692E-2</v>
      </c>
      <c r="W378" s="6">
        <v>3.3669338846829797</v>
      </c>
      <c r="X378" s="6">
        <v>1.6901145907925854</v>
      </c>
      <c r="Y378" s="6">
        <v>16.425821466115764</v>
      </c>
    </row>
    <row r="379" spans="1:25" x14ac:dyDescent="0.25">
      <c r="A379" t="str">
        <f t="shared" si="5"/>
        <v>RTD Ice TeaFranceDecemberEUR (€)Fully-AutomatedOldPET Bottle2High-scaleLow</v>
      </c>
      <c r="B379" t="s">
        <v>130</v>
      </c>
      <c r="C379" t="s">
        <v>130</v>
      </c>
      <c r="D379" t="s">
        <v>15</v>
      </c>
      <c r="E379" s="12" t="s">
        <v>182</v>
      </c>
      <c r="F379" t="s">
        <v>187</v>
      </c>
      <c r="G379" t="s">
        <v>12</v>
      </c>
      <c r="H379" t="s">
        <v>72</v>
      </c>
      <c r="I379" t="s">
        <v>175</v>
      </c>
      <c r="J379" s="12">
        <v>2</v>
      </c>
      <c r="K379" t="s">
        <v>107</v>
      </c>
      <c r="L379" t="s">
        <v>13</v>
      </c>
      <c r="M379" t="s">
        <v>199</v>
      </c>
      <c r="O379" t="s">
        <v>197</v>
      </c>
      <c r="P379">
        <v>6</v>
      </c>
      <c r="Q379" t="s">
        <v>201</v>
      </c>
      <c r="R379" s="6">
        <v>0.94735517551409787</v>
      </c>
      <c r="S379" s="6">
        <v>23.303269542876816</v>
      </c>
      <c r="T379" s="6">
        <v>9.924900298563184</v>
      </c>
      <c r="U379" s="6">
        <v>94.544201480122396</v>
      </c>
      <c r="V379" s="6">
        <v>7.5539669075260191E-2</v>
      </c>
      <c r="W379" s="6">
        <v>2.4013892662902458</v>
      </c>
      <c r="X379" s="6">
        <v>1.4827691991546341</v>
      </c>
      <c r="Y379" s="6">
        <v>14.055185331478523</v>
      </c>
    </row>
    <row r="380" spans="1:25" x14ac:dyDescent="0.25">
      <c r="A380" t="str">
        <f t="shared" si="5"/>
        <v>RTD Ice TeaFranceDecemberEUR (€)Fully-AutomatedOldPET Bottle2High-scaleMedium</v>
      </c>
      <c r="B380" t="s">
        <v>130</v>
      </c>
      <c r="C380" t="s">
        <v>130</v>
      </c>
      <c r="D380" t="s">
        <v>15</v>
      </c>
      <c r="E380" s="12" t="s">
        <v>182</v>
      </c>
      <c r="F380" t="s">
        <v>187</v>
      </c>
      <c r="G380" t="s">
        <v>12</v>
      </c>
      <c r="H380" t="s">
        <v>72</v>
      </c>
      <c r="I380" t="s">
        <v>175</v>
      </c>
      <c r="J380" s="12">
        <v>2</v>
      </c>
      <c r="K380" t="s">
        <v>107</v>
      </c>
      <c r="L380" t="s">
        <v>63</v>
      </c>
      <c r="M380" t="s">
        <v>199</v>
      </c>
      <c r="O380" t="s">
        <v>197</v>
      </c>
      <c r="P380">
        <v>6</v>
      </c>
      <c r="Q380" t="s">
        <v>201</v>
      </c>
      <c r="R380" s="6">
        <v>0.98357994722190512</v>
      </c>
      <c r="S380" s="6">
        <v>24.194875620407874</v>
      </c>
      <c r="T380" s="6">
        <v>10.304238907268452</v>
      </c>
      <c r="U380" s="6">
        <v>98.158336005161644</v>
      </c>
      <c r="V380" s="6">
        <v>7.8109862252591478E-2</v>
      </c>
      <c r="W380" s="6">
        <v>2.4810972410921868</v>
      </c>
      <c r="X380" s="6">
        <v>1.532501831203801</v>
      </c>
      <c r="Y380" s="6">
        <v>14.526082171322912</v>
      </c>
    </row>
    <row r="381" spans="1:25" x14ac:dyDescent="0.25">
      <c r="A381" t="str">
        <f t="shared" si="5"/>
        <v>RTD Ice TeaFranceDecemberEUR (€)Fully-AutomatedOldPET Bottle2High-scaleHigh</v>
      </c>
      <c r="B381" t="s">
        <v>130</v>
      </c>
      <c r="C381" t="s">
        <v>130</v>
      </c>
      <c r="D381" t="s">
        <v>15</v>
      </c>
      <c r="E381" s="12" t="s">
        <v>182</v>
      </c>
      <c r="F381" t="s">
        <v>187</v>
      </c>
      <c r="G381" t="s">
        <v>12</v>
      </c>
      <c r="H381" t="s">
        <v>72</v>
      </c>
      <c r="I381" t="s">
        <v>175</v>
      </c>
      <c r="J381" s="12">
        <v>2</v>
      </c>
      <c r="K381" t="s">
        <v>107</v>
      </c>
      <c r="L381" t="s">
        <v>11</v>
      </c>
      <c r="M381" t="s">
        <v>199</v>
      </c>
      <c r="O381" t="s">
        <v>197</v>
      </c>
      <c r="P381">
        <v>6</v>
      </c>
      <c r="Q381" t="s">
        <v>201</v>
      </c>
      <c r="R381" s="6">
        <v>1.0227027006663367</v>
      </c>
      <c r="S381" s="6">
        <v>25.157810184141404</v>
      </c>
      <c r="T381" s="6">
        <v>10.71392460467014</v>
      </c>
      <c r="U381" s="6">
        <v>102.06160129220405</v>
      </c>
      <c r="V381" s="6">
        <v>8.0885670884109279E-2</v>
      </c>
      <c r="W381" s="6">
        <v>2.5671818538782829</v>
      </c>
      <c r="X381" s="6">
        <v>1.5862130738169014</v>
      </c>
      <c r="Y381" s="6">
        <v>15.03465075835485</v>
      </c>
    </row>
    <row r="382" spans="1:25" x14ac:dyDescent="0.25">
      <c r="A382" t="str">
        <f t="shared" si="5"/>
        <v>RTD Ice TeaFranceDecemberEUR (€)Fully-AutomatedOldPET Bottle2Medium-scaleLow</v>
      </c>
      <c r="B382" t="s">
        <v>130</v>
      </c>
      <c r="C382" t="s">
        <v>130</v>
      </c>
      <c r="D382" t="s">
        <v>15</v>
      </c>
      <c r="E382" s="12" t="s">
        <v>182</v>
      </c>
      <c r="F382" t="s">
        <v>187</v>
      </c>
      <c r="G382" t="s">
        <v>12</v>
      </c>
      <c r="H382" t="s">
        <v>72</v>
      </c>
      <c r="I382" t="s">
        <v>175</v>
      </c>
      <c r="J382" s="12">
        <v>2</v>
      </c>
      <c r="K382" t="s">
        <v>62</v>
      </c>
      <c r="L382" t="s">
        <v>13</v>
      </c>
      <c r="M382" t="s">
        <v>199</v>
      </c>
      <c r="O382" t="s">
        <v>197</v>
      </c>
      <c r="P382">
        <v>6</v>
      </c>
      <c r="Q382" t="s">
        <v>201</v>
      </c>
      <c r="R382" s="6">
        <v>0.94873295329187568</v>
      </c>
      <c r="S382" s="6">
        <v>23.333647424644177</v>
      </c>
      <c r="T382" s="6">
        <v>9.940424416619754</v>
      </c>
      <c r="U382" s="6">
        <v>94.688377437397804</v>
      </c>
      <c r="V382" s="6">
        <v>7.6553557964149088E-2</v>
      </c>
      <c r="W382" s="6">
        <v>2.4350986679183353</v>
      </c>
      <c r="X382" s="6">
        <v>1.5038492842520004</v>
      </c>
      <c r="Y382" s="6">
        <v>14.254684884357506</v>
      </c>
    </row>
    <row r="383" spans="1:25" x14ac:dyDescent="0.25">
      <c r="A383" t="str">
        <f t="shared" si="5"/>
        <v>RTD Ice TeaFranceDecemberEUR (€)Fully-AutomatedOldPET Bottle2Medium-scaleMedium</v>
      </c>
      <c r="B383" t="s">
        <v>130</v>
      </c>
      <c r="C383" t="s">
        <v>130</v>
      </c>
      <c r="D383" t="s">
        <v>15</v>
      </c>
      <c r="E383" s="12" t="s">
        <v>182</v>
      </c>
      <c r="F383" t="s">
        <v>187</v>
      </c>
      <c r="G383" t="s">
        <v>12</v>
      </c>
      <c r="H383" t="s">
        <v>72</v>
      </c>
      <c r="I383" t="s">
        <v>175</v>
      </c>
      <c r="J383" s="12">
        <v>2</v>
      </c>
      <c r="K383" t="s">
        <v>62</v>
      </c>
      <c r="L383" t="s">
        <v>63</v>
      </c>
      <c r="M383" t="s">
        <v>199</v>
      </c>
      <c r="O383" t="s">
        <v>197</v>
      </c>
      <c r="P383">
        <v>6</v>
      </c>
      <c r="Q383" t="s">
        <v>201</v>
      </c>
      <c r="R383" s="6">
        <v>0.98495772499968293</v>
      </c>
      <c r="S383" s="6">
        <v>24.225253502175232</v>
      </c>
      <c r="T383" s="6">
        <v>10.31976302532502</v>
      </c>
      <c r="U383" s="6">
        <v>98.30251196243708</v>
      </c>
      <c r="V383" s="6">
        <v>7.9123751141480375E-2</v>
      </c>
      <c r="W383" s="6">
        <v>2.5148066427202771</v>
      </c>
      <c r="X383" s="6">
        <v>1.553581916301167</v>
      </c>
      <c r="Y383" s="6">
        <v>14.725581724201895</v>
      </c>
    </row>
    <row r="384" spans="1:25" x14ac:dyDescent="0.25">
      <c r="A384" t="str">
        <f t="shared" si="5"/>
        <v>RTD Ice TeaFranceDecemberEUR (€)Fully-AutomatedOldPET Bottle2Medium-scaleHigh</v>
      </c>
      <c r="B384" t="s">
        <v>130</v>
      </c>
      <c r="C384" t="s">
        <v>130</v>
      </c>
      <c r="D384" t="s">
        <v>15</v>
      </c>
      <c r="E384" s="12" t="s">
        <v>182</v>
      </c>
      <c r="F384" t="s">
        <v>187</v>
      </c>
      <c r="G384" t="s">
        <v>12</v>
      </c>
      <c r="H384" t="s">
        <v>72</v>
      </c>
      <c r="I384" t="s">
        <v>175</v>
      </c>
      <c r="J384" s="12">
        <v>2</v>
      </c>
      <c r="K384" t="s">
        <v>62</v>
      </c>
      <c r="L384" t="s">
        <v>11</v>
      </c>
      <c r="M384" t="s">
        <v>199</v>
      </c>
      <c r="O384" t="s">
        <v>197</v>
      </c>
      <c r="P384">
        <v>6</v>
      </c>
      <c r="Q384" t="s">
        <v>201</v>
      </c>
      <c r="R384" s="6">
        <v>1.0240804784441147</v>
      </c>
      <c r="S384" s="6">
        <v>25.188188065908765</v>
      </c>
      <c r="T384" s="6">
        <v>10.729448722726705</v>
      </c>
      <c r="U384" s="6">
        <v>102.20577724947947</v>
      </c>
      <c r="V384" s="6">
        <v>8.1899559772998162E-2</v>
      </c>
      <c r="W384" s="6">
        <v>2.6008912555063723</v>
      </c>
      <c r="X384" s="6">
        <v>1.6072931589142674</v>
      </c>
      <c r="Y384" s="6">
        <v>15.234150311233833</v>
      </c>
    </row>
    <row r="385" spans="1:25" x14ac:dyDescent="0.25">
      <c r="A385" t="str">
        <f t="shared" si="5"/>
        <v>RTD Ice TeaFranceDecemberEUR (€)Fully-AutomatedOldPET Bottle2Small-scaleLow</v>
      </c>
      <c r="B385" t="s">
        <v>130</v>
      </c>
      <c r="C385" t="s">
        <v>130</v>
      </c>
      <c r="D385" t="s">
        <v>15</v>
      </c>
      <c r="E385" s="12" t="s">
        <v>182</v>
      </c>
      <c r="F385" t="s">
        <v>187</v>
      </c>
      <c r="G385" t="s">
        <v>12</v>
      </c>
      <c r="H385" t="s">
        <v>72</v>
      </c>
      <c r="I385" t="s">
        <v>175</v>
      </c>
      <c r="J385" s="12">
        <v>2</v>
      </c>
      <c r="K385" t="s">
        <v>60</v>
      </c>
      <c r="L385" t="s">
        <v>13</v>
      </c>
      <c r="M385" t="s">
        <v>199</v>
      </c>
      <c r="O385" t="s">
        <v>197</v>
      </c>
      <c r="P385">
        <v>6</v>
      </c>
      <c r="Q385" t="s">
        <v>201</v>
      </c>
      <c r="R385" s="6">
        <v>0.95102924958817192</v>
      </c>
      <c r="S385" s="6">
        <v>23.384277227589777</v>
      </c>
      <c r="T385" s="6">
        <v>9.966297946714036</v>
      </c>
      <c r="U385" s="6">
        <v>94.928670699523522</v>
      </c>
      <c r="V385" s="6">
        <v>7.8243372778963899E-2</v>
      </c>
      <c r="W385" s="6">
        <v>2.4912810039651512</v>
      </c>
      <c r="X385" s="6">
        <v>1.5389827594142771</v>
      </c>
      <c r="Y385" s="6">
        <v>14.587184139155806</v>
      </c>
    </row>
    <row r="386" spans="1:25" x14ac:dyDescent="0.25">
      <c r="A386" t="str">
        <f t="shared" ref="A386:A449" si="6">C386&amp;D386&amp;E386&amp;F386&amp;G386&amp;H386&amp;I386&amp;J386&amp;K386&amp;L386</f>
        <v>RTD Ice TeaFranceDecemberEUR (€)Fully-AutomatedOldPET Bottle2Small-scaleMedium</v>
      </c>
      <c r="B386" t="s">
        <v>130</v>
      </c>
      <c r="C386" t="s">
        <v>130</v>
      </c>
      <c r="D386" t="s">
        <v>15</v>
      </c>
      <c r="E386" s="12" t="s">
        <v>182</v>
      </c>
      <c r="F386" t="s">
        <v>187</v>
      </c>
      <c r="G386" t="s">
        <v>12</v>
      </c>
      <c r="H386" t="s">
        <v>72</v>
      </c>
      <c r="I386" t="s">
        <v>175</v>
      </c>
      <c r="J386" s="12">
        <v>2</v>
      </c>
      <c r="K386" t="s">
        <v>60</v>
      </c>
      <c r="L386" t="s">
        <v>63</v>
      </c>
      <c r="M386" t="s">
        <v>199</v>
      </c>
      <c r="O386" t="s">
        <v>197</v>
      </c>
      <c r="P386">
        <v>6</v>
      </c>
      <c r="Q386" t="s">
        <v>201</v>
      </c>
      <c r="R386" s="6">
        <v>0.98725402129597928</v>
      </c>
      <c r="S386" s="6">
        <v>24.275883305120828</v>
      </c>
      <c r="T386" s="6">
        <v>10.345636555419302</v>
      </c>
      <c r="U386" s="6">
        <v>98.542805224562784</v>
      </c>
      <c r="V386" s="6">
        <v>8.0813565956295172E-2</v>
      </c>
      <c r="W386" s="6">
        <v>2.5709889787670925</v>
      </c>
      <c r="X386" s="6">
        <v>1.5887153914634438</v>
      </c>
      <c r="Y386" s="6">
        <v>15.058080979000195</v>
      </c>
    </row>
    <row r="387" spans="1:25" x14ac:dyDescent="0.25">
      <c r="A387" t="str">
        <f t="shared" si="6"/>
        <v>RTD Ice TeaFranceDecemberEUR (€)Fully-AutomatedOldPET Bottle2Small-scaleHigh</v>
      </c>
      <c r="B387" t="s">
        <v>130</v>
      </c>
      <c r="C387" t="s">
        <v>130</v>
      </c>
      <c r="D387" t="s">
        <v>15</v>
      </c>
      <c r="E387" s="12" t="s">
        <v>182</v>
      </c>
      <c r="F387" t="s">
        <v>187</v>
      </c>
      <c r="G387" t="s">
        <v>12</v>
      </c>
      <c r="H387" t="s">
        <v>72</v>
      </c>
      <c r="I387" t="s">
        <v>175</v>
      </c>
      <c r="J387" s="12">
        <v>2</v>
      </c>
      <c r="K387" t="s">
        <v>60</v>
      </c>
      <c r="L387" t="s">
        <v>11</v>
      </c>
      <c r="M387" t="s">
        <v>199</v>
      </c>
      <c r="O387" t="s">
        <v>197</v>
      </c>
      <c r="P387">
        <v>6</v>
      </c>
      <c r="Q387" t="s">
        <v>201</v>
      </c>
      <c r="R387" s="6">
        <v>1.0263767747404109</v>
      </c>
      <c r="S387" s="6">
        <v>25.238817868854369</v>
      </c>
      <c r="T387" s="6">
        <v>10.755322252820989</v>
      </c>
      <c r="U387" s="6">
        <v>102.44607051160517</v>
      </c>
      <c r="V387" s="6">
        <v>8.3589374587812987E-2</v>
      </c>
      <c r="W387" s="6">
        <v>2.6570735915531882</v>
      </c>
      <c r="X387" s="6">
        <v>1.6424266340765441</v>
      </c>
      <c r="Y387" s="6">
        <v>15.566649566032137</v>
      </c>
    </row>
    <row r="388" spans="1:25" x14ac:dyDescent="0.25">
      <c r="A388" t="str">
        <f t="shared" si="6"/>
        <v>RTD Ice TeaFranceDecemberEUR (€)Fully-AutomatedOldPET Bottle2High-scaleLow</v>
      </c>
      <c r="B388" t="s">
        <v>130</v>
      </c>
      <c r="C388" t="s">
        <v>130</v>
      </c>
      <c r="D388" t="s">
        <v>15</v>
      </c>
      <c r="E388" s="12" t="s">
        <v>182</v>
      </c>
      <c r="F388" t="s">
        <v>187</v>
      </c>
      <c r="G388" t="s">
        <v>12</v>
      </c>
      <c r="H388" t="s">
        <v>72</v>
      </c>
      <c r="I388" t="s">
        <v>175</v>
      </c>
      <c r="J388" s="12">
        <v>2</v>
      </c>
      <c r="K388" t="s">
        <v>107</v>
      </c>
      <c r="L388" t="s">
        <v>13</v>
      </c>
      <c r="M388" t="s">
        <v>200</v>
      </c>
      <c r="O388" t="s">
        <v>197</v>
      </c>
      <c r="P388">
        <v>6</v>
      </c>
      <c r="Q388" t="s">
        <v>201</v>
      </c>
      <c r="R388" s="6">
        <v>0.94735517551409787</v>
      </c>
      <c r="S388" s="6">
        <v>23.303269542876816</v>
      </c>
      <c r="T388" s="6">
        <v>9.924900298563184</v>
      </c>
      <c r="U388" s="6">
        <v>94.544201480122396</v>
      </c>
      <c r="V388" s="6">
        <v>6.5989326379948823E-2</v>
      </c>
      <c r="W388" s="6">
        <v>2.8779578592236619</v>
      </c>
      <c r="X388" s="6">
        <v>1.4386355078463076</v>
      </c>
      <c r="Y388" s="6">
        <v>13.988324204535868</v>
      </c>
    </row>
    <row r="389" spans="1:25" x14ac:dyDescent="0.25">
      <c r="A389" t="str">
        <f t="shared" si="6"/>
        <v>RTD Ice TeaFranceDecemberEUR (€)Fully-AutomatedOldPET Bottle2High-scaleMedium</v>
      </c>
      <c r="B389" t="s">
        <v>130</v>
      </c>
      <c r="C389" t="s">
        <v>130</v>
      </c>
      <c r="D389" t="s">
        <v>15</v>
      </c>
      <c r="E389" s="12" t="s">
        <v>182</v>
      </c>
      <c r="F389" t="s">
        <v>187</v>
      </c>
      <c r="G389" t="s">
        <v>12</v>
      </c>
      <c r="H389" t="s">
        <v>72</v>
      </c>
      <c r="I389" t="s">
        <v>175</v>
      </c>
      <c r="J389" s="12">
        <v>2</v>
      </c>
      <c r="K389" t="s">
        <v>107</v>
      </c>
      <c r="L389" t="s">
        <v>63</v>
      </c>
      <c r="M389" t="s">
        <v>200</v>
      </c>
      <c r="O389" t="s">
        <v>197</v>
      </c>
      <c r="P389">
        <v>6</v>
      </c>
      <c r="Q389" t="s">
        <v>201</v>
      </c>
      <c r="R389" s="6">
        <v>0.98357994722190512</v>
      </c>
      <c r="S389" s="6">
        <v>24.194875620407874</v>
      </c>
      <c r="T389" s="6">
        <v>10.304238907268452</v>
      </c>
      <c r="U389" s="6">
        <v>98.158336005161644</v>
      </c>
      <c r="V389" s="6">
        <v>6.8293694410879235E-2</v>
      </c>
      <c r="W389" s="6">
        <v>2.9767343697279487</v>
      </c>
      <c r="X389" s="6">
        <v>1.4884080598806515</v>
      </c>
      <c r="Y389" s="6">
        <v>14.47177786274416</v>
      </c>
    </row>
    <row r="390" spans="1:25" x14ac:dyDescent="0.25">
      <c r="A390" t="str">
        <f t="shared" si="6"/>
        <v>RTD Ice TeaFranceDecemberEUR (€)Fully-AutomatedOldPET Bottle2High-scaleHigh</v>
      </c>
      <c r="B390" t="s">
        <v>130</v>
      </c>
      <c r="C390" t="s">
        <v>130</v>
      </c>
      <c r="D390" t="s">
        <v>15</v>
      </c>
      <c r="E390" s="12" t="s">
        <v>182</v>
      </c>
      <c r="F390" t="s">
        <v>187</v>
      </c>
      <c r="G390" t="s">
        <v>12</v>
      </c>
      <c r="H390" t="s">
        <v>72</v>
      </c>
      <c r="I390" t="s">
        <v>175</v>
      </c>
      <c r="J390" s="12">
        <v>2</v>
      </c>
      <c r="K390" t="s">
        <v>107</v>
      </c>
      <c r="L390" t="s">
        <v>11</v>
      </c>
      <c r="M390" t="s">
        <v>200</v>
      </c>
      <c r="O390" t="s">
        <v>197</v>
      </c>
      <c r="P390">
        <v>6</v>
      </c>
      <c r="Q390" t="s">
        <v>201</v>
      </c>
      <c r="R390" s="6">
        <v>1.0227027006663367</v>
      </c>
      <c r="S390" s="6">
        <v>25.157810184141404</v>
      </c>
      <c r="T390" s="6">
        <v>10.71392460467014</v>
      </c>
      <c r="U390" s="6">
        <v>102.06160129220405</v>
      </c>
      <c r="V390" s="6">
        <v>7.0782411884284108E-2</v>
      </c>
      <c r="W390" s="6">
        <v>3.0834130010725795</v>
      </c>
      <c r="X390" s="6">
        <v>1.542162416077743</v>
      </c>
      <c r="Y390" s="6">
        <v>14.993907813609116</v>
      </c>
    </row>
    <row r="391" spans="1:25" x14ac:dyDescent="0.25">
      <c r="A391" t="str">
        <f t="shared" si="6"/>
        <v>RTD Ice TeaFranceDecemberEUR (€)Fully-AutomatedOldPET Bottle2Medium-scaleLow</v>
      </c>
      <c r="B391" t="s">
        <v>130</v>
      </c>
      <c r="C391" t="s">
        <v>130</v>
      </c>
      <c r="D391" t="s">
        <v>15</v>
      </c>
      <c r="E391" s="12" t="s">
        <v>182</v>
      </c>
      <c r="F391" t="s">
        <v>187</v>
      </c>
      <c r="G391" t="s">
        <v>12</v>
      </c>
      <c r="H391" t="s">
        <v>72</v>
      </c>
      <c r="I391" t="s">
        <v>175</v>
      </c>
      <c r="J391" s="12">
        <v>2</v>
      </c>
      <c r="K391" t="s">
        <v>62</v>
      </c>
      <c r="L391" t="s">
        <v>13</v>
      </c>
      <c r="M391" t="s">
        <v>200</v>
      </c>
      <c r="O391" t="s">
        <v>197</v>
      </c>
      <c r="P391">
        <v>6</v>
      </c>
      <c r="Q391" t="s">
        <v>201</v>
      </c>
      <c r="R391" s="6">
        <v>0.94873295329187568</v>
      </c>
      <c r="S391" s="6">
        <v>23.333647424644177</v>
      </c>
      <c r="T391" s="6">
        <v>9.940424416619754</v>
      </c>
      <c r="U391" s="6">
        <v>94.688377437397804</v>
      </c>
      <c r="V391" s="6">
        <v>6.6902205167827619E-2</v>
      </c>
      <c r="W391" s="6">
        <v>2.9188436459047131</v>
      </c>
      <c r="X391" s="6">
        <v>1.4597155929436738</v>
      </c>
      <c r="Y391" s="6">
        <v>14.192422751133616</v>
      </c>
    </row>
    <row r="392" spans="1:25" x14ac:dyDescent="0.25">
      <c r="A392" t="str">
        <f t="shared" si="6"/>
        <v>RTD Ice TeaFranceDecemberEUR (€)Fully-AutomatedOldPET Bottle2Medium-scaleMedium</v>
      </c>
      <c r="B392" t="s">
        <v>130</v>
      </c>
      <c r="C392" t="s">
        <v>130</v>
      </c>
      <c r="D392" t="s">
        <v>15</v>
      </c>
      <c r="E392" s="12" t="s">
        <v>182</v>
      </c>
      <c r="F392" t="s">
        <v>187</v>
      </c>
      <c r="G392" t="s">
        <v>12</v>
      </c>
      <c r="H392" t="s">
        <v>72</v>
      </c>
      <c r="I392" t="s">
        <v>175</v>
      </c>
      <c r="J392" s="12">
        <v>2</v>
      </c>
      <c r="K392" t="s">
        <v>62</v>
      </c>
      <c r="L392" t="s">
        <v>63</v>
      </c>
      <c r="M392" t="s">
        <v>200</v>
      </c>
      <c r="O392" t="s">
        <v>197</v>
      </c>
      <c r="P392">
        <v>6</v>
      </c>
      <c r="Q392" t="s">
        <v>201</v>
      </c>
      <c r="R392" s="6">
        <v>0.98495772499968293</v>
      </c>
      <c r="S392" s="6">
        <v>24.225253502175232</v>
      </c>
      <c r="T392" s="6">
        <v>10.31976302532502</v>
      </c>
      <c r="U392" s="6">
        <v>98.30251196243708</v>
      </c>
      <c r="V392" s="6">
        <v>6.9206573198758045E-2</v>
      </c>
      <c r="W392" s="6">
        <v>3.0176201564090013</v>
      </c>
      <c r="X392" s="6">
        <v>1.5094881449780175</v>
      </c>
      <c r="Y392" s="6">
        <v>14.675876409341914</v>
      </c>
    </row>
    <row r="393" spans="1:25" x14ac:dyDescent="0.25">
      <c r="A393" t="str">
        <f t="shared" si="6"/>
        <v>RTD Ice TeaFranceDecemberEUR (€)Fully-AutomatedOldPET Bottle2Medium-scaleHigh</v>
      </c>
      <c r="B393" t="s">
        <v>130</v>
      </c>
      <c r="C393" t="s">
        <v>130</v>
      </c>
      <c r="D393" t="s">
        <v>15</v>
      </c>
      <c r="E393" s="12" t="s">
        <v>182</v>
      </c>
      <c r="F393" t="s">
        <v>187</v>
      </c>
      <c r="G393" t="s">
        <v>12</v>
      </c>
      <c r="H393" t="s">
        <v>72</v>
      </c>
      <c r="I393" t="s">
        <v>175</v>
      </c>
      <c r="J393" s="12">
        <v>2</v>
      </c>
      <c r="K393" t="s">
        <v>62</v>
      </c>
      <c r="L393" t="s">
        <v>11</v>
      </c>
      <c r="M393" t="s">
        <v>200</v>
      </c>
      <c r="O393" t="s">
        <v>197</v>
      </c>
      <c r="P393">
        <v>6</v>
      </c>
      <c r="Q393" t="s">
        <v>201</v>
      </c>
      <c r="R393" s="6">
        <v>1.0240804784441147</v>
      </c>
      <c r="S393" s="6">
        <v>25.188188065908765</v>
      </c>
      <c r="T393" s="6">
        <v>10.729448722726705</v>
      </c>
      <c r="U393" s="6">
        <v>102.20577724947947</v>
      </c>
      <c r="V393" s="6">
        <v>7.1695290672162904E-2</v>
      </c>
      <c r="W393" s="6">
        <v>3.1242987877536299</v>
      </c>
      <c r="X393" s="6">
        <v>1.563242501175109</v>
      </c>
      <c r="Y393" s="6">
        <v>15.198006360206868</v>
      </c>
    </row>
    <row r="394" spans="1:25" x14ac:dyDescent="0.25">
      <c r="A394" t="str">
        <f t="shared" si="6"/>
        <v>RTD Ice TeaFranceDecemberEUR (€)Fully-AutomatedOldPET Bottle2Small-scaleLow</v>
      </c>
      <c r="B394" t="s">
        <v>130</v>
      </c>
      <c r="C394" t="s">
        <v>130</v>
      </c>
      <c r="D394" t="s">
        <v>15</v>
      </c>
      <c r="E394" s="12" t="s">
        <v>182</v>
      </c>
      <c r="F394" t="s">
        <v>187</v>
      </c>
      <c r="G394" t="s">
        <v>12</v>
      </c>
      <c r="H394" t="s">
        <v>72</v>
      </c>
      <c r="I394" t="s">
        <v>175</v>
      </c>
      <c r="J394" s="12">
        <v>2</v>
      </c>
      <c r="K394" t="s">
        <v>60</v>
      </c>
      <c r="L394" t="s">
        <v>13</v>
      </c>
      <c r="M394" t="s">
        <v>200</v>
      </c>
      <c r="O394" t="s">
        <v>197</v>
      </c>
      <c r="P394">
        <v>6</v>
      </c>
      <c r="Q394" t="s">
        <v>201</v>
      </c>
      <c r="R394" s="6">
        <v>0.95102924958817192</v>
      </c>
      <c r="S394" s="6">
        <v>23.384277227589777</v>
      </c>
      <c r="T394" s="6">
        <v>9.966297946714036</v>
      </c>
      <c r="U394" s="6">
        <v>94.928670699523522</v>
      </c>
      <c r="V394" s="6">
        <v>6.8423669814292265E-2</v>
      </c>
      <c r="W394" s="6">
        <v>2.9869866237064659</v>
      </c>
      <c r="X394" s="6">
        <v>1.4948490681059505</v>
      </c>
      <c r="Y394" s="6">
        <v>14.532586995463198</v>
      </c>
    </row>
    <row r="395" spans="1:25" x14ac:dyDescent="0.25">
      <c r="A395" t="str">
        <f t="shared" si="6"/>
        <v>RTD Ice TeaFranceDecemberEUR (€)Fully-AutomatedOldPET Bottle2Small-scaleMedium</v>
      </c>
      <c r="B395" t="s">
        <v>130</v>
      </c>
      <c r="C395" t="s">
        <v>130</v>
      </c>
      <c r="D395" t="s">
        <v>15</v>
      </c>
      <c r="E395" s="12" t="s">
        <v>182</v>
      </c>
      <c r="F395" t="s">
        <v>187</v>
      </c>
      <c r="G395" t="s">
        <v>12</v>
      </c>
      <c r="H395" t="s">
        <v>72</v>
      </c>
      <c r="I395" t="s">
        <v>175</v>
      </c>
      <c r="J395" s="12">
        <v>2</v>
      </c>
      <c r="K395" t="s">
        <v>60</v>
      </c>
      <c r="L395" t="s">
        <v>63</v>
      </c>
      <c r="M395" t="s">
        <v>200</v>
      </c>
      <c r="O395" t="s">
        <v>197</v>
      </c>
      <c r="P395">
        <v>6</v>
      </c>
      <c r="Q395" t="s">
        <v>201</v>
      </c>
      <c r="R395" s="6">
        <v>0.98725402129597928</v>
      </c>
      <c r="S395" s="6">
        <v>24.275883305120828</v>
      </c>
      <c r="T395" s="6">
        <v>10.345636555419302</v>
      </c>
      <c r="U395" s="6">
        <v>98.542805224562784</v>
      </c>
      <c r="V395" s="6">
        <v>7.0728037845222677E-2</v>
      </c>
      <c r="W395" s="6">
        <v>3.0857631342107532</v>
      </c>
      <c r="X395" s="6">
        <v>1.5446216201402942</v>
      </c>
      <c r="Y395" s="6">
        <v>15.016040653671492</v>
      </c>
    </row>
    <row r="396" spans="1:25" x14ac:dyDescent="0.25">
      <c r="A396" t="str">
        <f t="shared" si="6"/>
        <v>RTD Ice TeaFranceDecemberEUR (€)Fully-AutomatedOldPET Bottle2Small-scaleHigh</v>
      </c>
      <c r="B396" t="s">
        <v>130</v>
      </c>
      <c r="C396" t="s">
        <v>130</v>
      </c>
      <c r="D396" t="s">
        <v>15</v>
      </c>
      <c r="E396" s="12" t="s">
        <v>182</v>
      </c>
      <c r="F396" t="s">
        <v>187</v>
      </c>
      <c r="G396" t="s">
        <v>12</v>
      </c>
      <c r="H396" t="s">
        <v>72</v>
      </c>
      <c r="I396" t="s">
        <v>175</v>
      </c>
      <c r="J396" s="12">
        <v>2</v>
      </c>
      <c r="K396" t="s">
        <v>60</v>
      </c>
      <c r="L396" t="s">
        <v>11</v>
      </c>
      <c r="M396" t="s">
        <v>200</v>
      </c>
      <c r="O396" t="s">
        <v>197</v>
      </c>
      <c r="P396">
        <v>6</v>
      </c>
      <c r="Q396" t="s">
        <v>201</v>
      </c>
      <c r="R396" s="6">
        <v>1.0263767747404109</v>
      </c>
      <c r="S396" s="6">
        <v>25.238817868854369</v>
      </c>
      <c r="T396" s="6">
        <v>10.755322252820989</v>
      </c>
      <c r="U396" s="6">
        <v>102.44607051160517</v>
      </c>
      <c r="V396" s="6">
        <v>7.3216755318627549E-2</v>
      </c>
      <c r="W396" s="6">
        <v>3.1924417655553827</v>
      </c>
      <c r="X396" s="6">
        <v>1.5983759763373857</v>
      </c>
      <c r="Y396" s="6">
        <v>15.53817060453645</v>
      </c>
    </row>
    <row r="397" spans="1:25" x14ac:dyDescent="0.25">
      <c r="A397" t="str">
        <f t="shared" si="6"/>
        <v>RTD Ice TeaFranceDecemberEUR (€)Fully-AutomatedOldPET Bottle2High-scaleLow</v>
      </c>
      <c r="B397" t="s">
        <v>130</v>
      </c>
      <c r="C397" t="s">
        <v>130</v>
      </c>
      <c r="D397" t="s">
        <v>15</v>
      </c>
      <c r="E397" s="12" t="s">
        <v>182</v>
      </c>
      <c r="F397" t="s">
        <v>187</v>
      </c>
      <c r="G397" t="s">
        <v>12</v>
      </c>
      <c r="H397" t="s">
        <v>72</v>
      </c>
      <c r="I397" t="s">
        <v>175</v>
      </c>
      <c r="J397" s="12">
        <v>2</v>
      </c>
      <c r="K397" t="s">
        <v>107</v>
      </c>
      <c r="L397" t="s">
        <v>13</v>
      </c>
      <c r="M397" t="s">
        <v>199</v>
      </c>
      <c r="O397" t="s">
        <v>197</v>
      </c>
      <c r="P397">
        <v>8</v>
      </c>
      <c r="Q397" t="s">
        <v>202</v>
      </c>
      <c r="R397" s="6">
        <v>0.94735517551409787</v>
      </c>
      <c r="S397" s="6">
        <v>23.303269542876816</v>
      </c>
      <c r="T397" s="6">
        <v>9.924900298563184</v>
      </c>
      <c r="U397" s="6">
        <v>94.544201480122396</v>
      </c>
      <c r="V397" s="6">
        <v>7.2242255957691681E-2</v>
      </c>
      <c r="W397" s="6">
        <v>2.3133963763157395</v>
      </c>
      <c r="X397" s="6">
        <v>1.4365072484801331</v>
      </c>
      <c r="Y397" s="6">
        <v>13.607560733936619</v>
      </c>
    </row>
    <row r="398" spans="1:25" x14ac:dyDescent="0.25">
      <c r="A398" t="str">
        <f t="shared" si="6"/>
        <v>RTD Ice TeaFranceDecemberEUR (€)Fully-AutomatedOldPET Bottle2High-scaleMedium</v>
      </c>
      <c r="B398" t="s">
        <v>130</v>
      </c>
      <c r="C398" t="s">
        <v>130</v>
      </c>
      <c r="D398" t="s">
        <v>15</v>
      </c>
      <c r="E398" s="12" t="s">
        <v>182</v>
      </c>
      <c r="F398" t="s">
        <v>187</v>
      </c>
      <c r="G398" t="s">
        <v>12</v>
      </c>
      <c r="H398" t="s">
        <v>72</v>
      </c>
      <c r="I398" t="s">
        <v>175</v>
      </c>
      <c r="J398" s="12">
        <v>2</v>
      </c>
      <c r="K398" t="s">
        <v>107</v>
      </c>
      <c r="L398" t="s">
        <v>63</v>
      </c>
      <c r="M398" t="s">
        <v>199</v>
      </c>
      <c r="O398" t="s">
        <v>197</v>
      </c>
      <c r="P398">
        <v>8</v>
      </c>
      <c r="Q398" t="s">
        <v>202</v>
      </c>
      <c r="R398" s="6">
        <v>0.98357994722190512</v>
      </c>
      <c r="S398" s="6">
        <v>24.194875620407874</v>
      </c>
      <c r="T398" s="6">
        <v>10.304238907268452</v>
      </c>
      <c r="U398" s="6">
        <v>98.158336005161644</v>
      </c>
      <c r="V398" s="6">
        <v>7.4685625553578022E-2</v>
      </c>
      <c r="W398" s="6">
        <v>2.3897200091955835</v>
      </c>
      <c r="X398" s="6">
        <v>1.4844605747341268</v>
      </c>
      <c r="Y398" s="6">
        <v>14.061241243106323</v>
      </c>
    </row>
    <row r="399" spans="1:25" x14ac:dyDescent="0.25">
      <c r="A399" t="str">
        <f t="shared" si="6"/>
        <v>RTD Ice TeaFranceDecemberEUR (€)Fully-AutomatedOldPET Bottle2High-scaleHigh</v>
      </c>
      <c r="B399" t="s">
        <v>130</v>
      </c>
      <c r="C399" t="s">
        <v>130</v>
      </c>
      <c r="D399" t="s">
        <v>15</v>
      </c>
      <c r="E399" s="12" t="s">
        <v>182</v>
      </c>
      <c r="F399" t="s">
        <v>187</v>
      </c>
      <c r="G399" t="s">
        <v>12</v>
      </c>
      <c r="H399" t="s">
        <v>72</v>
      </c>
      <c r="I399" t="s">
        <v>175</v>
      </c>
      <c r="J399" s="12">
        <v>2</v>
      </c>
      <c r="K399" t="s">
        <v>107</v>
      </c>
      <c r="L399" t="s">
        <v>11</v>
      </c>
      <c r="M399" t="s">
        <v>199</v>
      </c>
      <c r="O399" t="s">
        <v>197</v>
      </c>
      <c r="P399">
        <v>8</v>
      </c>
      <c r="Q399" t="s">
        <v>202</v>
      </c>
      <c r="R399" s="6">
        <v>1.0227027006663367</v>
      </c>
      <c r="S399" s="6">
        <v>25.157810184141404</v>
      </c>
      <c r="T399" s="6">
        <v>10.71392460467014</v>
      </c>
      <c r="U399" s="6">
        <v>102.06160129220405</v>
      </c>
      <c r="V399" s="6">
        <v>7.7324464717135277E-2</v>
      </c>
      <c r="W399" s="6">
        <v>2.4721495327058158</v>
      </c>
      <c r="X399" s="6">
        <v>1.5362501670884403</v>
      </c>
      <c r="Y399" s="6">
        <v>14.551216193009596</v>
      </c>
    </row>
    <row r="400" spans="1:25" x14ac:dyDescent="0.25">
      <c r="A400" t="str">
        <f t="shared" si="6"/>
        <v>RTD Ice TeaFranceDecemberEUR (€)Fully-AutomatedOldPET Bottle2Medium-scaleLow</v>
      </c>
      <c r="B400" t="s">
        <v>130</v>
      </c>
      <c r="C400" t="s">
        <v>130</v>
      </c>
      <c r="D400" t="s">
        <v>15</v>
      </c>
      <c r="E400" s="12" t="s">
        <v>182</v>
      </c>
      <c r="F400" t="s">
        <v>187</v>
      </c>
      <c r="G400" t="s">
        <v>12</v>
      </c>
      <c r="H400" t="s">
        <v>72</v>
      </c>
      <c r="I400" t="s">
        <v>175</v>
      </c>
      <c r="J400" s="12">
        <v>2</v>
      </c>
      <c r="K400" t="s">
        <v>62</v>
      </c>
      <c r="L400" t="s">
        <v>13</v>
      </c>
      <c r="M400" t="s">
        <v>199</v>
      </c>
      <c r="O400" t="s">
        <v>197</v>
      </c>
      <c r="P400">
        <v>8</v>
      </c>
      <c r="Q400" t="s">
        <v>202</v>
      </c>
      <c r="R400" s="6">
        <v>0.94873295329187568</v>
      </c>
      <c r="S400" s="6">
        <v>23.333647424644177</v>
      </c>
      <c r="T400" s="6">
        <v>9.940424416619754</v>
      </c>
      <c r="U400" s="6">
        <v>94.688377437397804</v>
      </c>
      <c r="V400" s="6">
        <v>7.3256144846580579E-2</v>
      </c>
      <c r="W400" s="6">
        <v>2.3471057779438289</v>
      </c>
      <c r="X400" s="6">
        <v>1.4575873335774991</v>
      </c>
      <c r="Y400" s="6">
        <v>13.8070602868156</v>
      </c>
    </row>
    <row r="401" spans="1:25" x14ac:dyDescent="0.25">
      <c r="A401" t="str">
        <f t="shared" si="6"/>
        <v>RTD Ice TeaFranceDecemberEUR (€)Fully-AutomatedOldPET Bottle2Medium-scaleMedium</v>
      </c>
      <c r="B401" t="s">
        <v>130</v>
      </c>
      <c r="C401" t="s">
        <v>130</v>
      </c>
      <c r="D401" t="s">
        <v>15</v>
      </c>
      <c r="E401" s="12" t="s">
        <v>182</v>
      </c>
      <c r="F401" t="s">
        <v>187</v>
      </c>
      <c r="G401" t="s">
        <v>12</v>
      </c>
      <c r="H401" t="s">
        <v>72</v>
      </c>
      <c r="I401" t="s">
        <v>175</v>
      </c>
      <c r="J401" s="12">
        <v>2</v>
      </c>
      <c r="K401" t="s">
        <v>62</v>
      </c>
      <c r="L401" t="s">
        <v>63</v>
      </c>
      <c r="M401" t="s">
        <v>199</v>
      </c>
      <c r="O401" t="s">
        <v>197</v>
      </c>
      <c r="P401">
        <v>8</v>
      </c>
      <c r="Q401" t="s">
        <v>202</v>
      </c>
      <c r="R401" s="6">
        <v>0.98495772499968293</v>
      </c>
      <c r="S401" s="6">
        <v>24.225253502175232</v>
      </c>
      <c r="T401" s="6">
        <v>10.31976302532502</v>
      </c>
      <c r="U401" s="6">
        <v>98.30251196243708</v>
      </c>
      <c r="V401" s="6">
        <v>7.5699514442466906E-2</v>
      </c>
      <c r="W401" s="6">
        <v>2.4234294108236738</v>
      </c>
      <c r="X401" s="6">
        <v>1.5055406598314929</v>
      </c>
      <c r="Y401" s="6">
        <v>14.260740795985305</v>
      </c>
    </row>
    <row r="402" spans="1:25" x14ac:dyDescent="0.25">
      <c r="A402" t="str">
        <f t="shared" si="6"/>
        <v>RTD Ice TeaFranceDecemberEUR (€)Fully-AutomatedOldPET Bottle2Medium-scaleHigh</v>
      </c>
      <c r="B402" t="s">
        <v>130</v>
      </c>
      <c r="C402" t="s">
        <v>130</v>
      </c>
      <c r="D402" t="s">
        <v>15</v>
      </c>
      <c r="E402" s="12" t="s">
        <v>182</v>
      </c>
      <c r="F402" t="s">
        <v>187</v>
      </c>
      <c r="G402" t="s">
        <v>12</v>
      </c>
      <c r="H402" t="s">
        <v>72</v>
      </c>
      <c r="I402" t="s">
        <v>175</v>
      </c>
      <c r="J402" s="12">
        <v>2</v>
      </c>
      <c r="K402" t="s">
        <v>62</v>
      </c>
      <c r="L402" t="s">
        <v>11</v>
      </c>
      <c r="M402" t="s">
        <v>199</v>
      </c>
      <c r="O402" t="s">
        <v>197</v>
      </c>
      <c r="P402">
        <v>8</v>
      </c>
      <c r="Q402" t="s">
        <v>202</v>
      </c>
      <c r="R402" s="6">
        <v>1.0240804784441147</v>
      </c>
      <c r="S402" s="6">
        <v>25.188188065908765</v>
      </c>
      <c r="T402" s="6">
        <v>10.729448722726705</v>
      </c>
      <c r="U402" s="6">
        <v>102.20577724947947</v>
      </c>
      <c r="V402" s="6">
        <v>7.8338353606024175E-2</v>
      </c>
      <c r="W402" s="6">
        <v>2.5058589343339053</v>
      </c>
      <c r="X402" s="6">
        <v>1.5573302521858063</v>
      </c>
      <c r="Y402" s="6">
        <v>14.750715745888577</v>
      </c>
    </row>
    <row r="403" spans="1:25" x14ac:dyDescent="0.25">
      <c r="A403" t="str">
        <f t="shared" si="6"/>
        <v>RTD Ice TeaFranceDecemberEUR (€)Fully-AutomatedOldPET Bottle2Small-scaleLow</v>
      </c>
      <c r="B403" t="s">
        <v>130</v>
      </c>
      <c r="C403" t="s">
        <v>130</v>
      </c>
      <c r="D403" t="s">
        <v>15</v>
      </c>
      <c r="E403" s="12" t="s">
        <v>182</v>
      </c>
      <c r="F403" t="s">
        <v>187</v>
      </c>
      <c r="G403" t="s">
        <v>12</v>
      </c>
      <c r="H403" t="s">
        <v>72</v>
      </c>
      <c r="I403" t="s">
        <v>175</v>
      </c>
      <c r="J403" s="12">
        <v>2</v>
      </c>
      <c r="K403" t="s">
        <v>60</v>
      </c>
      <c r="L403" t="s">
        <v>13</v>
      </c>
      <c r="M403" t="s">
        <v>199</v>
      </c>
      <c r="O403" t="s">
        <v>197</v>
      </c>
      <c r="P403">
        <v>8</v>
      </c>
      <c r="Q403" t="s">
        <v>202</v>
      </c>
      <c r="R403" s="6">
        <v>0.95102924958817192</v>
      </c>
      <c r="S403" s="6">
        <v>23.384277227589777</v>
      </c>
      <c r="T403" s="6">
        <v>9.966297946714036</v>
      </c>
      <c r="U403" s="6">
        <v>94.928670699523522</v>
      </c>
      <c r="V403" s="6">
        <v>7.4945959661395389E-2</v>
      </c>
      <c r="W403" s="6">
        <v>2.4032881139906448</v>
      </c>
      <c r="X403" s="6">
        <v>1.4927208087397759</v>
      </c>
      <c r="Y403" s="6">
        <v>14.139559541613902</v>
      </c>
    </row>
    <row r="404" spans="1:25" x14ac:dyDescent="0.25">
      <c r="A404" t="str">
        <f t="shared" si="6"/>
        <v>RTD Ice TeaFranceDecemberEUR (€)Fully-AutomatedOldPET Bottle2Small-scaleMedium</v>
      </c>
      <c r="B404" t="s">
        <v>130</v>
      </c>
      <c r="C404" t="s">
        <v>130</v>
      </c>
      <c r="D404" t="s">
        <v>15</v>
      </c>
      <c r="E404" s="12" t="s">
        <v>182</v>
      </c>
      <c r="F404" t="s">
        <v>187</v>
      </c>
      <c r="G404" t="s">
        <v>12</v>
      </c>
      <c r="H404" t="s">
        <v>72</v>
      </c>
      <c r="I404" t="s">
        <v>175</v>
      </c>
      <c r="J404" s="12">
        <v>2</v>
      </c>
      <c r="K404" t="s">
        <v>60</v>
      </c>
      <c r="L404" t="s">
        <v>63</v>
      </c>
      <c r="M404" t="s">
        <v>199</v>
      </c>
      <c r="O404" t="s">
        <v>197</v>
      </c>
      <c r="P404">
        <v>8</v>
      </c>
      <c r="Q404" t="s">
        <v>202</v>
      </c>
      <c r="R404" s="6">
        <v>0.98725402129597928</v>
      </c>
      <c r="S404" s="6">
        <v>24.275883305120828</v>
      </c>
      <c r="T404" s="6">
        <v>10.345636555419302</v>
      </c>
      <c r="U404" s="6">
        <v>98.542805224562784</v>
      </c>
      <c r="V404" s="6">
        <v>7.7389329257281717E-2</v>
      </c>
      <c r="W404" s="6">
        <v>2.4796117468704892</v>
      </c>
      <c r="X404" s="6">
        <v>1.5406741349937696</v>
      </c>
      <c r="Y404" s="6">
        <v>14.593240050783605</v>
      </c>
    </row>
    <row r="405" spans="1:25" x14ac:dyDescent="0.25">
      <c r="A405" t="str">
        <f t="shared" si="6"/>
        <v>RTD Ice TeaFranceDecemberEUR (€)Fully-AutomatedOldPET Bottle2Small-scaleHigh</v>
      </c>
      <c r="B405" t="s">
        <v>130</v>
      </c>
      <c r="C405" t="s">
        <v>130</v>
      </c>
      <c r="D405" t="s">
        <v>15</v>
      </c>
      <c r="E405" s="12" t="s">
        <v>182</v>
      </c>
      <c r="F405" t="s">
        <v>187</v>
      </c>
      <c r="G405" t="s">
        <v>12</v>
      </c>
      <c r="H405" t="s">
        <v>72</v>
      </c>
      <c r="I405" t="s">
        <v>175</v>
      </c>
      <c r="J405" s="12">
        <v>2</v>
      </c>
      <c r="K405" t="s">
        <v>60</v>
      </c>
      <c r="L405" t="s">
        <v>11</v>
      </c>
      <c r="M405" t="s">
        <v>199</v>
      </c>
      <c r="O405" t="s">
        <v>197</v>
      </c>
      <c r="P405">
        <v>8</v>
      </c>
      <c r="Q405" t="s">
        <v>202</v>
      </c>
      <c r="R405" s="6">
        <v>1.0263767747404109</v>
      </c>
      <c r="S405" s="6">
        <v>25.238817868854369</v>
      </c>
      <c r="T405" s="6">
        <v>10.755322252820989</v>
      </c>
      <c r="U405" s="6">
        <v>102.44607051160517</v>
      </c>
      <c r="V405" s="6">
        <v>8.0028168420838999E-2</v>
      </c>
      <c r="W405" s="6">
        <v>2.5620412703807212</v>
      </c>
      <c r="X405" s="6">
        <v>1.5924637273480831</v>
      </c>
      <c r="Y405" s="6">
        <v>15.083215000686881</v>
      </c>
    </row>
    <row r="406" spans="1:25" x14ac:dyDescent="0.25">
      <c r="A406" t="str">
        <f t="shared" si="6"/>
        <v>RTD Ice TeaFranceDecemberEUR (€)Fully-AutomatedOldPET Bottle2High-scaleLow</v>
      </c>
      <c r="B406" t="s">
        <v>130</v>
      </c>
      <c r="C406" t="s">
        <v>130</v>
      </c>
      <c r="D406" t="s">
        <v>15</v>
      </c>
      <c r="E406" s="12" t="s">
        <v>182</v>
      </c>
      <c r="F406" t="s">
        <v>187</v>
      </c>
      <c r="G406" t="s">
        <v>12</v>
      </c>
      <c r="H406" t="s">
        <v>72</v>
      </c>
      <c r="I406" t="s">
        <v>175</v>
      </c>
      <c r="J406" s="12">
        <v>2</v>
      </c>
      <c r="K406" t="s">
        <v>107</v>
      </c>
      <c r="L406" t="s">
        <v>13</v>
      </c>
      <c r="M406" t="s">
        <v>200</v>
      </c>
      <c r="O406" t="s">
        <v>197</v>
      </c>
      <c r="P406">
        <v>8</v>
      </c>
      <c r="Q406" t="s">
        <v>202</v>
      </c>
      <c r="R406" s="6">
        <v>0.94735517551409787</v>
      </c>
      <c r="S406" s="6">
        <v>23.303269542876816</v>
      </c>
      <c r="T406" s="6">
        <v>9.924900298563184</v>
      </c>
      <c r="U406" s="6">
        <v>94.544201480122396</v>
      </c>
      <c r="V406" s="6">
        <v>6.26919132623803E-2</v>
      </c>
      <c r="W406" s="6">
        <v>2.7899649692491555</v>
      </c>
      <c r="X406" s="6">
        <v>1.3923735571718066</v>
      </c>
      <c r="Y406" s="6">
        <v>13.540699606993963</v>
      </c>
    </row>
    <row r="407" spans="1:25" x14ac:dyDescent="0.25">
      <c r="A407" t="str">
        <f t="shared" si="6"/>
        <v>RTD Ice TeaFranceDecemberEUR (€)Fully-AutomatedOldPET Bottle2High-scaleMedium</v>
      </c>
      <c r="B407" t="s">
        <v>130</v>
      </c>
      <c r="C407" t="s">
        <v>130</v>
      </c>
      <c r="D407" t="s">
        <v>15</v>
      </c>
      <c r="E407" s="12" t="s">
        <v>182</v>
      </c>
      <c r="F407" t="s">
        <v>187</v>
      </c>
      <c r="G407" t="s">
        <v>12</v>
      </c>
      <c r="H407" t="s">
        <v>72</v>
      </c>
      <c r="I407" t="s">
        <v>175</v>
      </c>
      <c r="J407" s="12">
        <v>2</v>
      </c>
      <c r="K407" t="s">
        <v>107</v>
      </c>
      <c r="L407" t="s">
        <v>63</v>
      </c>
      <c r="M407" t="s">
        <v>200</v>
      </c>
      <c r="O407" t="s">
        <v>197</v>
      </c>
      <c r="P407">
        <v>8</v>
      </c>
      <c r="Q407" t="s">
        <v>202</v>
      </c>
      <c r="R407" s="6">
        <v>0.98357994722190512</v>
      </c>
      <c r="S407" s="6">
        <v>24.194875620407874</v>
      </c>
      <c r="T407" s="6">
        <v>10.304238907268452</v>
      </c>
      <c r="U407" s="6">
        <v>98.158336005161644</v>
      </c>
      <c r="V407" s="6">
        <v>6.486945771186578E-2</v>
      </c>
      <c r="W407" s="6">
        <v>2.8853571378313458</v>
      </c>
      <c r="X407" s="6">
        <v>1.4403668034109773</v>
      </c>
      <c r="Y407" s="6">
        <v>14.00693693452757</v>
      </c>
    </row>
    <row r="408" spans="1:25" x14ac:dyDescent="0.25">
      <c r="A408" t="str">
        <f t="shared" si="6"/>
        <v>RTD Ice TeaFranceDecemberEUR (€)Fully-AutomatedOldPET Bottle2High-scaleHigh</v>
      </c>
      <c r="B408" t="s">
        <v>130</v>
      </c>
      <c r="C408" t="s">
        <v>130</v>
      </c>
      <c r="D408" t="s">
        <v>15</v>
      </c>
      <c r="E408" s="12" t="s">
        <v>182</v>
      </c>
      <c r="F408" t="s">
        <v>187</v>
      </c>
      <c r="G408" t="s">
        <v>12</v>
      </c>
      <c r="H408" t="s">
        <v>72</v>
      </c>
      <c r="I408" t="s">
        <v>175</v>
      </c>
      <c r="J408" s="12">
        <v>2</v>
      </c>
      <c r="K408" t="s">
        <v>107</v>
      </c>
      <c r="L408" t="s">
        <v>11</v>
      </c>
      <c r="M408" t="s">
        <v>200</v>
      </c>
      <c r="O408" t="s">
        <v>197</v>
      </c>
      <c r="P408">
        <v>8</v>
      </c>
      <c r="Q408" t="s">
        <v>202</v>
      </c>
      <c r="R408" s="6">
        <v>1.0227027006663367</v>
      </c>
      <c r="S408" s="6">
        <v>25.157810184141404</v>
      </c>
      <c r="T408" s="6">
        <v>10.71392460467014</v>
      </c>
      <c r="U408" s="6">
        <v>102.06160129220405</v>
      </c>
      <c r="V408" s="6">
        <v>6.722120571731012E-2</v>
      </c>
      <c r="W408" s="6">
        <v>2.9883806799001125</v>
      </c>
      <c r="X408" s="6">
        <v>1.4921995093492819</v>
      </c>
      <c r="Y408" s="6">
        <v>14.510473248263862</v>
      </c>
    </row>
    <row r="409" spans="1:25" x14ac:dyDescent="0.25">
      <c r="A409" t="str">
        <f t="shared" si="6"/>
        <v>RTD Ice TeaFranceDecemberEUR (€)Fully-AutomatedOldPET Bottle2Medium-scaleLow</v>
      </c>
      <c r="B409" t="s">
        <v>130</v>
      </c>
      <c r="C409" t="s">
        <v>130</v>
      </c>
      <c r="D409" t="s">
        <v>15</v>
      </c>
      <c r="E409" s="12" t="s">
        <v>182</v>
      </c>
      <c r="F409" t="s">
        <v>187</v>
      </c>
      <c r="G409" t="s">
        <v>12</v>
      </c>
      <c r="H409" t="s">
        <v>72</v>
      </c>
      <c r="I409" t="s">
        <v>175</v>
      </c>
      <c r="J409" s="12">
        <v>2</v>
      </c>
      <c r="K409" t="s">
        <v>62</v>
      </c>
      <c r="L409" t="s">
        <v>13</v>
      </c>
      <c r="M409" t="s">
        <v>200</v>
      </c>
      <c r="O409" t="s">
        <v>197</v>
      </c>
      <c r="P409">
        <v>8</v>
      </c>
      <c r="Q409" t="s">
        <v>202</v>
      </c>
      <c r="R409" s="6">
        <v>0.94873295329187568</v>
      </c>
      <c r="S409" s="6">
        <v>23.333647424644177</v>
      </c>
      <c r="T409" s="6">
        <v>9.940424416619754</v>
      </c>
      <c r="U409" s="6">
        <v>94.688377437397804</v>
      </c>
      <c r="V409" s="6">
        <v>6.3604792050259096E-2</v>
      </c>
      <c r="W409" s="6">
        <v>2.8308507559302067</v>
      </c>
      <c r="X409" s="6">
        <v>1.4134536422691726</v>
      </c>
      <c r="Y409" s="6">
        <v>13.744798153591713</v>
      </c>
    </row>
    <row r="410" spans="1:25" x14ac:dyDescent="0.25">
      <c r="A410" t="str">
        <f t="shared" si="6"/>
        <v>RTD Ice TeaFranceDecemberEUR (€)Fully-AutomatedOldPET Bottle2Medium-scaleMedium</v>
      </c>
      <c r="B410" t="s">
        <v>130</v>
      </c>
      <c r="C410" t="s">
        <v>130</v>
      </c>
      <c r="D410" t="s">
        <v>15</v>
      </c>
      <c r="E410" s="12" t="s">
        <v>182</v>
      </c>
      <c r="F410" t="s">
        <v>187</v>
      </c>
      <c r="G410" t="s">
        <v>12</v>
      </c>
      <c r="H410" t="s">
        <v>72</v>
      </c>
      <c r="I410" t="s">
        <v>175</v>
      </c>
      <c r="J410" s="12">
        <v>2</v>
      </c>
      <c r="K410" t="s">
        <v>62</v>
      </c>
      <c r="L410" t="s">
        <v>63</v>
      </c>
      <c r="M410" t="s">
        <v>200</v>
      </c>
      <c r="O410" t="s">
        <v>197</v>
      </c>
      <c r="P410">
        <v>8</v>
      </c>
      <c r="Q410" t="s">
        <v>202</v>
      </c>
      <c r="R410" s="6">
        <v>0.98495772499968293</v>
      </c>
      <c r="S410" s="6">
        <v>24.225253502175232</v>
      </c>
      <c r="T410" s="6">
        <v>10.31976302532502</v>
      </c>
      <c r="U410" s="6">
        <v>98.30251196243708</v>
      </c>
      <c r="V410" s="6">
        <v>6.578233649974459E-2</v>
      </c>
      <c r="W410" s="6">
        <v>2.9262429245123984</v>
      </c>
      <c r="X410" s="6">
        <v>1.4614468885083434</v>
      </c>
      <c r="Y410" s="6">
        <v>14.211035481125322</v>
      </c>
    </row>
    <row r="411" spans="1:25" x14ac:dyDescent="0.25">
      <c r="A411" t="str">
        <f t="shared" si="6"/>
        <v>RTD Ice TeaFranceDecemberEUR (€)Fully-AutomatedOldPET Bottle2Medium-scaleHigh</v>
      </c>
      <c r="B411" t="s">
        <v>130</v>
      </c>
      <c r="C411" t="s">
        <v>130</v>
      </c>
      <c r="D411" t="s">
        <v>15</v>
      </c>
      <c r="E411" s="12" t="s">
        <v>182</v>
      </c>
      <c r="F411" t="s">
        <v>187</v>
      </c>
      <c r="G411" t="s">
        <v>12</v>
      </c>
      <c r="H411" t="s">
        <v>72</v>
      </c>
      <c r="I411" t="s">
        <v>175</v>
      </c>
      <c r="J411" s="12">
        <v>2</v>
      </c>
      <c r="K411" t="s">
        <v>62</v>
      </c>
      <c r="L411" t="s">
        <v>11</v>
      </c>
      <c r="M411" t="s">
        <v>200</v>
      </c>
      <c r="O411" t="s">
        <v>197</v>
      </c>
      <c r="P411">
        <v>8</v>
      </c>
      <c r="Q411" t="s">
        <v>202</v>
      </c>
      <c r="R411" s="6">
        <v>1.0240804784441147</v>
      </c>
      <c r="S411" s="6">
        <v>25.188188065908765</v>
      </c>
      <c r="T411" s="6">
        <v>10.729448722726705</v>
      </c>
      <c r="U411" s="6">
        <v>102.20577724947947</v>
      </c>
      <c r="V411" s="6">
        <v>6.8134084505188916E-2</v>
      </c>
      <c r="W411" s="6">
        <v>3.0292664665811637</v>
      </c>
      <c r="X411" s="6">
        <v>1.5132795944466479</v>
      </c>
      <c r="Y411" s="6">
        <v>14.714571794861609</v>
      </c>
    </row>
    <row r="412" spans="1:25" x14ac:dyDescent="0.25">
      <c r="A412" t="str">
        <f t="shared" si="6"/>
        <v>RTD Ice TeaFranceDecemberEUR (€)Fully-AutomatedOldPET Bottle2Small-scaleLow</v>
      </c>
      <c r="B412" t="s">
        <v>130</v>
      </c>
      <c r="C412" t="s">
        <v>130</v>
      </c>
      <c r="D412" t="s">
        <v>15</v>
      </c>
      <c r="E412" s="12" t="s">
        <v>182</v>
      </c>
      <c r="F412" t="s">
        <v>187</v>
      </c>
      <c r="G412" t="s">
        <v>12</v>
      </c>
      <c r="H412" t="s">
        <v>72</v>
      </c>
      <c r="I412" t="s">
        <v>175</v>
      </c>
      <c r="J412" s="12">
        <v>2</v>
      </c>
      <c r="K412" t="s">
        <v>60</v>
      </c>
      <c r="L412" t="s">
        <v>13</v>
      </c>
      <c r="M412" t="s">
        <v>200</v>
      </c>
      <c r="O412" t="s">
        <v>197</v>
      </c>
      <c r="P412">
        <v>8</v>
      </c>
      <c r="Q412" t="s">
        <v>202</v>
      </c>
      <c r="R412" s="6">
        <v>0.95102924958817192</v>
      </c>
      <c r="S412" s="6">
        <v>23.384277227589777</v>
      </c>
      <c r="T412" s="6">
        <v>9.966297946714036</v>
      </c>
      <c r="U412" s="6">
        <v>94.928670699523522</v>
      </c>
      <c r="V412" s="6">
        <v>6.5126256696723756E-2</v>
      </c>
      <c r="W412" s="6">
        <v>2.8989937337319596</v>
      </c>
      <c r="X412" s="6">
        <v>1.4485871174314493</v>
      </c>
      <c r="Y412" s="6">
        <v>14.084962397921299</v>
      </c>
    </row>
    <row r="413" spans="1:25" x14ac:dyDescent="0.25">
      <c r="A413" t="str">
        <f t="shared" si="6"/>
        <v>RTD Ice TeaFranceDecemberEUR (€)Fully-AutomatedOldPET Bottle2Small-scaleMedium</v>
      </c>
      <c r="B413" t="s">
        <v>130</v>
      </c>
      <c r="C413" t="s">
        <v>130</v>
      </c>
      <c r="D413" t="s">
        <v>15</v>
      </c>
      <c r="E413" s="12" t="s">
        <v>182</v>
      </c>
      <c r="F413" t="s">
        <v>187</v>
      </c>
      <c r="G413" t="s">
        <v>12</v>
      </c>
      <c r="H413" t="s">
        <v>72</v>
      </c>
      <c r="I413" t="s">
        <v>175</v>
      </c>
      <c r="J413" s="12">
        <v>2</v>
      </c>
      <c r="K413" t="s">
        <v>60</v>
      </c>
      <c r="L413" t="s">
        <v>63</v>
      </c>
      <c r="M413" t="s">
        <v>200</v>
      </c>
      <c r="O413" t="s">
        <v>197</v>
      </c>
      <c r="P413">
        <v>8</v>
      </c>
      <c r="Q413" t="s">
        <v>202</v>
      </c>
      <c r="R413" s="6">
        <v>0.98725402129597928</v>
      </c>
      <c r="S413" s="6">
        <v>24.275883305120828</v>
      </c>
      <c r="T413" s="6">
        <v>10.345636555419302</v>
      </c>
      <c r="U413" s="6">
        <v>98.542805224562784</v>
      </c>
      <c r="V413" s="6">
        <v>6.7303801146209222E-2</v>
      </c>
      <c r="W413" s="6">
        <v>2.9943859023141504</v>
      </c>
      <c r="X413" s="6">
        <v>1.4965803636706201</v>
      </c>
      <c r="Y413" s="6">
        <v>14.551199725454904</v>
      </c>
    </row>
    <row r="414" spans="1:25" x14ac:dyDescent="0.25">
      <c r="A414" t="str">
        <f t="shared" si="6"/>
        <v>RTD Ice TeaFranceDecemberEUR (€)Fully-AutomatedOldPET Bottle2Small-scaleHigh</v>
      </c>
      <c r="B414" t="s">
        <v>130</v>
      </c>
      <c r="C414" t="s">
        <v>130</v>
      </c>
      <c r="D414" t="s">
        <v>15</v>
      </c>
      <c r="E414" s="12" t="s">
        <v>182</v>
      </c>
      <c r="F414" t="s">
        <v>187</v>
      </c>
      <c r="G414" t="s">
        <v>12</v>
      </c>
      <c r="H414" t="s">
        <v>72</v>
      </c>
      <c r="I414" t="s">
        <v>175</v>
      </c>
      <c r="J414" s="12">
        <v>2</v>
      </c>
      <c r="K414" t="s">
        <v>60</v>
      </c>
      <c r="L414" t="s">
        <v>11</v>
      </c>
      <c r="M414" t="s">
        <v>200</v>
      </c>
      <c r="O414" t="s">
        <v>197</v>
      </c>
      <c r="P414">
        <v>8</v>
      </c>
      <c r="Q414" t="s">
        <v>202</v>
      </c>
      <c r="R414" s="6">
        <v>1.0263767747404109</v>
      </c>
      <c r="S414" s="6">
        <v>25.238817868854369</v>
      </c>
      <c r="T414" s="6">
        <v>10.755322252820989</v>
      </c>
      <c r="U414" s="6">
        <v>102.44607051160517</v>
      </c>
      <c r="V414" s="6">
        <v>6.9655549151653562E-2</v>
      </c>
      <c r="W414" s="6">
        <v>3.0974094443829157</v>
      </c>
      <c r="X414" s="6">
        <v>1.5484130696089247</v>
      </c>
      <c r="Y414" s="6">
        <v>15.054736039191194</v>
      </c>
    </row>
    <row r="415" spans="1:25" x14ac:dyDescent="0.25">
      <c r="A415" t="str">
        <f t="shared" si="6"/>
        <v>RTD Ice TeaFranceDecemberEUR (€)Fully-AutomatedOldPET Bottle2High-scaleLow</v>
      </c>
      <c r="B415" t="s">
        <v>130</v>
      </c>
      <c r="C415" t="s">
        <v>130</v>
      </c>
      <c r="D415" t="s">
        <v>15</v>
      </c>
      <c r="E415" s="12" t="s">
        <v>182</v>
      </c>
      <c r="F415" t="s">
        <v>187</v>
      </c>
      <c r="G415" t="s">
        <v>12</v>
      </c>
      <c r="H415" t="s">
        <v>72</v>
      </c>
      <c r="I415" t="s">
        <v>175</v>
      </c>
      <c r="J415" s="12">
        <v>2</v>
      </c>
      <c r="K415" t="s">
        <v>107</v>
      </c>
      <c r="L415" t="s">
        <v>13</v>
      </c>
      <c r="M415" t="s">
        <v>199</v>
      </c>
      <c r="O415" t="s">
        <v>197</v>
      </c>
      <c r="P415">
        <v>12</v>
      </c>
      <c r="Q415" t="s">
        <v>203</v>
      </c>
      <c r="R415" s="6">
        <v>0.94735517551409787</v>
      </c>
      <c r="S415" s="6">
        <v>23.303269542876816</v>
      </c>
      <c r="T415" s="6">
        <v>9.924900298563184</v>
      </c>
      <c r="U415" s="6">
        <v>94.544201480122396</v>
      </c>
      <c r="V415" s="6">
        <v>6.8847860101371158E-2</v>
      </c>
      <c r="W415" s="6">
        <v>2.2228154601655121</v>
      </c>
      <c r="X415" s="6">
        <v>1.3888846521975586</v>
      </c>
      <c r="Y415" s="6">
        <v>13.14677070705525</v>
      </c>
    </row>
    <row r="416" spans="1:25" x14ac:dyDescent="0.25">
      <c r="A416" t="str">
        <f t="shared" si="6"/>
        <v>RTD Ice TeaFranceDecemberEUR (€)Fully-AutomatedOldPET Bottle2High-scaleMedium</v>
      </c>
      <c r="B416" t="s">
        <v>130</v>
      </c>
      <c r="C416" t="s">
        <v>130</v>
      </c>
      <c r="D416" t="s">
        <v>15</v>
      </c>
      <c r="E416" s="12" t="s">
        <v>182</v>
      </c>
      <c r="F416" t="s">
        <v>187</v>
      </c>
      <c r="G416" t="s">
        <v>12</v>
      </c>
      <c r="H416" t="s">
        <v>72</v>
      </c>
      <c r="I416" t="s">
        <v>175</v>
      </c>
      <c r="J416" s="12">
        <v>2</v>
      </c>
      <c r="K416" t="s">
        <v>107</v>
      </c>
      <c r="L416" t="s">
        <v>63</v>
      </c>
      <c r="M416" t="s">
        <v>199</v>
      </c>
      <c r="O416" t="s">
        <v>197</v>
      </c>
      <c r="P416">
        <v>12</v>
      </c>
      <c r="Q416" t="s">
        <v>203</v>
      </c>
      <c r="R416" s="6">
        <v>0.98357994722190512</v>
      </c>
      <c r="S416" s="6">
        <v>24.194875620407874</v>
      </c>
      <c r="T416" s="6">
        <v>10.304238907268452</v>
      </c>
      <c r="U416" s="6">
        <v>98.158336005161644</v>
      </c>
      <c r="V416" s="6">
        <v>7.1160676010475959E-2</v>
      </c>
      <c r="W416" s="6">
        <v>2.2956552116549629</v>
      </c>
      <c r="X416" s="6">
        <v>1.4350063401329918</v>
      </c>
      <c r="Y416" s="6">
        <v>13.582728522883361</v>
      </c>
    </row>
    <row r="417" spans="1:25" x14ac:dyDescent="0.25">
      <c r="A417" t="str">
        <f t="shared" si="6"/>
        <v>RTD Ice TeaFranceDecemberEUR (€)Fully-AutomatedOldPET Bottle2High-scaleHigh</v>
      </c>
      <c r="B417" t="s">
        <v>130</v>
      </c>
      <c r="C417" t="s">
        <v>130</v>
      </c>
      <c r="D417" t="s">
        <v>15</v>
      </c>
      <c r="E417" s="12" t="s">
        <v>182</v>
      </c>
      <c r="F417" t="s">
        <v>187</v>
      </c>
      <c r="G417" t="s">
        <v>12</v>
      </c>
      <c r="H417" t="s">
        <v>72</v>
      </c>
      <c r="I417" t="s">
        <v>175</v>
      </c>
      <c r="J417" s="12">
        <v>2</v>
      </c>
      <c r="K417" t="s">
        <v>107</v>
      </c>
      <c r="L417" t="s">
        <v>11</v>
      </c>
      <c r="M417" t="s">
        <v>199</v>
      </c>
      <c r="O417" t="s">
        <v>197</v>
      </c>
      <c r="P417">
        <v>12</v>
      </c>
      <c r="Q417" t="s">
        <v>203</v>
      </c>
      <c r="R417" s="6">
        <v>1.0227027006663367</v>
      </c>
      <c r="S417" s="6">
        <v>25.157810184141404</v>
      </c>
      <c r="T417" s="6">
        <v>10.71392460467014</v>
      </c>
      <c r="U417" s="6">
        <v>102.06160129220405</v>
      </c>
      <c r="V417" s="6">
        <v>7.365851719230912E-2</v>
      </c>
      <c r="W417" s="6">
        <v>2.3743221432635706</v>
      </c>
      <c r="X417" s="6">
        <v>1.4848177631032597</v>
      </c>
      <c r="Y417" s="6">
        <v>14.053562963977715</v>
      </c>
    </row>
    <row r="418" spans="1:25" x14ac:dyDescent="0.25">
      <c r="A418" t="str">
        <f t="shared" si="6"/>
        <v>RTD Ice TeaFranceDecemberEUR (€)Fully-AutomatedOldPET Bottle2Medium-scaleLow</v>
      </c>
      <c r="B418" t="s">
        <v>130</v>
      </c>
      <c r="C418" t="s">
        <v>130</v>
      </c>
      <c r="D418" t="s">
        <v>15</v>
      </c>
      <c r="E418" s="12" t="s">
        <v>182</v>
      </c>
      <c r="F418" t="s">
        <v>187</v>
      </c>
      <c r="G418" t="s">
        <v>12</v>
      </c>
      <c r="H418" t="s">
        <v>72</v>
      </c>
      <c r="I418" t="s">
        <v>175</v>
      </c>
      <c r="J418" s="12">
        <v>2</v>
      </c>
      <c r="K418" t="s">
        <v>62</v>
      </c>
      <c r="L418" t="s">
        <v>13</v>
      </c>
      <c r="M418" t="s">
        <v>199</v>
      </c>
      <c r="O418" t="s">
        <v>197</v>
      </c>
      <c r="P418">
        <v>12</v>
      </c>
      <c r="Q418" t="s">
        <v>203</v>
      </c>
      <c r="R418" s="6">
        <v>0.94873295329187568</v>
      </c>
      <c r="S418" s="6">
        <v>23.333647424644177</v>
      </c>
      <c r="T418" s="6">
        <v>9.940424416619754</v>
      </c>
      <c r="U418" s="6">
        <v>94.688377437397804</v>
      </c>
      <c r="V418" s="6">
        <v>6.9861748990260056E-2</v>
      </c>
      <c r="W418" s="6">
        <v>2.2565248617936016</v>
      </c>
      <c r="X418" s="6">
        <v>1.4099647372949247</v>
      </c>
      <c r="Y418" s="6">
        <v>13.346270259934231</v>
      </c>
    </row>
    <row r="419" spans="1:25" x14ac:dyDescent="0.25">
      <c r="A419" t="str">
        <f t="shared" si="6"/>
        <v>RTD Ice TeaFranceDecemberEUR (€)Fully-AutomatedOldPET Bottle2Medium-scaleMedium</v>
      </c>
      <c r="B419" t="s">
        <v>130</v>
      </c>
      <c r="C419" t="s">
        <v>130</v>
      </c>
      <c r="D419" t="s">
        <v>15</v>
      </c>
      <c r="E419" s="12" t="s">
        <v>182</v>
      </c>
      <c r="F419" t="s">
        <v>187</v>
      </c>
      <c r="G419" t="s">
        <v>12</v>
      </c>
      <c r="H419" t="s">
        <v>72</v>
      </c>
      <c r="I419" t="s">
        <v>175</v>
      </c>
      <c r="J419" s="12">
        <v>2</v>
      </c>
      <c r="K419" t="s">
        <v>62</v>
      </c>
      <c r="L419" t="s">
        <v>63</v>
      </c>
      <c r="M419" t="s">
        <v>199</v>
      </c>
      <c r="O419" t="s">
        <v>197</v>
      </c>
      <c r="P419">
        <v>12</v>
      </c>
      <c r="Q419" t="s">
        <v>203</v>
      </c>
      <c r="R419" s="6">
        <v>0.98495772499968293</v>
      </c>
      <c r="S419" s="6">
        <v>24.225253502175232</v>
      </c>
      <c r="T419" s="6">
        <v>10.31976302532502</v>
      </c>
      <c r="U419" s="6">
        <v>98.30251196243708</v>
      </c>
      <c r="V419" s="6">
        <v>7.2174564899364843E-2</v>
      </c>
      <c r="W419" s="6">
        <v>2.3293646132830532</v>
      </c>
      <c r="X419" s="6">
        <v>1.4560864252303578</v>
      </c>
      <c r="Y419" s="6">
        <v>13.782228075762342</v>
      </c>
    </row>
    <row r="420" spans="1:25" x14ac:dyDescent="0.25">
      <c r="A420" t="str">
        <f t="shared" si="6"/>
        <v>RTD Ice TeaFranceDecemberEUR (€)Fully-AutomatedOldPET Bottle2Medium-scaleHigh</v>
      </c>
      <c r="B420" t="s">
        <v>130</v>
      </c>
      <c r="C420" t="s">
        <v>130</v>
      </c>
      <c r="D420" t="s">
        <v>15</v>
      </c>
      <c r="E420" s="12" t="s">
        <v>182</v>
      </c>
      <c r="F420" t="s">
        <v>187</v>
      </c>
      <c r="G420" t="s">
        <v>12</v>
      </c>
      <c r="H420" t="s">
        <v>72</v>
      </c>
      <c r="I420" t="s">
        <v>175</v>
      </c>
      <c r="J420" s="12">
        <v>2</v>
      </c>
      <c r="K420" t="s">
        <v>62</v>
      </c>
      <c r="L420" t="s">
        <v>11</v>
      </c>
      <c r="M420" t="s">
        <v>199</v>
      </c>
      <c r="O420" t="s">
        <v>197</v>
      </c>
      <c r="P420">
        <v>12</v>
      </c>
      <c r="Q420" t="s">
        <v>203</v>
      </c>
      <c r="R420" s="6">
        <v>1.0240804784441147</v>
      </c>
      <c r="S420" s="6">
        <v>25.188188065908765</v>
      </c>
      <c r="T420" s="6">
        <v>10.729448722726705</v>
      </c>
      <c r="U420" s="6">
        <v>102.20577724947947</v>
      </c>
      <c r="V420" s="6">
        <v>7.4672406081198003E-2</v>
      </c>
      <c r="W420" s="6">
        <v>2.40803154489166</v>
      </c>
      <c r="X420" s="6">
        <v>1.5058978482006258</v>
      </c>
      <c r="Y420" s="6">
        <v>14.253062516856698</v>
      </c>
    </row>
    <row r="421" spans="1:25" x14ac:dyDescent="0.25">
      <c r="A421" t="str">
        <f t="shared" si="6"/>
        <v>RTD Ice TeaFranceDecemberEUR (€)Fully-AutomatedOldPET Bottle2Small-scaleLow</v>
      </c>
      <c r="B421" t="s">
        <v>130</v>
      </c>
      <c r="C421" t="s">
        <v>130</v>
      </c>
      <c r="D421" t="s">
        <v>15</v>
      </c>
      <c r="E421" s="12" t="s">
        <v>182</v>
      </c>
      <c r="F421" t="s">
        <v>187</v>
      </c>
      <c r="G421" t="s">
        <v>12</v>
      </c>
      <c r="H421" t="s">
        <v>72</v>
      </c>
      <c r="I421" t="s">
        <v>175</v>
      </c>
      <c r="J421" s="12">
        <v>2</v>
      </c>
      <c r="K421" t="s">
        <v>60</v>
      </c>
      <c r="L421" t="s">
        <v>13</v>
      </c>
      <c r="M421" t="s">
        <v>199</v>
      </c>
      <c r="O421" t="s">
        <v>197</v>
      </c>
      <c r="P421">
        <v>12</v>
      </c>
      <c r="Q421" t="s">
        <v>203</v>
      </c>
      <c r="R421" s="6">
        <v>0.95102924958817192</v>
      </c>
      <c r="S421" s="6">
        <v>23.384277227589777</v>
      </c>
      <c r="T421" s="6">
        <v>9.966297946714036</v>
      </c>
      <c r="U421" s="6">
        <v>94.928670699523522</v>
      </c>
      <c r="V421" s="6">
        <v>7.1551563805074866E-2</v>
      </c>
      <c r="W421" s="6">
        <v>2.3127071978404175</v>
      </c>
      <c r="X421" s="6">
        <v>1.4450982124572014</v>
      </c>
      <c r="Y421" s="6">
        <v>13.678769514732531</v>
      </c>
    </row>
    <row r="422" spans="1:25" x14ac:dyDescent="0.25">
      <c r="A422" t="str">
        <f t="shared" si="6"/>
        <v>RTD Ice TeaFranceDecemberEUR (€)Fully-AutomatedOldPET Bottle2Small-scaleMedium</v>
      </c>
      <c r="B422" t="s">
        <v>130</v>
      </c>
      <c r="C422" t="s">
        <v>130</v>
      </c>
      <c r="D422" t="s">
        <v>15</v>
      </c>
      <c r="E422" s="12" t="s">
        <v>182</v>
      </c>
      <c r="F422" t="s">
        <v>187</v>
      </c>
      <c r="G422" t="s">
        <v>12</v>
      </c>
      <c r="H422" t="s">
        <v>72</v>
      </c>
      <c r="I422" t="s">
        <v>175</v>
      </c>
      <c r="J422" s="12">
        <v>2</v>
      </c>
      <c r="K422" t="s">
        <v>60</v>
      </c>
      <c r="L422" t="s">
        <v>63</v>
      </c>
      <c r="M422" t="s">
        <v>199</v>
      </c>
      <c r="O422" t="s">
        <v>197</v>
      </c>
      <c r="P422">
        <v>12</v>
      </c>
      <c r="Q422" t="s">
        <v>203</v>
      </c>
      <c r="R422" s="6">
        <v>0.98725402129597928</v>
      </c>
      <c r="S422" s="6">
        <v>24.275883305120828</v>
      </c>
      <c r="T422" s="6">
        <v>10.345636555419302</v>
      </c>
      <c r="U422" s="6">
        <v>98.542805224562784</v>
      </c>
      <c r="V422" s="6">
        <v>7.386437971417964E-2</v>
      </c>
      <c r="W422" s="6">
        <v>2.3855469493298687</v>
      </c>
      <c r="X422" s="6">
        <v>1.4912199003926345</v>
      </c>
      <c r="Y422" s="6">
        <v>14.114727330560644</v>
      </c>
    </row>
    <row r="423" spans="1:25" x14ac:dyDescent="0.25">
      <c r="A423" t="str">
        <f t="shared" si="6"/>
        <v>RTD Ice TeaFranceDecemberEUR (€)Fully-AutomatedOldPET Bottle2Small-scaleHigh</v>
      </c>
      <c r="B423" t="s">
        <v>130</v>
      </c>
      <c r="C423" t="s">
        <v>130</v>
      </c>
      <c r="D423" t="s">
        <v>15</v>
      </c>
      <c r="E423" s="12" t="s">
        <v>182</v>
      </c>
      <c r="F423" t="s">
        <v>187</v>
      </c>
      <c r="G423" t="s">
        <v>12</v>
      </c>
      <c r="H423" t="s">
        <v>72</v>
      </c>
      <c r="I423" t="s">
        <v>175</v>
      </c>
      <c r="J423" s="12">
        <v>2</v>
      </c>
      <c r="K423" t="s">
        <v>60</v>
      </c>
      <c r="L423" t="s">
        <v>11</v>
      </c>
      <c r="M423" t="s">
        <v>199</v>
      </c>
      <c r="O423" t="s">
        <v>197</v>
      </c>
      <c r="P423">
        <v>12</v>
      </c>
      <c r="Q423" t="s">
        <v>203</v>
      </c>
      <c r="R423" s="6">
        <v>1.0263767747404109</v>
      </c>
      <c r="S423" s="6">
        <v>25.238817868854369</v>
      </c>
      <c r="T423" s="6">
        <v>10.755322252820989</v>
      </c>
      <c r="U423" s="6">
        <v>102.44607051160517</v>
      </c>
      <c r="V423" s="6">
        <v>7.6362220896012828E-2</v>
      </c>
      <c r="W423" s="6">
        <v>2.4642138809384759</v>
      </c>
      <c r="X423" s="6">
        <v>1.5410313233629025</v>
      </c>
      <c r="Y423" s="6">
        <v>14.585561771655001</v>
      </c>
    </row>
    <row r="424" spans="1:25" x14ac:dyDescent="0.25">
      <c r="A424" t="str">
        <f t="shared" si="6"/>
        <v>RTD Ice TeaFranceDecemberEUR (€)Fully-AutomatedOldPET Bottle2High-scaleLow</v>
      </c>
      <c r="B424" t="s">
        <v>130</v>
      </c>
      <c r="C424" t="s">
        <v>130</v>
      </c>
      <c r="D424" t="s">
        <v>15</v>
      </c>
      <c r="E424" s="12" t="s">
        <v>182</v>
      </c>
      <c r="F424" t="s">
        <v>187</v>
      </c>
      <c r="G424" t="s">
        <v>12</v>
      </c>
      <c r="H424" t="s">
        <v>72</v>
      </c>
      <c r="I424" t="s">
        <v>175</v>
      </c>
      <c r="J424" s="12">
        <v>2</v>
      </c>
      <c r="K424" t="s">
        <v>107</v>
      </c>
      <c r="L424" t="s">
        <v>13</v>
      </c>
      <c r="M424" t="s">
        <v>200</v>
      </c>
      <c r="O424" t="s">
        <v>197</v>
      </c>
      <c r="P424">
        <v>12</v>
      </c>
      <c r="Q424" t="s">
        <v>203</v>
      </c>
      <c r="R424" s="6">
        <v>0.94735517551409787</v>
      </c>
      <c r="S424" s="6">
        <v>23.303269542876816</v>
      </c>
      <c r="T424" s="6">
        <v>9.924900298563184</v>
      </c>
      <c r="U424" s="6">
        <v>94.544201480122396</v>
      </c>
      <c r="V424" s="6">
        <v>5.9297517406059777E-2</v>
      </c>
      <c r="W424" s="6">
        <v>2.6993840530989286</v>
      </c>
      <c r="X424" s="6">
        <v>1.3447509608892321</v>
      </c>
      <c r="Y424" s="6">
        <v>13.079909580112595</v>
      </c>
    </row>
    <row r="425" spans="1:25" x14ac:dyDescent="0.25">
      <c r="A425" t="str">
        <f t="shared" si="6"/>
        <v>RTD Ice TeaFranceDecemberEUR (€)Fully-AutomatedOldPET Bottle2High-scaleMedium</v>
      </c>
      <c r="B425" t="s">
        <v>130</v>
      </c>
      <c r="C425" t="s">
        <v>130</v>
      </c>
      <c r="D425" t="s">
        <v>15</v>
      </c>
      <c r="E425" s="12" t="s">
        <v>182</v>
      </c>
      <c r="F425" t="s">
        <v>187</v>
      </c>
      <c r="G425" t="s">
        <v>12</v>
      </c>
      <c r="H425" t="s">
        <v>72</v>
      </c>
      <c r="I425" t="s">
        <v>175</v>
      </c>
      <c r="J425" s="12">
        <v>2</v>
      </c>
      <c r="K425" t="s">
        <v>107</v>
      </c>
      <c r="L425" t="s">
        <v>63</v>
      </c>
      <c r="M425" t="s">
        <v>200</v>
      </c>
      <c r="O425" t="s">
        <v>197</v>
      </c>
      <c r="P425">
        <v>12</v>
      </c>
      <c r="Q425" t="s">
        <v>203</v>
      </c>
      <c r="R425" s="6">
        <v>0.98357994722190512</v>
      </c>
      <c r="S425" s="6">
        <v>24.194875620407874</v>
      </c>
      <c r="T425" s="6">
        <v>10.304238907268452</v>
      </c>
      <c r="U425" s="6">
        <v>98.158336005161644</v>
      </c>
      <c r="V425" s="6">
        <v>6.1344508168763717E-2</v>
      </c>
      <c r="W425" s="6">
        <v>2.7912923402907253</v>
      </c>
      <c r="X425" s="6">
        <v>1.3909125688098423</v>
      </c>
      <c r="Y425" s="6">
        <v>13.528424214304607</v>
      </c>
    </row>
    <row r="426" spans="1:25" x14ac:dyDescent="0.25">
      <c r="A426" t="str">
        <f t="shared" si="6"/>
        <v>RTD Ice TeaFranceDecemberEUR (€)Fully-AutomatedOldPET Bottle2High-scaleHigh</v>
      </c>
      <c r="B426" t="s">
        <v>130</v>
      </c>
      <c r="C426" t="s">
        <v>130</v>
      </c>
      <c r="D426" t="s">
        <v>15</v>
      </c>
      <c r="E426" s="12" t="s">
        <v>182</v>
      </c>
      <c r="F426" t="s">
        <v>187</v>
      </c>
      <c r="G426" t="s">
        <v>12</v>
      </c>
      <c r="H426" t="s">
        <v>72</v>
      </c>
      <c r="I426" t="s">
        <v>175</v>
      </c>
      <c r="J426" s="12">
        <v>2</v>
      </c>
      <c r="K426" t="s">
        <v>107</v>
      </c>
      <c r="L426" t="s">
        <v>11</v>
      </c>
      <c r="M426" t="s">
        <v>200</v>
      </c>
      <c r="O426" t="s">
        <v>197</v>
      </c>
      <c r="P426">
        <v>12</v>
      </c>
      <c r="Q426" t="s">
        <v>203</v>
      </c>
      <c r="R426" s="6">
        <v>1.0227027006663367</v>
      </c>
      <c r="S426" s="6">
        <v>25.157810184141404</v>
      </c>
      <c r="T426" s="6">
        <v>10.71392460467014</v>
      </c>
      <c r="U426" s="6">
        <v>102.06160129220405</v>
      </c>
      <c r="V426" s="6">
        <v>6.3555258192483963E-2</v>
      </c>
      <c r="W426" s="6">
        <v>2.8905532904578668</v>
      </c>
      <c r="X426" s="6">
        <v>1.4407671053641014</v>
      </c>
      <c r="Y426" s="6">
        <v>14.012820019231985</v>
      </c>
    </row>
    <row r="427" spans="1:25" x14ac:dyDescent="0.25">
      <c r="A427" t="str">
        <f t="shared" si="6"/>
        <v>RTD Ice TeaFranceDecemberEUR (€)Fully-AutomatedOldPET Bottle2Medium-scaleLow</v>
      </c>
      <c r="B427" t="s">
        <v>130</v>
      </c>
      <c r="C427" t="s">
        <v>130</v>
      </c>
      <c r="D427" t="s">
        <v>15</v>
      </c>
      <c r="E427" s="12" t="s">
        <v>182</v>
      </c>
      <c r="F427" t="s">
        <v>187</v>
      </c>
      <c r="G427" t="s">
        <v>12</v>
      </c>
      <c r="H427" t="s">
        <v>72</v>
      </c>
      <c r="I427" t="s">
        <v>175</v>
      </c>
      <c r="J427" s="12">
        <v>2</v>
      </c>
      <c r="K427" t="s">
        <v>62</v>
      </c>
      <c r="L427" t="s">
        <v>13</v>
      </c>
      <c r="M427" t="s">
        <v>200</v>
      </c>
      <c r="O427" t="s">
        <v>197</v>
      </c>
      <c r="P427">
        <v>12</v>
      </c>
      <c r="Q427" t="s">
        <v>203</v>
      </c>
      <c r="R427" s="6">
        <v>0.94873295329187568</v>
      </c>
      <c r="S427" s="6">
        <v>23.333647424644177</v>
      </c>
      <c r="T427" s="6">
        <v>9.940424416619754</v>
      </c>
      <c r="U427" s="6">
        <v>94.688377437397804</v>
      </c>
      <c r="V427" s="6">
        <v>6.021039619393858E-2</v>
      </c>
      <c r="W427" s="6">
        <v>2.7402698397799794</v>
      </c>
      <c r="X427" s="6">
        <v>1.3658310459865981</v>
      </c>
      <c r="Y427" s="6">
        <v>13.284008126710345</v>
      </c>
    </row>
    <row r="428" spans="1:25" x14ac:dyDescent="0.25">
      <c r="A428" t="str">
        <f t="shared" si="6"/>
        <v>RTD Ice TeaFranceDecemberEUR (€)Fully-AutomatedOldPET Bottle2Medium-scaleMedium</v>
      </c>
      <c r="B428" t="s">
        <v>130</v>
      </c>
      <c r="C428" t="s">
        <v>130</v>
      </c>
      <c r="D428" t="s">
        <v>15</v>
      </c>
      <c r="E428" s="12" t="s">
        <v>182</v>
      </c>
      <c r="F428" t="s">
        <v>187</v>
      </c>
      <c r="G428" t="s">
        <v>12</v>
      </c>
      <c r="H428" t="s">
        <v>72</v>
      </c>
      <c r="I428" t="s">
        <v>175</v>
      </c>
      <c r="J428" s="12">
        <v>2</v>
      </c>
      <c r="K428" t="s">
        <v>62</v>
      </c>
      <c r="L428" t="s">
        <v>63</v>
      </c>
      <c r="M428" t="s">
        <v>200</v>
      </c>
      <c r="O428" t="s">
        <v>197</v>
      </c>
      <c r="P428">
        <v>12</v>
      </c>
      <c r="Q428" t="s">
        <v>203</v>
      </c>
      <c r="R428" s="6">
        <v>0.98495772499968293</v>
      </c>
      <c r="S428" s="6">
        <v>24.225253502175232</v>
      </c>
      <c r="T428" s="6">
        <v>10.31976302532502</v>
      </c>
      <c r="U428" s="6">
        <v>98.30251196243708</v>
      </c>
      <c r="V428" s="6">
        <v>6.2257386956642513E-2</v>
      </c>
      <c r="W428" s="6">
        <v>2.8321781269717778</v>
      </c>
      <c r="X428" s="6">
        <v>1.4119926539072083</v>
      </c>
      <c r="Y428" s="6">
        <v>13.732522760902361</v>
      </c>
    </row>
    <row r="429" spans="1:25" x14ac:dyDescent="0.25">
      <c r="A429" t="str">
        <f t="shared" si="6"/>
        <v>RTD Ice TeaFranceDecemberEUR (€)Fully-AutomatedOldPET Bottle2Medium-scaleHigh</v>
      </c>
      <c r="B429" t="s">
        <v>130</v>
      </c>
      <c r="C429" t="s">
        <v>130</v>
      </c>
      <c r="D429" t="s">
        <v>15</v>
      </c>
      <c r="E429" s="12" t="s">
        <v>182</v>
      </c>
      <c r="F429" t="s">
        <v>187</v>
      </c>
      <c r="G429" t="s">
        <v>12</v>
      </c>
      <c r="H429" t="s">
        <v>72</v>
      </c>
      <c r="I429" t="s">
        <v>175</v>
      </c>
      <c r="J429" s="12">
        <v>2</v>
      </c>
      <c r="K429" t="s">
        <v>62</v>
      </c>
      <c r="L429" t="s">
        <v>11</v>
      </c>
      <c r="M429" t="s">
        <v>200</v>
      </c>
      <c r="O429" t="s">
        <v>197</v>
      </c>
      <c r="P429">
        <v>12</v>
      </c>
      <c r="Q429" t="s">
        <v>203</v>
      </c>
      <c r="R429" s="6">
        <v>1.0240804784441147</v>
      </c>
      <c r="S429" s="6">
        <v>25.188188065908765</v>
      </c>
      <c r="T429" s="6">
        <v>10.729448722726705</v>
      </c>
      <c r="U429" s="6">
        <v>102.20577724947947</v>
      </c>
      <c r="V429" s="6">
        <v>6.4468136980362745E-2</v>
      </c>
      <c r="W429" s="6">
        <v>2.9314390771389176</v>
      </c>
      <c r="X429" s="6">
        <v>1.4618471904614674</v>
      </c>
      <c r="Y429" s="6">
        <v>14.216918565829729</v>
      </c>
    </row>
    <row r="430" spans="1:25" x14ac:dyDescent="0.25">
      <c r="A430" t="str">
        <f t="shared" si="6"/>
        <v>RTD Ice TeaFranceDecemberEUR (€)Fully-AutomatedOldPET Bottle2Small-scaleLow</v>
      </c>
      <c r="B430" t="s">
        <v>130</v>
      </c>
      <c r="C430" t="s">
        <v>130</v>
      </c>
      <c r="D430" t="s">
        <v>15</v>
      </c>
      <c r="E430" s="12" t="s">
        <v>182</v>
      </c>
      <c r="F430" t="s">
        <v>187</v>
      </c>
      <c r="G430" t="s">
        <v>12</v>
      </c>
      <c r="H430" t="s">
        <v>72</v>
      </c>
      <c r="I430" t="s">
        <v>175</v>
      </c>
      <c r="J430" s="12">
        <v>2</v>
      </c>
      <c r="K430" t="s">
        <v>60</v>
      </c>
      <c r="L430" t="s">
        <v>13</v>
      </c>
      <c r="M430" t="s">
        <v>200</v>
      </c>
      <c r="O430" t="s">
        <v>197</v>
      </c>
      <c r="P430">
        <v>12</v>
      </c>
      <c r="Q430" t="s">
        <v>203</v>
      </c>
      <c r="R430" s="6">
        <v>0.95102924958817192</v>
      </c>
      <c r="S430" s="6">
        <v>23.384277227589777</v>
      </c>
      <c r="T430" s="6">
        <v>9.966297946714036</v>
      </c>
      <c r="U430" s="6">
        <v>94.928670699523522</v>
      </c>
      <c r="V430" s="6">
        <v>6.1731860840403226E-2</v>
      </c>
      <c r="W430" s="6">
        <v>2.8084128175817322</v>
      </c>
      <c r="X430" s="6">
        <v>1.4009645211488748</v>
      </c>
      <c r="Y430" s="6">
        <v>13.624172371039929</v>
      </c>
    </row>
    <row r="431" spans="1:25" x14ac:dyDescent="0.25">
      <c r="A431" t="str">
        <f t="shared" si="6"/>
        <v>RTD Ice TeaFranceDecemberEUR (€)Fully-AutomatedOldPET Bottle2Small-scaleMedium</v>
      </c>
      <c r="B431" t="s">
        <v>130</v>
      </c>
      <c r="C431" t="s">
        <v>130</v>
      </c>
      <c r="D431" t="s">
        <v>15</v>
      </c>
      <c r="E431" s="12" t="s">
        <v>182</v>
      </c>
      <c r="F431" t="s">
        <v>187</v>
      </c>
      <c r="G431" t="s">
        <v>12</v>
      </c>
      <c r="H431" t="s">
        <v>72</v>
      </c>
      <c r="I431" t="s">
        <v>175</v>
      </c>
      <c r="J431" s="12">
        <v>2</v>
      </c>
      <c r="K431" t="s">
        <v>60</v>
      </c>
      <c r="L431" t="s">
        <v>63</v>
      </c>
      <c r="M431" t="s">
        <v>200</v>
      </c>
      <c r="O431" t="s">
        <v>197</v>
      </c>
      <c r="P431">
        <v>12</v>
      </c>
      <c r="Q431" t="s">
        <v>203</v>
      </c>
      <c r="R431" s="6">
        <v>0.98725402129597928</v>
      </c>
      <c r="S431" s="6">
        <v>24.275883305120828</v>
      </c>
      <c r="T431" s="6">
        <v>10.345636555419302</v>
      </c>
      <c r="U431" s="6">
        <v>98.542805224562784</v>
      </c>
      <c r="V431" s="6">
        <v>6.3778851603107145E-2</v>
      </c>
      <c r="W431" s="6">
        <v>2.9003211047735298</v>
      </c>
      <c r="X431" s="6">
        <v>1.447126129069485</v>
      </c>
      <c r="Y431" s="6">
        <v>14.072687005231943</v>
      </c>
    </row>
    <row r="432" spans="1:25" x14ac:dyDescent="0.25">
      <c r="A432" t="str">
        <f t="shared" si="6"/>
        <v>RTD Ice TeaFranceDecemberEUR (€)Fully-AutomatedOldPET Bottle2Small-scaleHigh</v>
      </c>
      <c r="B432" t="s">
        <v>130</v>
      </c>
      <c r="C432" t="s">
        <v>130</v>
      </c>
      <c r="D432" t="s">
        <v>15</v>
      </c>
      <c r="E432" s="12" t="s">
        <v>182</v>
      </c>
      <c r="F432" t="s">
        <v>187</v>
      </c>
      <c r="G432" t="s">
        <v>12</v>
      </c>
      <c r="H432" t="s">
        <v>72</v>
      </c>
      <c r="I432" t="s">
        <v>175</v>
      </c>
      <c r="J432" s="12">
        <v>2</v>
      </c>
      <c r="K432" t="s">
        <v>60</v>
      </c>
      <c r="L432" t="s">
        <v>11</v>
      </c>
      <c r="M432" t="s">
        <v>200</v>
      </c>
      <c r="O432" t="s">
        <v>197</v>
      </c>
      <c r="P432">
        <v>12</v>
      </c>
      <c r="Q432" t="s">
        <v>203</v>
      </c>
      <c r="R432" s="6">
        <v>1.0263767747404109</v>
      </c>
      <c r="S432" s="6">
        <v>25.238817868854369</v>
      </c>
      <c r="T432" s="6">
        <v>10.755322252820989</v>
      </c>
      <c r="U432" s="6">
        <v>102.44607051160517</v>
      </c>
      <c r="V432" s="6">
        <v>6.5989601626827404E-2</v>
      </c>
      <c r="W432" s="6">
        <v>2.99958205494067</v>
      </c>
      <c r="X432" s="6">
        <v>1.4969806656237441</v>
      </c>
      <c r="Y432" s="6">
        <v>14.557082810159317</v>
      </c>
    </row>
    <row r="433" spans="1:25" x14ac:dyDescent="0.25">
      <c r="A433" t="str">
        <f t="shared" si="6"/>
        <v>RTD Ice TeaFranceDecemberEUR (€)Fully-AutomatedOldPET Bottle2High-scaleLow</v>
      </c>
      <c r="B433" t="s">
        <v>130</v>
      </c>
      <c r="C433" t="s">
        <v>130</v>
      </c>
      <c r="D433" t="s">
        <v>15</v>
      </c>
      <c r="E433" s="12" t="s">
        <v>182</v>
      </c>
      <c r="F433" t="s">
        <v>187</v>
      </c>
      <c r="G433" t="s">
        <v>12</v>
      </c>
      <c r="H433" t="s">
        <v>72</v>
      </c>
      <c r="I433" t="s">
        <v>175</v>
      </c>
      <c r="J433" s="12">
        <v>2</v>
      </c>
      <c r="K433" t="s">
        <v>107</v>
      </c>
      <c r="L433" t="s">
        <v>13</v>
      </c>
      <c r="M433" t="s">
        <v>199</v>
      </c>
      <c r="O433" t="s">
        <v>197</v>
      </c>
      <c r="P433">
        <v>24</v>
      </c>
      <c r="Q433" t="s">
        <v>204</v>
      </c>
      <c r="R433" s="6">
        <v>0.94735517551409787</v>
      </c>
      <c r="S433" s="6">
        <v>23.303269542876816</v>
      </c>
      <c r="T433" s="6">
        <v>9.924900298563184</v>
      </c>
      <c r="U433" s="6">
        <v>94.544201480122396</v>
      </c>
      <c r="V433" s="6">
        <v>5.634027815059179E-2</v>
      </c>
      <c r="W433" s="6">
        <v>1.8721313171099672</v>
      </c>
      <c r="X433" s="6">
        <v>1.1984582500663346</v>
      </c>
      <c r="Y433" s="6">
        <v>11.312408811733466</v>
      </c>
    </row>
    <row r="434" spans="1:25" x14ac:dyDescent="0.25">
      <c r="A434" t="str">
        <f t="shared" si="6"/>
        <v>RTD Ice TeaFranceDecemberEUR (€)Fully-AutomatedOldPET Bottle2High-scaleMedium</v>
      </c>
      <c r="B434" t="s">
        <v>130</v>
      </c>
      <c r="C434" t="s">
        <v>130</v>
      </c>
      <c r="D434" t="s">
        <v>15</v>
      </c>
      <c r="E434" s="12" t="s">
        <v>182</v>
      </c>
      <c r="F434" t="s">
        <v>187</v>
      </c>
      <c r="G434" t="s">
        <v>12</v>
      </c>
      <c r="H434" t="s">
        <v>72</v>
      </c>
      <c r="I434" t="s">
        <v>175</v>
      </c>
      <c r="J434" s="12">
        <v>2</v>
      </c>
      <c r="K434" t="s">
        <v>107</v>
      </c>
      <c r="L434" t="s">
        <v>63</v>
      </c>
      <c r="M434" t="s">
        <v>199</v>
      </c>
      <c r="O434" t="s">
        <v>197</v>
      </c>
      <c r="P434">
        <v>24</v>
      </c>
      <c r="Q434" t="s">
        <v>204</v>
      </c>
      <c r="R434" s="6">
        <v>0.98357994722190512</v>
      </c>
      <c r="S434" s="6">
        <v>24.194875620407874</v>
      </c>
      <c r="T434" s="6">
        <v>10.304238907268452</v>
      </c>
      <c r="U434" s="6">
        <v>98.158336005161644</v>
      </c>
      <c r="V434" s="6">
        <v>5.8205055748458384E-2</v>
      </c>
      <c r="W434" s="6">
        <v>1.9323644374673212</v>
      </c>
      <c r="X434" s="6">
        <v>1.2377191441856736</v>
      </c>
      <c r="Y434" s="6">
        <v>11.682297063509662</v>
      </c>
    </row>
    <row r="435" spans="1:25" x14ac:dyDescent="0.25">
      <c r="A435" t="str">
        <f t="shared" si="6"/>
        <v>RTD Ice TeaFranceDecemberEUR (€)Fully-AutomatedOldPET Bottle2High-scaleHigh</v>
      </c>
      <c r="B435" t="s">
        <v>130</v>
      </c>
      <c r="C435" t="s">
        <v>130</v>
      </c>
      <c r="D435" t="s">
        <v>15</v>
      </c>
      <c r="E435" s="12" t="s">
        <v>182</v>
      </c>
      <c r="F435" t="s">
        <v>187</v>
      </c>
      <c r="G435" t="s">
        <v>12</v>
      </c>
      <c r="H435" t="s">
        <v>72</v>
      </c>
      <c r="I435" t="s">
        <v>175</v>
      </c>
      <c r="J435" s="12">
        <v>2</v>
      </c>
      <c r="K435" t="s">
        <v>107</v>
      </c>
      <c r="L435" t="s">
        <v>11</v>
      </c>
      <c r="M435" t="s">
        <v>199</v>
      </c>
      <c r="O435" t="s">
        <v>197</v>
      </c>
      <c r="P435">
        <v>24</v>
      </c>
      <c r="Q435" t="s">
        <v>204</v>
      </c>
      <c r="R435" s="6">
        <v>1.0227027006663367</v>
      </c>
      <c r="S435" s="6">
        <v>25.157810184141404</v>
      </c>
      <c r="T435" s="6">
        <v>10.71392460467014</v>
      </c>
      <c r="U435" s="6">
        <v>102.06160129220405</v>
      </c>
      <c r="V435" s="6">
        <v>6.0219015554154286E-2</v>
      </c>
      <c r="W435" s="6">
        <v>1.997416207453264</v>
      </c>
      <c r="X435" s="6">
        <v>1.2801209098345601</v>
      </c>
      <c r="Y435" s="6">
        <v>12.08177637542795</v>
      </c>
    </row>
    <row r="436" spans="1:25" x14ac:dyDescent="0.25">
      <c r="A436" t="str">
        <f t="shared" si="6"/>
        <v>RTD Ice TeaFranceDecemberEUR (€)Fully-AutomatedOldPET Bottle2Medium-scaleLow</v>
      </c>
      <c r="B436" t="s">
        <v>130</v>
      </c>
      <c r="C436" t="s">
        <v>130</v>
      </c>
      <c r="D436" t="s">
        <v>15</v>
      </c>
      <c r="E436" s="12" t="s">
        <v>182</v>
      </c>
      <c r="F436" t="s">
        <v>187</v>
      </c>
      <c r="G436" t="s">
        <v>12</v>
      </c>
      <c r="H436" t="s">
        <v>72</v>
      </c>
      <c r="I436" t="s">
        <v>175</v>
      </c>
      <c r="J436" s="12">
        <v>2</v>
      </c>
      <c r="K436" t="s">
        <v>62</v>
      </c>
      <c r="L436" t="s">
        <v>13</v>
      </c>
      <c r="M436" t="s">
        <v>199</v>
      </c>
      <c r="O436" t="s">
        <v>197</v>
      </c>
      <c r="P436">
        <v>24</v>
      </c>
      <c r="Q436" t="s">
        <v>204</v>
      </c>
      <c r="R436" s="6">
        <v>0.94873295329187568</v>
      </c>
      <c r="S436" s="6">
        <v>23.333647424644177</v>
      </c>
      <c r="T436" s="6">
        <v>9.940424416619754</v>
      </c>
      <c r="U436" s="6">
        <v>94.688377437397804</v>
      </c>
      <c r="V436" s="6">
        <v>5.7139520574834214E-2</v>
      </c>
      <c r="W436" s="6">
        <v>1.9001127853327993</v>
      </c>
      <c r="X436" s="6">
        <v>1.2165268944355054</v>
      </c>
      <c r="Y436" s="6">
        <v>11.482770057119449</v>
      </c>
    </row>
    <row r="437" spans="1:25" x14ac:dyDescent="0.25">
      <c r="A437" t="str">
        <f t="shared" si="6"/>
        <v>RTD Ice TeaFranceDecemberEUR (€)Fully-AutomatedOldPET Bottle2Medium-scaleMedium</v>
      </c>
      <c r="B437" t="s">
        <v>130</v>
      </c>
      <c r="C437" t="s">
        <v>130</v>
      </c>
      <c r="D437" t="s">
        <v>15</v>
      </c>
      <c r="E437" s="12" t="s">
        <v>182</v>
      </c>
      <c r="F437" t="s">
        <v>187</v>
      </c>
      <c r="G437" t="s">
        <v>12</v>
      </c>
      <c r="H437" t="s">
        <v>72</v>
      </c>
      <c r="I437" t="s">
        <v>175</v>
      </c>
      <c r="J437" s="12">
        <v>2</v>
      </c>
      <c r="K437" t="s">
        <v>62</v>
      </c>
      <c r="L437" t="s">
        <v>63</v>
      </c>
      <c r="M437" t="s">
        <v>199</v>
      </c>
      <c r="O437" t="s">
        <v>197</v>
      </c>
      <c r="P437">
        <v>24</v>
      </c>
      <c r="Q437" t="s">
        <v>204</v>
      </c>
      <c r="R437" s="6">
        <v>0.98495772499968293</v>
      </c>
      <c r="S437" s="6">
        <v>24.225253502175232</v>
      </c>
      <c r="T437" s="6">
        <v>10.31976302532502</v>
      </c>
      <c r="U437" s="6">
        <v>98.30251196243708</v>
      </c>
      <c r="V437" s="6">
        <v>5.9004298172700802E-2</v>
      </c>
      <c r="W437" s="6">
        <v>1.960345905690154</v>
      </c>
      <c r="X437" s="6">
        <v>1.2557877885548445</v>
      </c>
      <c r="Y437" s="6">
        <v>11.852658308895641</v>
      </c>
    </row>
    <row r="438" spans="1:25" x14ac:dyDescent="0.25">
      <c r="A438" t="str">
        <f t="shared" si="6"/>
        <v>RTD Ice TeaFranceDecemberEUR (€)Fully-AutomatedOldPET Bottle2Medium-scaleHigh</v>
      </c>
      <c r="B438" t="s">
        <v>130</v>
      </c>
      <c r="C438" t="s">
        <v>130</v>
      </c>
      <c r="D438" t="s">
        <v>15</v>
      </c>
      <c r="E438" s="12" t="s">
        <v>182</v>
      </c>
      <c r="F438" t="s">
        <v>187</v>
      </c>
      <c r="G438" t="s">
        <v>12</v>
      </c>
      <c r="H438" t="s">
        <v>72</v>
      </c>
      <c r="I438" t="s">
        <v>175</v>
      </c>
      <c r="J438" s="12">
        <v>2</v>
      </c>
      <c r="K438" t="s">
        <v>62</v>
      </c>
      <c r="L438" t="s">
        <v>11</v>
      </c>
      <c r="M438" t="s">
        <v>199</v>
      </c>
      <c r="O438" t="s">
        <v>197</v>
      </c>
      <c r="P438">
        <v>24</v>
      </c>
      <c r="Q438" t="s">
        <v>204</v>
      </c>
      <c r="R438" s="6">
        <v>1.0240804784441147</v>
      </c>
      <c r="S438" s="6">
        <v>25.188188065908765</v>
      </c>
      <c r="T438" s="6">
        <v>10.729448722726705</v>
      </c>
      <c r="U438" s="6">
        <v>102.20577724947947</v>
      </c>
      <c r="V438" s="6">
        <v>6.101825797839671E-2</v>
      </c>
      <c r="W438" s="6">
        <v>2.0253976756760963</v>
      </c>
      <c r="X438" s="6">
        <v>1.2981895542037309</v>
      </c>
      <c r="Y438" s="6">
        <v>12.252137620813931</v>
      </c>
    </row>
    <row r="439" spans="1:25" x14ac:dyDescent="0.25">
      <c r="A439" t="str">
        <f t="shared" si="6"/>
        <v>RTD Ice TeaFranceDecemberEUR (€)Fully-AutomatedOldPET Bottle2Small-scaleLow</v>
      </c>
      <c r="B439" t="s">
        <v>130</v>
      </c>
      <c r="C439" t="s">
        <v>130</v>
      </c>
      <c r="D439" t="s">
        <v>15</v>
      </c>
      <c r="E439" s="12" t="s">
        <v>182</v>
      </c>
      <c r="F439" t="s">
        <v>187</v>
      </c>
      <c r="G439" t="s">
        <v>12</v>
      </c>
      <c r="H439" t="s">
        <v>72</v>
      </c>
      <c r="I439" t="s">
        <v>175</v>
      </c>
      <c r="J439" s="12">
        <v>2</v>
      </c>
      <c r="K439" t="s">
        <v>60</v>
      </c>
      <c r="L439" t="s">
        <v>13</v>
      </c>
      <c r="M439" t="s">
        <v>199</v>
      </c>
      <c r="O439" t="s">
        <v>197</v>
      </c>
      <c r="P439">
        <v>24</v>
      </c>
      <c r="Q439" t="s">
        <v>204</v>
      </c>
      <c r="R439" s="6">
        <v>0.95102924958817192</v>
      </c>
      <c r="S439" s="6">
        <v>23.384277227589777</v>
      </c>
      <c r="T439" s="6">
        <v>9.966297946714036</v>
      </c>
      <c r="U439" s="6">
        <v>94.928670699523522</v>
      </c>
      <c r="V439" s="6">
        <v>5.8471591281904926E-2</v>
      </c>
      <c r="W439" s="6">
        <v>1.9467485657041872</v>
      </c>
      <c r="X439" s="6">
        <v>1.2466413017174569</v>
      </c>
      <c r="Y439" s="6">
        <v>11.766705466096079</v>
      </c>
    </row>
    <row r="440" spans="1:25" x14ac:dyDescent="0.25">
      <c r="A440" t="str">
        <f t="shared" si="6"/>
        <v>RTD Ice TeaFranceDecemberEUR (€)Fully-AutomatedOldPET Bottle2Small-scaleMedium</v>
      </c>
      <c r="B440" t="s">
        <v>130</v>
      </c>
      <c r="C440" t="s">
        <v>130</v>
      </c>
      <c r="D440" t="s">
        <v>15</v>
      </c>
      <c r="E440" s="12" t="s">
        <v>182</v>
      </c>
      <c r="F440" t="s">
        <v>187</v>
      </c>
      <c r="G440" t="s">
        <v>12</v>
      </c>
      <c r="H440" t="s">
        <v>72</v>
      </c>
      <c r="I440" t="s">
        <v>175</v>
      </c>
      <c r="J440" s="12">
        <v>2</v>
      </c>
      <c r="K440" t="s">
        <v>60</v>
      </c>
      <c r="L440" t="s">
        <v>63</v>
      </c>
      <c r="M440" t="s">
        <v>199</v>
      </c>
      <c r="O440" t="s">
        <v>197</v>
      </c>
      <c r="P440">
        <v>24</v>
      </c>
      <c r="Q440" t="s">
        <v>204</v>
      </c>
      <c r="R440" s="6">
        <v>0.98725402129597928</v>
      </c>
      <c r="S440" s="6">
        <v>24.275883305120828</v>
      </c>
      <c r="T440" s="6">
        <v>10.345636555419302</v>
      </c>
      <c r="U440" s="6">
        <v>98.542805224562784</v>
      </c>
      <c r="V440" s="6">
        <v>6.03363688797715E-2</v>
      </c>
      <c r="W440" s="6">
        <v>2.0069816860615415</v>
      </c>
      <c r="X440" s="6">
        <v>1.285902195836796</v>
      </c>
      <c r="Y440" s="6">
        <v>12.136593717872275</v>
      </c>
    </row>
    <row r="441" spans="1:25" x14ac:dyDescent="0.25">
      <c r="A441" t="str">
        <f t="shared" si="6"/>
        <v>RTD Ice TeaFranceDecemberEUR (€)Fully-AutomatedOldPET Bottle2Small-scaleHigh</v>
      </c>
      <c r="B441" t="s">
        <v>130</v>
      </c>
      <c r="C441" t="s">
        <v>130</v>
      </c>
      <c r="D441" t="s">
        <v>15</v>
      </c>
      <c r="E441" s="12" t="s">
        <v>182</v>
      </c>
      <c r="F441" t="s">
        <v>187</v>
      </c>
      <c r="G441" t="s">
        <v>12</v>
      </c>
      <c r="H441" t="s">
        <v>72</v>
      </c>
      <c r="I441" t="s">
        <v>175</v>
      </c>
      <c r="J441" s="12">
        <v>2</v>
      </c>
      <c r="K441" t="s">
        <v>60</v>
      </c>
      <c r="L441" t="s">
        <v>11</v>
      </c>
      <c r="M441" t="s">
        <v>199</v>
      </c>
      <c r="O441" t="s">
        <v>197</v>
      </c>
      <c r="P441">
        <v>24</v>
      </c>
      <c r="Q441" t="s">
        <v>204</v>
      </c>
      <c r="R441" s="6">
        <v>1.0263767747404109</v>
      </c>
      <c r="S441" s="6">
        <v>25.238817868854369</v>
      </c>
      <c r="T441" s="6">
        <v>10.755322252820989</v>
      </c>
      <c r="U441" s="6">
        <v>102.44607051160517</v>
      </c>
      <c r="V441" s="6">
        <v>6.2350328685467422E-2</v>
      </c>
      <c r="W441" s="6">
        <v>2.072033456047484</v>
      </c>
      <c r="X441" s="6">
        <v>1.3283039614856824</v>
      </c>
      <c r="Y441" s="6">
        <v>12.536073029790568</v>
      </c>
    </row>
    <row r="442" spans="1:25" x14ac:dyDescent="0.25">
      <c r="A442" t="str">
        <f t="shared" si="6"/>
        <v>RTD Ice TeaFranceDecemberEUR (€)Fully-AutomatedOldPET Bottle2High-scaleLow</v>
      </c>
      <c r="B442" t="s">
        <v>130</v>
      </c>
      <c r="C442" t="s">
        <v>130</v>
      </c>
      <c r="D442" t="s">
        <v>15</v>
      </c>
      <c r="E442" s="12" t="s">
        <v>182</v>
      </c>
      <c r="F442" t="s">
        <v>187</v>
      </c>
      <c r="G442" t="s">
        <v>12</v>
      </c>
      <c r="H442" t="s">
        <v>72</v>
      </c>
      <c r="I442" t="s">
        <v>175</v>
      </c>
      <c r="J442" s="12">
        <v>2</v>
      </c>
      <c r="K442" t="s">
        <v>107</v>
      </c>
      <c r="L442" t="s">
        <v>13</v>
      </c>
      <c r="M442" t="s">
        <v>200</v>
      </c>
      <c r="O442" t="s">
        <v>197</v>
      </c>
      <c r="P442">
        <v>24</v>
      </c>
      <c r="Q442" t="s">
        <v>204</v>
      </c>
      <c r="R442" s="6">
        <v>0.94735517551409787</v>
      </c>
      <c r="S442" s="6">
        <v>23.303269542876816</v>
      </c>
      <c r="T442" s="6">
        <v>9.924900298563184</v>
      </c>
      <c r="U442" s="6">
        <v>94.544201480122396</v>
      </c>
      <c r="V442" s="6">
        <v>4.6789935455280422E-2</v>
      </c>
      <c r="W442" s="6">
        <v>2.3486999100433832</v>
      </c>
      <c r="X442" s="6">
        <v>1.154324558758008</v>
      </c>
      <c r="Y442" s="6">
        <v>11.245547684790811</v>
      </c>
    </row>
    <row r="443" spans="1:25" x14ac:dyDescent="0.25">
      <c r="A443" t="str">
        <f t="shared" si="6"/>
        <v>RTD Ice TeaFranceDecemberEUR (€)Fully-AutomatedOldPET Bottle2High-scaleMedium</v>
      </c>
      <c r="B443" t="s">
        <v>130</v>
      </c>
      <c r="C443" t="s">
        <v>130</v>
      </c>
      <c r="D443" t="s">
        <v>15</v>
      </c>
      <c r="E443" s="12" t="s">
        <v>182</v>
      </c>
      <c r="F443" t="s">
        <v>187</v>
      </c>
      <c r="G443" t="s">
        <v>12</v>
      </c>
      <c r="H443" t="s">
        <v>72</v>
      </c>
      <c r="I443" t="s">
        <v>175</v>
      </c>
      <c r="J443" s="12">
        <v>2</v>
      </c>
      <c r="K443" t="s">
        <v>107</v>
      </c>
      <c r="L443" t="s">
        <v>63</v>
      </c>
      <c r="M443" t="s">
        <v>200</v>
      </c>
      <c r="O443" t="s">
        <v>197</v>
      </c>
      <c r="P443">
        <v>24</v>
      </c>
      <c r="Q443" t="s">
        <v>204</v>
      </c>
      <c r="R443" s="6">
        <v>0.98357994722190512</v>
      </c>
      <c r="S443" s="6">
        <v>24.194875620407874</v>
      </c>
      <c r="T443" s="6">
        <v>10.304238907268452</v>
      </c>
      <c r="U443" s="6">
        <v>98.158336005161644</v>
      </c>
      <c r="V443" s="6">
        <v>4.8388887906746149E-2</v>
      </c>
      <c r="W443" s="6">
        <v>2.4280015661030836</v>
      </c>
      <c r="X443" s="6">
        <v>1.1936253728625241</v>
      </c>
      <c r="Y443" s="6">
        <v>11.627992754930908</v>
      </c>
    </row>
    <row r="444" spans="1:25" x14ac:dyDescent="0.25">
      <c r="A444" t="str">
        <f t="shared" si="6"/>
        <v>RTD Ice TeaFranceDecemberEUR (€)Fully-AutomatedOldPET Bottle2High-scaleHigh</v>
      </c>
      <c r="B444" t="s">
        <v>130</v>
      </c>
      <c r="C444" t="s">
        <v>130</v>
      </c>
      <c r="D444" t="s">
        <v>15</v>
      </c>
      <c r="E444" s="12" t="s">
        <v>182</v>
      </c>
      <c r="F444" t="s">
        <v>187</v>
      </c>
      <c r="G444" t="s">
        <v>12</v>
      </c>
      <c r="H444" t="s">
        <v>72</v>
      </c>
      <c r="I444" t="s">
        <v>175</v>
      </c>
      <c r="J444" s="12">
        <v>2</v>
      </c>
      <c r="K444" t="s">
        <v>107</v>
      </c>
      <c r="L444" t="s">
        <v>11</v>
      </c>
      <c r="M444" t="s">
        <v>200</v>
      </c>
      <c r="O444" t="s">
        <v>197</v>
      </c>
      <c r="P444">
        <v>24</v>
      </c>
      <c r="Q444" t="s">
        <v>204</v>
      </c>
      <c r="R444" s="6">
        <v>1.0227027006663367</v>
      </c>
      <c r="S444" s="6">
        <v>25.157810184141404</v>
      </c>
      <c r="T444" s="6">
        <v>10.71392460467014</v>
      </c>
      <c r="U444" s="6">
        <v>102.06160129220405</v>
      </c>
      <c r="V444" s="6">
        <v>5.0115756554329122E-2</v>
      </c>
      <c r="W444" s="6">
        <v>2.5136473546475604</v>
      </c>
      <c r="X444" s="6">
        <v>1.2360702520954017</v>
      </c>
      <c r="Y444" s="6">
        <v>12.041033430682216</v>
      </c>
    </row>
    <row r="445" spans="1:25" x14ac:dyDescent="0.25">
      <c r="A445" t="str">
        <f t="shared" si="6"/>
        <v>RTD Ice TeaFranceDecemberEUR (€)Fully-AutomatedOldPET Bottle2Medium-scaleLow</v>
      </c>
      <c r="B445" t="s">
        <v>130</v>
      </c>
      <c r="C445" t="s">
        <v>130</v>
      </c>
      <c r="D445" t="s">
        <v>15</v>
      </c>
      <c r="E445" s="12" t="s">
        <v>182</v>
      </c>
      <c r="F445" t="s">
        <v>187</v>
      </c>
      <c r="G445" t="s">
        <v>12</v>
      </c>
      <c r="H445" t="s">
        <v>72</v>
      </c>
      <c r="I445" t="s">
        <v>175</v>
      </c>
      <c r="J445" s="12">
        <v>2</v>
      </c>
      <c r="K445" t="s">
        <v>62</v>
      </c>
      <c r="L445" t="s">
        <v>13</v>
      </c>
      <c r="M445" t="s">
        <v>200</v>
      </c>
      <c r="O445" t="s">
        <v>197</v>
      </c>
      <c r="P445">
        <v>24</v>
      </c>
      <c r="Q445" t="s">
        <v>204</v>
      </c>
      <c r="R445" s="6">
        <v>0.94873295329187568</v>
      </c>
      <c r="S445" s="6">
        <v>23.333647424644177</v>
      </c>
      <c r="T445" s="6">
        <v>9.940424416619754</v>
      </c>
      <c r="U445" s="6">
        <v>94.688377437397804</v>
      </c>
      <c r="V445" s="6">
        <v>4.7488167778512745E-2</v>
      </c>
      <c r="W445" s="6">
        <v>2.3838577633191771</v>
      </c>
      <c r="X445" s="6">
        <v>1.1723932031271789</v>
      </c>
      <c r="Y445" s="6">
        <v>11.42050792389556</v>
      </c>
    </row>
    <row r="446" spans="1:25" x14ac:dyDescent="0.25">
      <c r="A446" t="str">
        <f t="shared" si="6"/>
        <v>RTD Ice TeaFranceDecemberEUR (€)Fully-AutomatedOldPET Bottle2Medium-scaleMedium</v>
      </c>
      <c r="B446" t="s">
        <v>130</v>
      </c>
      <c r="C446" t="s">
        <v>130</v>
      </c>
      <c r="D446" t="s">
        <v>15</v>
      </c>
      <c r="E446" s="12" t="s">
        <v>182</v>
      </c>
      <c r="F446" t="s">
        <v>187</v>
      </c>
      <c r="G446" t="s">
        <v>12</v>
      </c>
      <c r="H446" t="s">
        <v>72</v>
      </c>
      <c r="I446" t="s">
        <v>175</v>
      </c>
      <c r="J446" s="12">
        <v>2</v>
      </c>
      <c r="K446" t="s">
        <v>62</v>
      </c>
      <c r="L446" t="s">
        <v>63</v>
      </c>
      <c r="M446" t="s">
        <v>200</v>
      </c>
      <c r="O446" t="s">
        <v>197</v>
      </c>
      <c r="P446">
        <v>24</v>
      </c>
      <c r="Q446" t="s">
        <v>204</v>
      </c>
      <c r="R446" s="6">
        <v>0.98495772499968293</v>
      </c>
      <c r="S446" s="6">
        <v>24.225253502175232</v>
      </c>
      <c r="T446" s="6">
        <v>10.31976302532502</v>
      </c>
      <c r="U446" s="6">
        <v>98.30251196243708</v>
      </c>
      <c r="V446" s="6">
        <v>4.9087120229978472E-2</v>
      </c>
      <c r="W446" s="6">
        <v>2.4631594193788784</v>
      </c>
      <c r="X446" s="6">
        <v>1.211694017231695</v>
      </c>
      <c r="Y446" s="6">
        <v>11.80295299403566</v>
      </c>
    </row>
    <row r="447" spans="1:25" x14ac:dyDescent="0.25">
      <c r="A447" t="str">
        <f t="shared" si="6"/>
        <v>RTD Ice TeaFranceDecemberEUR (€)Fully-AutomatedOldPET Bottle2Medium-scaleHigh</v>
      </c>
      <c r="B447" t="s">
        <v>130</v>
      </c>
      <c r="C447" t="s">
        <v>130</v>
      </c>
      <c r="D447" t="s">
        <v>15</v>
      </c>
      <c r="E447" s="12" t="s">
        <v>182</v>
      </c>
      <c r="F447" t="s">
        <v>187</v>
      </c>
      <c r="G447" t="s">
        <v>12</v>
      </c>
      <c r="H447" t="s">
        <v>72</v>
      </c>
      <c r="I447" t="s">
        <v>175</v>
      </c>
      <c r="J447" s="12">
        <v>2</v>
      </c>
      <c r="K447" t="s">
        <v>62</v>
      </c>
      <c r="L447" t="s">
        <v>11</v>
      </c>
      <c r="M447" t="s">
        <v>200</v>
      </c>
      <c r="O447" t="s">
        <v>197</v>
      </c>
      <c r="P447">
        <v>24</v>
      </c>
      <c r="Q447" t="s">
        <v>204</v>
      </c>
      <c r="R447" s="6">
        <v>1.0240804784441147</v>
      </c>
      <c r="S447" s="6">
        <v>25.188188065908765</v>
      </c>
      <c r="T447" s="6">
        <v>10.729448722726705</v>
      </c>
      <c r="U447" s="6">
        <v>102.20577724947947</v>
      </c>
      <c r="V447" s="6">
        <v>5.0813988877561445E-2</v>
      </c>
      <c r="W447" s="6">
        <v>2.5488052079233539</v>
      </c>
      <c r="X447" s="6">
        <v>1.2541388964645726</v>
      </c>
      <c r="Y447" s="6">
        <v>12.215993669786965</v>
      </c>
    </row>
    <row r="448" spans="1:25" x14ac:dyDescent="0.25">
      <c r="A448" t="str">
        <f t="shared" si="6"/>
        <v>RTD Ice TeaFranceDecemberEUR (€)Fully-AutomatedOldPET Bottle2Small-scaleLow</v>
      </c>
      <c r="B448" t="s">
        <v>130</v>
      </c>
      <c r="C448" t="s">
        <v>130</v>
      </c>
      <c r="D448" t="s">
        <v>15</v>
      </c>
      <c r="E448" s="12" t="s">
        <v>182</v>
      </c>
      <c r="F448" t="s">
        <v>187</v>
      </c>
      <c r="G448" t="s">
        <v>12</v>
      </c>
      <c r="H448" t="s">
        <v>72</v>
      </c>
      <c r="I448" t="s">
        <v>175</v>
      </c>
      <c r="J448" s="12">
        <v>2</v>
      </c>
      <c r="K448" t="s">
        <v>60</v>
      </c>
      <c r="L448" t="s">
        <v>13</v>
      </c>
      <c r="M448" t="s">
        <v>200</v>
      </c>
      <c r="O448" t="s">
        <v>197</v>
      </c>
      <c r="P448">
        <v>24</v>
      </c>
      <c r="Q448" t="s">
        <v>204</v>
      </c>
      <c r="R448" s="6">
        <v>0.95102924958817192</v>
      </c>
      <c r="S448" s="6">
        <v>23.384277227589777</v>
      </c>
      <c r="T448" s="6">
        <v>9.966297946714036</v>
      </c>
      <c r="U448" s="6">
        <v>94.928670699523522</v>
      </c>
      <c r="V448" s="6">
        <v>4.8651888317233292E-2</v>
      </c>
      <c r="W448" s="6">
        <v>2.4424541854455017</v>
      </c>
      <c r="X448" s="6">
        <v>1.2025076104091303</v>
      </c>
      <c r="Y448" s="6">
        <v>11.712108322403473</v>
      </c>
    </row>
    <row r="449" spans="1:25" x14ac:dyDescent="0.25">
      <c r="A449" t="str">
        <f t="shared" si="6"/>
        <v>RTD Ice TeaFranceDecemberEUR (€)Fully-AutomatedOldPET Bottle2Small-scaleMedium</v>
      </c>
      <c r="B449" t="s">
        <v>130</v>
      </c>
      <c r="C449" t="s">
        <v>130</v>
      </c>
      <c r="D449" t="s">
        <v>15</v>
      </c>
      <c r="E449" s="12" t="s">
        <v>182</v>
      </c>
      <c r="F449" t="s">
        <v>187</v>
      </c>
      <c r="G449" t="s">
        <v>12</v>
      </c>
      <c r="H449" t="s">
        <v>72</v>
      </c>
      <c r="I449" t="s">
        <v>175</v>
      </c>
      <c r="J449" s="12">
        <v>2</v>
      </c>
      <c r="K449" t="s">
        <v>60</v>
      </c>
      <c r="L449" t="s">
        <v>63</v>
      </c>
      <c r="M449" t="s">
        <v>200</v>
      </c>
      <c r="O449" t="s">
        <v>197</v>
      </c>
      <c r="P449">
        <v>24</v>
      </c>
      <c r="Q449" t="s">
        <v>204</v>
      </c>
      <c r="R449" s="6">
        <v>0.98725402129597928</v>
      </c>
      <c r="S449" s="6">
        <v>24.275883305120828</v>
      </c>
      <c r="T449" s="6">
        <v>10.345636555419302</v>
      </c>
      <c r="U449" s="6">
        <v>98.542805224562784</v>
      </c>
      <c r="V449" s="6">
        <v>5.0250840768699005E-2</v>
      </c>
      <c r="W449" s="6">
        <v>2.5217558415052022</v>
      </c>
      <c r="X449" s="6">
        <v>1.2418084245136465</v>
      </c>
      <c r="Y449" s="6">
        <v>12.094553392543574</v>
      </c>
    </row>
    <row r="450" spans="1:25" x14ac:dyDescent="0.25">
      <c r="A450" t="str">
        <f t="shared" ref="A450:A513" si="7">C450&amp;D450&amp;E450&amp;F450&amp;G450&amp;H450&amp;I450&amp;J450&amp;K450&amp;L450</f>
        <v>RTD Ice TeaFranceDecemberEUR (€)Fully-AutomatedOldPET Bottle2Small-scaleHigh</v>
      </c>
      <c r="B450" t="s">
        <v>130</v>
      </c>
      <c r="C450" t="s">
        <v>130</v>
      </c>
      <c r="D450" t="s">
        <v>15</v>
      </c>
      <c r="E450" s="12" t="s">
        <v>182</v>
      </c>
      <c r="F450" t="s">
        <v>187</v>
      </c>
      <c r="G450" t="s">
        <v>12</v>
      </c>
      <c r="H450" t="s">
        <v>72</v>
      </c>
      <c r="I450" t="s">
        <v>175</v>
      </c>
      <c r="J450" s="12">
        <v>2</v>
      </c>
      <c r="K450" t="s">
        <v>60</v>
      </c>
      <c r="L450" t="s">
        <v>11</v>
      </c>
      <c r="M450" t="s">
        <v>200</v>
      </c>
      <c r="O450" t="s">
        <v>197</v>
      </c>
      <c r="P450">
        <v>24</v>
      </c>
      <c r="Q450" t="s">
        <v>204</v>
      </c>
      <c r="R450" s="6">
        <v>1.0263767747404109</v>
      </c>
      <c r="S450" s="6">
        <v>25.238817868854369</v>
      </c>
      <c r="T450" s="6">
        <v>10.755322252820989</v>
      </c>
      <c r="U450" s="6">
        <v>102.44607051160517</v>
      </c>
      <c r="V450" s="6">
        <v>5.1977709416281985E-2</v>
      </c>
      <c r="W450" s="6">
        <v>2.6074016300496781</v>
      </c>
      <c r="X450" s="6">
        <v>1.284253303746524</v>
      </c>
      <c r="Y450" s="6">
        <v>12.507594068294882</v>
      </c>
    </row>
    <row r="451" spans="1:25" x14ac:dyDescent="0.25">
      <c r="A451" t="str">
        <f t="shared" si="7"/>
        <v>RTD Ice TeaFranceDecemberEUR (€)Fully-AutomatedOldCan0.33High-scaleLow</v>
      </c>
      <c r="B451" t="s">
        <v>130</v>
      </c>
      <c r="C451" t="s">
        <v>130</v>
      </c>
      <c r="D451" t="s">
        <v>15</v>
      </c>
      <c r="E451" s="12" t="s">
        <v>182</v>
      </c>
      <c r="F451" t="s">
        <v>187</v>
      </c>
      <c r="G451" t="s">
        <v>12</v>
      </c>
      <c r="H451" t="s">
        <v>72</v>
      </c>
      <c r="I451" t="s">
        <v>125</v>
      </c>
      <c r="J451" s="12">
        <v>0.33</v>
      </c>
      <c r="K451" t="s">
        <v>107</v>
      </c>
      <c r="L451" t="s">
        <v>13</v>
      </c>
      <c r="M451" t="s">
        <v>199</v>
      </c>
      <c r="O451" t="s">
        <v>197</v>
      </c>
      <c r="P451">
        <v>4</v>
      </c>
      <c r="Q451" t="s">
        <v>198</v>
      </c>
      <c r="R451" s="6">
        <v>0.48025036674262261</v>
      </c>
      <c r="S451" s="6">
        <v>10.772254112952902</v>
      </c>
      <c r="T451" s="6">
        <v>6.7418331876705491</v>
      </c>
      <c r="U451" s="6">
        <v>60.044540496657511</v>
      </c>
      <c r="V451" s="6">
        <v>0.35385251402426265</v>
      </c>
      <c r="W451" s="6">
        <v>11.406468975537665</v>
      </c>
      <c r="X451" s="6">
        <v>5.4552776305771165</v>
      </c>
      <c r="Y451" s="6">
        <v>53.431456513064937</v>
      </c>
    </row>
    <row r="452" spans="1:25" x14ac:dyDescent="0.25">
      <c r="A452" t="str">
        <f t="shared" si="7"/>
        <v>RTD Ice TeaFranceDecemberEUR (€)Fully-AutomatedOldCan0.33High-scaleMedium</v>
      </c>
      <c r="B452" t="s">
        <v>130</v>
      </c>
      <c r="C452" t="s">
        <v>130</v>
      </c>
      <c r="D452" t="s">
        <v>15</v>
      </c>
      <c r="E452" s="12" t="s">
        <v>182</v>
      </c>
      <c r="F452" t="s">
        <v>187</v>
      </c>
      <c r="G452" t="s">
        <v>12</v>
      </c>
      <c r="H452" t="s">
        <v>72</v>
      </c>
      <c r="I452" t="s">
        <v>125</v>
      </c>
      <c r="J452" s="12">
        <v>0.33</v>
      </c>
      <c r="K452" t="s">
        <v>107</v>
      </c>
      <c r="L452" t="s">
        <v>63</v>
      </c>
      <c r="M452" t="s">
        <v>199</v>
      </c>
      <c r="O452" t="s">
        <v>197</v>
      </c>
      <c r="P452">
        <v>4</v>
      </c>
      <c r="Q452" t="s">
        <v>198</v>
      </c>
      <c r="R452" s="6">
        <v>0.49857755645028368</v>
      </c>
      <c r="S452" s="6">
        <v>11.183721960282426</v>
      </c>
      <c r="T452" s="6">
        <v>6.9992094368381288</v>
      </c>
      <c r="U452" s="6">
        <v>62.336786443729054</v>
      </c>
      <c r="V452" s="6">
        <v>0.36731954933444216</v>
      </c>
      <c r="W452" s="6">
        <v>11.839494966648743</v>
      </c>
      <c r="X452" s="6">
        <v>5.6622003848991236</v>
      </c>
      <c r="Y452" s="6">
        <v>55.458421471793017</v>
      </c>
    </row>
    <row r="453" spans="1:25" x14ac:dyDescent="0.25">
      <c r="A453" t="str">
        <f t="shared" si="7"/>
        <v>RTD Ice TeaFranceDecemberEUR (€)Fully-AutomatedOldCan0.33High-scaleHigh</v>
      </c>
      <c r="B453" t="s">
        <v>130</v>
      </c>
      <c r="C453" t="s">
        <v>130</v>
      </c>
      <c r="D453" t="s">
        <v>15</v>
      </c>
      <c r="E453" s="12" t="s">
        <v>182</v>
      </c>
      <c r="F453" t="s">
        <v>187</v>
      </c>
      <c r="G453" t="s">
        <v>12</v>
      </c>
      <c r="H453" t="s">
        <v>72</v>
      </c>
      <c r="I453" t="s">
        <v>125</v>
      </c>
      <c r="J453" s="12">
        <v>0.33</v>
      </c>
      <c r="K453" t="s">
        <v>107</v>
      </c>
      <c r="L453" t="s">
        <v>11</v>
      </c>
      <c r="M453" t="s">
        <v>199</v>
      </c>
      <c r="O453" t="s">
        <v>197</v>
      </c>
      <c r="P453">
        <v>4</v>
      </c>
      <c r="Q453" t="s">
        <v>198</v>
      </c>
      <c r="R453" s="6">
        <v>0.51837092133455764</v>
      </c>
      <c r="S453" s="6">
        <v>11.628107235398311</v>
      </c>
      <c r="T453" s="6">
        <v>7.2771757859391144</v>
      </c>
      <c r="U453" s="6">
        <v>64.812412066566324</v>
      </c>
      <c r="V453" s="6">
        <v>0.38186394746943597</v>
      </c>
      <c r="W453" s="6">
        <v>12.307163037048705</v>
      </c>
      <c r="X453" s="6">
        <v>5.8856769595668936</v>
      </c>
      <c r="Y453" s="6">
        <v>57.647543627219328</v>
      </c>
    </row>
    <row r="454" spans="1:25" x14ac:dyDescent="0.25">
      <c r="A454" t="str">
        <f t="shared" si="7"/>
        <v>RTD Ice TeaFranceDecemberEUR (€)Fully-AutomatedOldCan0.33Medium-scaleLow</v>
      </c>
      <c r="B454" t="s">
        <v>130</v>
      </c>
      <c r="C454" t="s">
        <v>130</v>
      </c>
      <c r="D454" t="s">
        <v>15</v>
      </c>
      <c r="E454" s="12" t="s">
        <v>182</v>
      </c>
      <c r="F454" t="s">
        <v>187</v>
      </c>
      <c r="G454" t="s">
        <v>12</v>
      </c>
      <c r="H454" t="s">
        <v>72</v>
      </c>
      <c r="I454" t="s">
        <v>125</v>
      </c>
      <c r="J454" s="12">
        <v>0.33</v>
      </c>
      <c r="K454" t="s">
        <v>62</v>
      </c>
      <c r="L454" t="s">
        <v>13</v>
      </c>
      <c r="M454" t="s">
        <v>199</v>
      </c>
      <c r="O454" t="s">
        <v>197</v>
      </c>
      <c r="P454">
        <v>4</v>
      </c>
      <c r="Q454" t="s">
        <v>198</v>
      </c>
      <c r="R454" s="6">
        <v>0.48118622532848115</v>
      </c>
      <c r="S454" s="6">
        <v>10.790776633549212</v>
      </c>
      <c r="T454" s="6">
        <v>6.754345864998923</v>
      </c>
      <c r="U454" s="6">
        <v>60.156076964856823</v>
      </c>
      <c r="V454" s="6">
        <v>0.35469468574143437</v>
      </c>
      <c r="W454" s="6">
        <v>11.43823653364869</v>
      </c>
      <c r="X454" s="6">
        <v>5.4703348342180922</v>
      </c>
      <c r="Y454" s="6">
        <v>53.579030990341089</v>
      </c>
    </row>
    <row r="455" spans="1:25" x14ac:dyDescent="0.25">
      <c r="A455" t="str">
        <f t="shared" si="7"/>
        <v>RTD Ice TeaFranceDecemberEUR (€)Fully-AutomatedOldCan0.33Medium-scaleMedium</v>
      </c>
      <c r="B455" t="s">
        <v>130</v>
      </c>
      <c r="C455" t="s">
        <v>130</v>
      </c>
      <c r="D455" t="s">
        <v>15</v>
      </c>
      <c r="E455" s="12" t="s">
        <v>182</v>
      </c>
      <c r="F455" t="s">
        <v>187</v>
      </c>
      <c r="G455" t="s">
        <v>12</v>
      </c>
      <c r="H455" t="s">
        <v>72</v>
      </c>
      <c r="I455" t="s">
        <v>125</v>
      </c>
      <c r="J455" s="12">
        <v>0.33</v>
      </c>
      <c r="K455" t="s">
        <v>62</v>
      </c>
      <c r="L455" t="s">
        <v>63</v>
      </c>
      <c r="M455" t="s">
        <v>199</v>
      </c>
      <c r="O455" t="s">
        <v>197</v>
      </c>
      <c r="P455">
        <v>4</v>
      </c>
      <c r="Q455" t="s">
        <v>198</v>
      </c>
      <c r="R455" s="6">
        <v>0.49951341503614233</v>
      </c>
      <c r="S455" s="6">
        <v>11.202244480878738</v>
      </c>
      <c r="T455" s="6">
        <v>7.0117221141665027</v>
      </c>
      <c r="U455" s="6">
        <v>62.448322911928379</v>
      </c>
      <c r="V455" s="6">
        <v>0.36816172105161388</v>
      </c>
      <c r="W455" s="6">
        <v>11.871262524759766</v>
      </c>
      <c r="X455" s="6">
        <v>5.6772575885400993</v>
      </c>
      <c r="Y455" s="6">
        <v>55.605995949069168</v>
      </c>
    </row>
    <row r="456" spans="1:25" x14ac:dyDescent="0.25">
      <c r="A456" t="str">
        <f t="shared" si="7"/>
        <v>RTD Ice TeaFranceDecemberEUR (€)Fully-AutomatedOldCan0.33Medium-scaleHigh</v>
      </c>
      <c r="B456" t="s">
        <v>130</v>
      </c>
      <c r="C456" t="s">
        <v>130</v>
      </c>
      <c r="D456" t="s">
        <v>15</v>
      </c>
      <c r="E456" s="12" t="s">
        <v>182</v>
      </c>
      <c r="F456" t="s">
        <v>187</v>
      </c>
      <c r="G456" t="s">
        <v>12</v>
      </c>
      <c r="H456" t="s">
        <v>72</v>
      </c>
      <c r="I456" t="s">
        <v>125</v>
      </c>
      <c r="J456" s="12">
        <v>0.33</v>
      </c>
      <c r="K456" t="s">
        <v>62</v>
      </c>
      <c r="L456" t="s">
        <v>11</v>
      </c>
      <c r="M456" t="s">
        <v>199</v>
      </c>
      <c r="O456" t="s">
        <v>197</v>
      </c>
      <c r="P456">
        <v>4</v>
      </c>
      <c r="Q456" t="s">
        <v>198</v>
      </c>
      <c r="R456" s="6">
        <v>0.51930677992041618</v>
      </c>
      <c r="S456" s="6">
        <v>11.646629755994624</v>
      </c>
      <c r="T456" s="6">
        <v>7.2896884632674865</v>
      </c>
      <c r="U456" s="6">
        <v>64.923948534765628</v>
      </c>
      <c r="V456" s="6">
        <v>0.38270611918660763</v>
      </c>
      <c r="W456" s="6">
        <v>12.338930595159731</v>
      </c>
      <c r="X456" s="6">
        <v>5.9007341632078703</v>
      </c>
      <c r="Y456" s="6">
        <v>57.795118104495479</v>
      </c>
    </row>
    <row r="457" spans="1:25" x14ac:dyDescent="0.25">
      <c r="A457" t="str">
        <f t="shared" si="7"/>
        <v>RTD Ice TeaFranceDecemberEUR (€)Fully-AutomatedOldCan0.33Small-scaleLow</v>
      </c>
      <c r="B457" t="s">
        <v>130</v>
      </c>
      <c r="C457" t="s">
        <v>130</v>
      </c>
      <c r="D457" t="s">
        <v>15</v>
      </c>
      <c r="E457" s="12" t="s">
        <v>182</v>
      </c>
      <c r="F457" t="s">
        <v>187</v>
      </c>
      <c r="G457" t="s">
        <v>12</v>
      </c>
      <c r="H457" t="s">
        <v>72</v>
      </c>
      <c r="I457" t="s">
        <v>125</v>
      </c>
      <c r="J457" s="12">
        <v>0.33</v>
      </c>
      <c r="K457" t="s">
        <v>60</v>
      </c>
      <c r="L457" t="s">
        <v>13</v>
      </c>
      <c r="M457" t="s">
        <v>199</v>
      </c>
      <c r="O457" t="s">
        <v>197</v>
      </c>
      <c r="P457">
        <v>4</v>
      </c>
      <c r="Q457" t="s">
        <v>198</v>
      </c>
      <c r="R457" s="6">
        <v>0.48274598963824539</v>
      </c>
      <c r="S457" s="6">
        <v>10.821647501209734</v>
      </c>
      <c r="T457" s="6">
        <v>6.7752003272128798</v>
      </c>
      <c r="U457" s="6">
        <v>60.341971078522313</v>
      </c>
      <c r="V457" s="6">
        <v>0.35609830527005393</v>
      </c>
      <c r="W457" s="6">
        <v>11.491182463833729</v>
      </c>
      <c r="X457" s="6">
        <v>5.4954301736197184</v>
      </c>
      <c r="Y457" s="6">
        <v>53.824988452467991</v>
      </c>
    </row>
    <row r="458" spans="1:25" x14ac:dyDescent="0.25">
      <c r="A458" t="str">
        <f t="shared" si="7"/>
        <v>RTD Ice TeaFranceDecemberEUR (€)Fully-AutomatedOldCan0.33Small-scaleMedium</v>
      </c>
      <c r="B458" t="s">
        <v>130</v>
      </c>
      <c r="C458" t="s">
        <v>130</v>
      </c>
      <c r="D458" t="s">
        <v>15</v>
      </c>
      <c r="E458" s="12" t="s">
        <v>182</v>
      </c>
      <c r="F458" t="s">
        <v>187</v>
      </c>
      <c r="G458" t="s">
        <v>12</v>
      </c>
      <c r="H458" t="s">
        <v>72</v>
      </c>
      <c r="I458" t="s">
        <v>125</v>
      </c>
      <c r="J458" s="12">
        <v>0.33</v>
      </c>
      <c r="K458" t="s">
        <v>60</v>
      </c>
      <c r="L458" t="s">
        <v>63</v>
      </c>
      <c r="M458" t="s">
        <v>199</v>
      </c>
      <c r="O458" t="s">
        <v>197</v>
      </c>
      <c r="P458">
        <v>4</v>
      </c>
      <c r="Q458" t="s">
        <v>198</v>
      </c>
      <c r="R458" s="6">
        <v>0.50107317934590667</v>
      </c>
      <c r="S458" s="6">
        <v>11.233115348539258</v>
      </c>
      <c r="T458" s="6">
        <v>7.0325765763804586</v>
      </c>
      <c r="U458" s="6">
        <v>62.634217025593884</v>
      </c>
      <c r="V458" s="6">
        <v>0.36956534058023344</v>
      </c>
      <c r="W458" s="6">
        <v>11.924208454944804</v>
      </c>
      <c r="X458" s="6">
        <v>5.7023529279417255</v>
      </c>
      <c r="Y458" s="6">
        <v>55.851953411196071</v>
      </c>
    </row>
    <row r="459" spans="1:25" x14ac:dyDescent="0.25">
      <c r="A459" t="str">
        <f t="shared" si="7"/>
        <v>RTD Ice TeaFranceDecemberEUR (€)Fully-AutomatedOldCan0.33Small-scaleHigh</v>
      </c>
      <c r="B459" t="s">
        <v>130</v>
      </c>
      <c r="C459" t="s">
        <v>130</v>
      </c>
      <c r="D459" t="s">
        <v>15</v>
      </c>
      <c r="E459" s="12" t="s">
        <v>182</v>
      </c>
      <c r="F459" t="s">
        <v>187</v>
      </c>
      <c r="G459" t="s">
        <v>12</v>
      </c>
      <c r="H459" t="s">
        <v>72</v>
      </c>
      <c r="I459" t="s">
        <v>125</v>
      </c>
      <c r="J459" s="12">
        <v>0.33</v>
      </c>
      <c r="K459" t="s">
        <v>60</v>
      </c>
      <c r="L459" t="s">
        <v>11</v>
      </c>
      <c r="M459" t="s">
        <v>199</v>
      </c>
      <c r="O459" t="s">
        <v>197</v>
      </c>
      <c r="P459">
        <v>4</v>
      </c>
      <c r="Q459" t="s">
        <v>198</v>
      </c>
      <c r="R459" s="6">
        <v>0.52086654423018053</v>
      </c>
      <c r="S459" s="6">
        <v>11.677500623655146</v>
      </c>
      <c r="T459" s="6">
        <v>7.3105429254814434</v>
      </c>
      <c r="U459" s="6">
        <v>65.10984264843114</v>
      </c>
      <c r="V459" s="6">
        <v>0.38410973871522713</v>
      </c>
      <c r="W459" s="6">
        <v>12.391876525344768</v>
      </c>
      <c r="X459" s="6">
        <v>5.9258295026094947</v>
      </c>
      <c r="Y459" s="6">
        <v>58.041075566622382</v>
      </c>
    </row>
    <row r="460" spans="1:25" x14ac:dyDescent="0.25">
      <c r="A460" t="str">
        <f t="shared" si="7"/>
        <v>RTD Ice TeaFranceDecemberEUR (€)Fully-AutomatedOldCan0.33High-scaleLow</v>
      </c>
      <c r="B460" t="s">
        <v>130</v>
      </c>
      <c r="C460" t="s">
        <v>130</v>
      </c>
      <c r="D460" t="s">
        <v>15</v>
      </c>
      <c r="E460" s="12" t="s">
        <v>182</v>
      </c>
      <c r="F460" t="s">
        <v>187</v>
      </c>
      <c r="G460" t="s">
        <v>12</v>
      </c>
      <c r="H460" t="s">
        <v>72</v>
      </c>
      <c r="I460" t="s">
        <v>125</v>
      </c>
      <c r="J460" s="12">
        <v>0.33</v>
      </c>
      <c r="K460" t="s">
        <v>107</v>
      </c>
      <c r="L460" t="s">
        <v>13</v>
      </c>
      <c r="M460" t="s">
        <v>200</v>
      </c>
      <c r="O460" t="s">
        <v>197</v>
      </c>
      <c r="P460">
        <v>4</v>
      </c>
      <c r="Q460" t="s">
        <v>198</v>
      </c>
      <c r="R460" s="6">
        <v>0.48025036674262261</v>
      </c>
      <c r="S460" s="6">
        <v>10.772254112952902</v>
      </c>
      <c r="T460" s="6">
        <v>6.7418331876705491</v>
      </c>
      <c r="U460" s="6">
        <v>60.044540496657511</v>
      </c>
      <c r="V460" s="6">
        <v>0.35385251402426265</v>
      </c>
      <c r="W460" s="6">
        <v>11.406468975537665</v>
      </c>
      <c r="X460" s="6">
        <v>5.4552776305771165</v>
      </c>
      <c r="Y460" s="6">
        <v>53.431456513064937</v>
      </c>
    </row>
    <row r="461" spans="1:25" x14ac:dyDescent="0.25">
      <c r="A461" t="str">
        <f t="shared" si="7"/>
        <v>RTD Ice TeaFranceDecemberEUR (€)Fully-AutomatedOldCan0.33High-scaleMedium</v>
      </c>
      <c r="B461" t="s">
        <v>130</v>
      </c>
      <c r="C461" t="s">
        <v>130</v>
      </c>
      <c r="D461" t="s">
        <v>15</v>
      </c>
      <c r="E461" s="12" t="s">
        <v>182</v>
      </c>
      <c r="F461" t="s">
        <v>187</v>
      </c>
      <c r="G461" t="s">
        <v>12</v>
      </c>
      <c r="H461" t="s">
        <v>72</v>
      </c>
      <c r="I461" t="s">
        <v>125</v>
      </c>
      <c r="J461" s="12">
        <v>0.33</v>
      </c>
      <c r="K461" t="s">
        <v>107</v>
      </c>
      <c r="L461" t="s">
        <v>63</v>
      </c>
      <c r="M461" t="s">
        <v>200</v>
      </c>
      <c r="O461" t="s">
        <v>197</v>
      </c>
      <c r="P461">
        <v>4</v>
      </c>
      <c r="Q461" t="s">
        <v>198</v>
      </c>
      <c r="R461" s="6">
        <v>0.49857755645028368</v>
      </c>
      <c r="S461" s="6">
        <v>11.183721960282426</v>
      </c>
      <c r="T461" s="6">
        <v>6.9992094368381288</v>
      </c>
      <c r="U461" s="6">
        <v>62.336786443729054</v>
      </c>
      <c r="V461" s="6">
        <v>0.36731954933444216</v>
      </c>
      <c r="W461" s="6">
        <v>11.839494966648743</v>
      </c>
      <c r="X461" s="6">
        <v>5.6622003848991236</v>
      </c>
      <c r="Y461" s="6">
        <v>55.458421471793017</v>
      </c>
    </row>
    <row r="462" spans="1:25" x14ac:dyDescent="0.25">
      <c r="A462" t="str">
        <f t="shared" si="7"/>
        <v>RTD Ice TeaFranceDecemberEUR (€)Fully-AutomatedOldCan0.33High-scaleHigh</v>
      </c>
      <c r="B462" t="s">
        <v>130</v>
      </c>
      <c r="C462" t="s">
        <v>130</v>
      </c>
      <c r="D462" t="s">
        <v>15</v>
      </c>
      <c r="E462" s="12" t="s">
        <v>182</v>
      </c>
      <c r="F462" t="s">
        <v>187</v>
      </c>
      <c r="G462" t="s">
        <v>12</v>
      </c>
      <c r="H462" t="s">
        <v>72</v>
      </c>
      <c r="I462" t="s">
        <v>125</v>
      </c>
      <c r="J462" s="12">
        <v>0.33</v>
      </c>
      <c r="K462" t="s">
        <v>107</v>
      </c>
      <c r="L462" t="s">
        <v>11</v>
      </c>
      <c r="M462" t="s">
        <v>200</v>
      </c>
      <c r="O462" t="s">
        <v>197</v>
      </c>
      <c r="P462">
        <v>4</v>
      </c>
      <c r="Q462" t="s">
        <v>198</v>
      </c>
      <c r="R462" s="6">
        <v>0.51837092133455764</v>
      </c>
      <c r="S462" s="6">
        <v>11.628107235398311</v>
      </c>
      <c r="T462" s="6">
        <v>7.2771757859391144</v>
      </c>
      <c r="U462" s="6">
        <v>64.812412066566324</v>
      </c>
      <c r="V462" s="6">
        <v>0.38186394746943597</v>
      </c>
      <c r="W462" s="6">
        <v>12.307163037048705</v>
      </c>
      <c r="X462" s="6">
        <v>5.8856769595668936</v>
      </c>
      <c r="Y462" s="6">
        <v>57.647543627219328</v>
      </c>
    </row>
    <row r="463" spans="1:25" x14ac:dyDescent="0.25">
      <c r="A463" t="str">
        <f t="shared" si="7"/>
        <v>RTD Ice TeaFranceDecemberEUR (€)Fully-AutomatedOldCan0.33Medium-scaleLow</v>
      </c>
      <c r="B463" t="s">
        <v>130</v>
      </c>
      <c r="C463" t="s">
        <v>130</v>
      </c>
      <c r="D463" t="s">
        <v>15</v>
      </c>
      <c r="E463" s="12" t="s">
        <v>182</v>
      </c>
      <c r="F463" t="s">
        <v>187</v>
      </c>
      <c r="G463" t="s">
        <v>12</v>
      </c>
      <c r="H463" t="s">
        <v>72</v>
      </c>
      <c r="I463" t="s">
        <v>125</v>
      </c>
      <c r="J463" s="12">
        <v>0.33</v>
      </c>
      <c r="K463" t="s">
        <v>62</v>
      </c>
      <c r="L463" t="s">
        <v>13</v>
      </c>
      <c r="M463" t="s">
        <v>200</v>
      </c>
      <c r="O463" t="s">
        <v>197</v>
      </c>
      <c r="P463">
        <v>4</v>
      </c>
      <c r="Q463" t="s">
        <v>198</v>
      </c>
      <c r="R463" s="6">
        <v>0.48118622532848115</v>
      </c>
      <c r="S463" s="6">
        <v>10.790776633549212</v>
      </c>
      <c r="T463" s="6">
        <v>6.754345864998923</v>
      </c>
      <c r="U463" s="6">
        <v>60.156076964856823</v>
      </c>
      <c r="V463" s="6">
        <v>0.35469468574143437</v>
      </c>
      <c r="W463" s="6">
        <v>11.43823653364869</v>
      </c>
      <c r="X463" s="6">
        <v>5.4703348342180922</v>
      </c>
      <c r="Y463" s="6">
        <v>53.579030990341089</v>
      </c>
    </row>
    <row r="464" spans="1:25" x14ac:dyDescent="0.25">
      <c r="A464" t="str">
        <f t="shared" si="7"/>
        <v>RTD Ice TeaFranceDecemberEUR (€)Fully-AutomatedOldCan0.33Medium-scaleMedium</v>
      </c>
      <c r="B464" t="s">
        <v>130</v>
      </c>
      <c r="C464" t="s">
        <v>130</v>
      </c>
      <c r="D464" t="s">
        <v>15</v>
      </c>
      <c r="E464" s="12" t="s">
        <v>182</v>
      </c>
      <c r="F464" t="s">
        <v>187</v>
      </c>
      <c r="G464" t="s">
        <v>12</v>
      </c>
      <c r="H464" t="s">
        <v>72</v>
      </c>
      <c r="I464" t="s">
        <v>125</v>
      </c>
      <c r="J464" s="12">
        <v>0.33</v>
      </c>
      <c r="K464" t="s">
        <v>62</v>
      </c>
      <c r="L464" t="s">
        <v>63</v>
      </c>
      <c r="M464" t="s">
        <v>200</v>
      </c>
      <c r="O464" t="s">
        <v>197</v>
      </c>
      <c r="P464">
        <v>4</v>
      </c>
      <c r="Q464" t="s">
        <v>198</v>
      </c>
      <c r="R464" s="6">
        <v>0.49951341503614233</v>
      </c>
      <c r="S464" s="6">
        <v>11.202244480878738</v>
      </c>
      <c r="T464" s="6">
        <v>7.0117221141665027</v>
      </c>
      <c r="U464" s="6">
        <v>62.448322911928379</v>
      </c>
      <c r="V464" s="6">
        <v>0.36816172105161388</v>
      </c>
      <c r="W464" s="6">
        <v>11.871262524759766</v>
      </c>
      <c r="X464" s="6">
        <v>5.6772575885400993</v>
      </c>
      <c r="Y464" s="6">
        <v>55.605995949069168</v>
      </c>
    </row>
    <row r="465" spans="1:25" x14ac:dyDescent="0.25">
      <c r="A465" t="str">
        <f t="shared" si="7"/>
        <v>RTD Ice TeaFranceDecemberEUR (€)Fully-AutomatedOldCan0.33Medium-scaleHigh</v>
      </c>
      <c r="B465" t="s">
        <v>130</v>
      </c>
      <c r="C465" t="s">
        <v>130</v>
      </c>
      <c r="D465" t="s">
        <v>15</v>
      </c>
      <c r="E465" s="12" t="s">
        <v>182</v>
      </c>
      <c r="F465" t="s">
        <v>187</v>
      </c>
      <c r="G465" t="s">
        <v>12</v>
      </c>
      <c r="H465" t="s">
        <v>72</v>
      </c>
      <c r="I465" t="s">
        <v>125</v>
      </c>
      <c r="J465" s="12">
        <v>0.33</v>
      </c>
      <c r="K465" t="s">
        <v>62</v>
      </c>
      <c r="L465" t="s">
        <v>11</v>
      </c>
      <c r="M465" t="s">
        <v>200</v>
      </c>
      <c r="O465" t="s">
        <v>197</v>
      </c>
      <c r="P465">
        <v>4</v>
      </c>
      <c r="Q465" t="s">
        <v>198</v>
      </c>
      <c r="R465" s="6">
        <v>0.51930677992041618</v>
      </c>
      <c r="S465" s="6">
        <v>11.646629755994624</v>
      </c>
      <c r="T465" s="6">
        <v>7.2896884632674865</v>
      </c>
      <c r="U465" s="6">
        <v>64.923948534765628</v>
      </c>
      <c r="V465" s="6">
        <v>0.38270611918660763</v>
      </c>
      <c r="W465" s="6">
        <v>12.338930595159731</v>
      </c>
      <c r="X465" s="6">
        <v>5.9007341632078703</v>
      </c>
      <c r="Y465" s="6">
        <v>57.795118104495479</v>
      </c>
    </row>
    <row r="466" spans="1:25" x14ac:dyDescent="0.25">
      <c r="A466" t="str">
        <f t="shared" si="7"/>
        <v>RTD Ice TeaFranceDecemberEUR (€)Fully-AutomatedOldCan0.33Small-scaleLow</v>
      </c>
      <c r="B466" t="s">
        <v>130</v>
      </c>
      <c r="C466" t="s">
        <v>130</v>
      </c>
      <c r="D466" t="s">
        <v>15</v>
      </c>
      <c r="E466" s="12" t="s">
        <v>182</v>
      </c>
      <c r="F466" t="s">
        <v>187</v>
      </c>
      <c r="G466" t="s">
        <v>12</v>
      </c>
      <c r="H466" t="s">
        <v>72</v>
      </c>
      <c r="I466" t="s">
        <v>125</v>
      </c>
      <c r="J466" s="12">
        <v>0.33</v>
      </c>
      <c r="K466" t="s">
        <v>60</v>
      </c>
      <c r="L466" t="s">
        <v>13</v>
      </c>
      <c r="M466" t="s">
        <v>200</v>
      </c>
      <c r="O466" t="s">
        <v>197</v>
      </c>
      <c r="P466">
        <v>4</v>
      </c>
      <c r="Q466" t="s">
        <v>198</v>
      </c>
      <c r="R466" s="6">
        <v>0.48274598963824539</v>
      </c>
      <c r="S466" s="6">
        <v>10.821647501209734</v>
      </c>
      <c r="T466" s="6">
        <v>6.7752003272128798</v>
      </c>
      <c r="U466" s="6">
        <v>60.341971078522313</v>
      </c>
      <c r="V466" s="6">
        <v>0.35609830527005393</v>
      </c>
      <c r="W466" s="6">
        <v>11.491182463833729</v>
      </c>
      <c r="X466" s="6">
        <v>5.4954301736197184</v>
      </c>
      <c r="Y466" s="6">
        <v>53.824988452467991</v>
      </c>
    </row>
    <row r="467" spans="1:25" x14ac:dyDescent="0.25">
      <c r="A467" t="str">
        <f t="shared" si="7"/>
        <v>RTD Ice TeaFranceDecemberEUR (€)Fully-AutomatedOldCan0.33Small-scaleMedium</v>
      </c>
      <c r="B467" t="s">
        <v>130</v>
      </c>
      <c r="C467" t="s">
        <v>130</v>
      </c>
      <c r="D467" t="s">
        <v>15</v>
      </c>
      <c r="E467" s="12" t="s">
        <v>182</v>
      </c>
      <c r="F467" t="s">
        <v>187</v>
      </c>
      <c r="G467" t="s">
        <v>12</v>
      </c>
      <c r="H467" t="s">
        <v>72</v>
      </c>
      <c r="I467" t="s">
        <v>125</v>
      </c>
      <c r="J467" s="12">
        <v>0.33</v>
      </c>
      <c r="K467" t="s">
        <v>60</v>
      </c>
      <c r="L467" t="s">
        <v>63</v>
      </c>
      <c r="M467" t="s">
        <v>200</v>
      </c>
      <c r="O467" t="s">
        <v>197</v>
      </c>
      <c r="P467">
        <v>4</v>
      </c>
      <c r="Q467" t="s">
        <v>198</v>
      </c>
      <c r="R467" s="6">
        <v>0.50107317934590667</v>
      </c>
      <c r="S467" s="6">
        <v>11.233115348539258</v>
      </c>
      <c r="T467" s="6">
        <v>7.0325765763804586</v>
      </c>
      <c r="U467" s="6">
        <v>62.634217025593884</v>
      </c>
      <c r="V467" s="6">
        <v>0.36956534058023344</v>
      </c>
      <c r="W467" s="6">
        <v>11.924208454944804</v>
      </c>
      <c r="X467" s="6">
        <v>5.7023529279417255</v>
      </c>
      <c r="Y467" s="6">
        <v>55.851953411196071</v>
      </c>
    </row>
    <row r="468" spans="1:25" x14ac:dyDescent="0.25">
      <c r="A468" t="str">
        <f t="shared" si="7"/>
        <v>RTD Ice TeaFranceDecemberEUR (€)Fully-AutomatedOldCan0.33Small-scaleHigh</v>
      </c>
      <c r="B468" t="s">
        <v>130</v>
      </c>
      <c r="C468" t="s">
        <v>130</v>
      </c>
      <c r="D468" t="s">
        <v>15</v>
      </c>
      <c r="E468" s="12" t="s">
        <v>182</v>
      </c>
      <c r="F468" t="s">
        <v>187</v>
      </c>
      <c r="G468" t="s">
        <v>12</v>
      </c>
      <c r="H468" t="s">
        <v>72</v>
      </c>
      <c r="I468" t="s">
        <v>125</v>
      </c>
      <c r="J468" s="12">
        <v>0.33</v>
      </c>
      <c r="K468" t="s">
        <v>60</v>
      </c>
      <c r="L468" t="s">
        <v>11</v>
      </c>
      <c r="M468" t="s">
        <v>200</v>
      </c>
      <c r="O468" t="s">
        <v>197</v>
      </c>
      <c r="P468">
        <v>4</v>
      </c>
      <c r="Q468" t="s">
        <v>198</v>
      </c>
      <c r="R468" s="6">
        <v>0.52086654423018053</v>
      </c>
      <c r="S468" s="6">
        <v>11.677500623655146</v>
      </c>
      <c r="T468" s="6">
        <v>7.3105429254814434</v>
      </c>
      <c r="U468" s="6">
        <v>65.10984264843114</v>
      </c>
      <c r="V468" s="6">
        <v>0.38410973871522713</v>
      </c>
      <c r="W468" s="6">
        <v>12.391876525344768</v>
      </c>
      <c r="X468" s="6">
        <v>5.9258295026094947</v>
      </c>
      <c r="Y468" s="6">
        <v>58.041075566622382</v>
      </c>
    </row>
    <row r="469" spans="1:25" x14ac:dyDescent="0.25">
      <c r="A469" t="str">
        <f t="shared" si="7"/>
        <v>RTD Ice TeaFranceDecemberEUR (€)Fully-AutomatedOldCan0.33High-scaleLow</v>
      </c>
      <c r="B469" t="s">
        <v>130</v>
      </c>
      <c r="C469" t="s">
        <v>130</v>
      </c>
      <c r="D469" t="s">
        <v>15</v>
      </c>
      <c r="E469" s="12" t="s">
        <v>182</v>
      </c>
      <c r="F469" t="s">
        <v>187</v>
      </c>
      <c r="G469" t="s">
        <v>12</v>
      </c>
      <c r="H469" t="s">
        <v>72</v>
      </c>
      <c r="I469" t="s">
        <v>125</v>
      </c>
      <c r="J469" s="12">
        <v>0.33</v>
      </c>
      <c r="K469" t="s">
        <v>107</v>
      </c>
      <c r="L469" t="s">
        <v>13</v>
      </c>
      <c r="M469" t="s">
        <v>199</v>
      </c>
      <c r="O469" t="s">
        <v>197</v>
      </c>
      <c r="P469">
        <v>6</v>
      </c>
      <c r="Q469" t="s">
        <v>201</v>
      </c>
      <c r="R469" s="6">
        <v>0.48025036674262261</v>
      </c>
      <c r="S469" s="6">
        <v>10.772254112952902</v>
      </c>
      <c r="T469" s="6">
        <v>6.7418331876705491</v>
      </c>
      <c r="U469" s="6">
        <v>60.044540496657511</v>
      </c>
      <c r="V469" s="6">
        <v>0.31715861200293749</v>
      </c>
      <c r="W469" s="6">
        <v>10.427276387840712</v>
      </c>
      <c r="X469" s="6">
        <v>4.9404705909856474</v>
      </c>
      <c r="Y469" s="6">
        <v>48.450250780296628</v>
      </c>
    </row>
    <row r="470" spans="1:25" x14ac:dyDescent="0.25">
      <c r="A470" t="str">
        <f t="shared" si="7"/>
        <v>RTD Ice TeaFranceDecemberEUR (€)Fully-AutomatedOldCan0.33High-scaleMedium</v>
      </c>
      <c r="B470" t="s">
        <v>130</v>
      </c>
      <c r="C470" t="s">
        <v>130</v>
      </c>
      <c r="D470" t="s">
        <v>15</v>
      </c>
      <c r="E470" s="12" t="s">
        <v>182</v>
      </c>
      <c r="F470" t="s">
        <v>187</v>
      </c>
      <c r="G470" t="s">
        <v>12</v>
      </c>
      <c r="H470" t="s">
        <v>72</v>
      </c>
      <c r="I470" t="s">
        <v>125</v>
      </c>
      <c r="J470" s="12">
        <v>0.33</v>
      </c>
      <c r="K470" t="s">
        <v>107</v>
      </c>
      <c r="L470" t="s">
        <v>63</v>
      </c>
      <c r="M470" t="s">
        <v>199</v>
      </c>
      <c r="O470" t="s">
        <v>197</v>
      </c>
      <c r="P470">
        <v>6</v>
      </c>
      <c r="Q470" t="s">
        <v>201</v>
      </c>
      <c r="R470" s="6">
        <v>0.49857755645028368</v>
      </c>
      <c r="S470" s="6">
        <v>11.183721960282426</v>
      </c>
      <c r="T470" s="6">
        <v>6.9992094368381288</v>
      </c>
      <c r="U470" s="6">
        <v>62.336786443729054</v>
      </c>
      <c r="V470" s="6">
        <v>0.3292143433892199</v>
      </c>
      <c r="W470" s="6">
        <v>10.82264112557883</v>
      </c>
      <c r="X470" s="6">
        <v>5.127593074554138</v>
      </c>
      <c r="Y470" s="6">
        <v>50.285630903149013</v>
      </c>
    </row>
    <row r="471" spans="1:25" x14ac:dyDescent="0.25">
      <c r="A471" t="str">
        <f t="shared" si="7"/>
        <v>RTD Ice TeaFranceDecemberEUR (€)Fully-AutomatedOldCan0.33High-scaleHigh</v>
      </c>
      <c r="B471" t="s">
        <v>130</v>
      </c>
      <c r="C471" t="s">
        <v>130</v>
      </c>
      <c r="D471" t="s">
        <v>15</v>
      </c>
      <c r="E471" s="12" t="s">
        <v>182</v>
      </c>
      <c r="F471" t="s">
        <v>187</v>
      </c>
      <c r="G471" t="s">
        <v>12</v>
      </c>
      <c r="H471" t="s">
        <v>72</v>
      </c>
      <c r="I471" t="s">
        <v>125</v>
      </c>
      <c r="J471" s="12">
        <v>0.33</v>
      </c>
      <c r="K471" t="s">
        <v>107</v>
      </c>
      <c r="L471" t="s">
        <v>11</v>
      </c>
      <c r="M471" t="s">
        <v>199</v>
      </c>
      <c r="O471" t="s">
        <v>197</v>
      </c>
      <c r="P471">
        <v>6</v>
      </c>
      <c r="Q471" t="s">
        <v>201</v>
      </c>
      <c r="R471" s="6">
        <v>0.51837092133455764</v>
      </c>
      <c r="S471" s="6">
        <v>11.628107235398311</v>
      </c>
      <c r="T471" s="6">
        <v>7.2771757859391144</v>
      </c>
      <c r="U471" s="6">
        <v>64.812412066566324</v>
      </c>
      <c r="V471" s="6">
        <v>0.3422345332864048</v>
      </c>
      <c r="W471" s="6">
        <v>11.249635042335994</v>
      </c>
      <c r="X471" s="6">
        <v>5.3296853568081088</v>
      </c>
      <c r="Y471" s="6">
        <v>52.26784143582956</v>
      </c>
    </row>
    <row r="472" spans="1:25" x14ac:dyDescent="0.25">
      <c r="A472" t="str">
        <f t="shared" si="7"/>
        <v>RTD Ice TeaFranceDecemberEUR (€)Fully-AutomatedOldCan0.33Medium-scaleLow</v>
      </c>
      <c r="B472" t="s">
        <v>130</v>
      </c>
      <c r="C472" t="s">
        <v>130</v>
      </c>
      <c r="D472" t="s">
        <v>15</v>
      </c>
      <c r="E472" s="12" t="s">
        <v>182</v>
      </c>
      <c r="F472" t="s">
        <v>187</v>
      </c>
      <c r="G472" t="s">
        <v>12</v>
      </c>
      <c r="H472" t="s">
        <v>72</v>
      </c>
      <c r="I472" t="s">
        <v>125</v>
      </c>
      <c r="J472" s="12">
        <v>0.33</v>
      </c>
      <c r="K472" t="s">
        <v>62</v>
      </c>
      <c r="L472" t="s">
        <v>13</v>
      </c>
      <c r="M472" t="s">
        <v>199</v>
      </c>
      <c r="O472" t="s">
        <v>197</v>
      </c>
      <c r="P472">
        <v>6</v>
      </c>
      <c r="Q472" t="s">
        <v>201</v>
      </c>
      <c r="R472" s="6">
        <v>0.48118622532848115</v>
      </c>
      <c r="S472" s="6">
        <v>10.790776633549212</v>
      </c>
      <c r="T472" s="6">
        <v>6.754345864998923</v>
      </c>
      <c r="U472" s="6">
        <v>60.156076964856823</v>
      </c>
      <c r="V472" s="6">
        <v>0.31800078372010926</v>
      </c>
      <c r="W472" s="6">
        <v>10.459043945951736</v>
      </c>
      <c r="X472" s="6">
        <v>4.9555277946266241</v>
      </c>
      <c r="Y472" s="6">
        <v>48.597825257572779</v>
      </c>
    </row>
    <row r="473" spans="1:25" x14ac:dyDescent="0.25">
      <c r="A473" t="str">
        <f t="shared" si="7"/>
        <v>RTD Ice TeaFranceDecemberEUR (€)Fully-AutomatedOldCan0.33Medium-scaleMedium</v>
      </c>
      <c r="B473" t="s">
        <v>130</v>
      </c>
      <c r="C473" t="s">
        <v>130</v>
      </c>
      <c r="D473" t="s">
        <v>15</v>
      </c>
      <c r="E473" s="12" t="s">
        <v>182</v>
      </c>
      <c r="F473" t="s">
        <v>187</v>
      </c>
      <c r="G473" t="s">
        <v>12</v>
      </c>
      <c r="H473" t="s">
        <v>72</v>
      </c>
      <c r="I473" t="s">
        <v>125</v>
      </c>
      <c r="J473" s="12">
        <v>0.33</v>
      </c>
      <c r="K473" t="s">
        <v>62</v>
      </c>
      <c r="L473" t="s">
        <v>63</v>
      </c>
      <c r="M473" t="s">
        <v>199</v>
      </c>
      <c r="O473" t="s">
        <v>197</v>
      </c>
      <c r="P473">
        <v>6</v>
      </c>
      <c r="Q473" t="s">
        <v>201</v>
      </c>
      <c r="R473" s="6">
        <v>0.49951341503614233</v>
      </c>
      <c r="S473" s="6">
        <v>11.202244480878738</v>
      </c>
      <c r="T473" s="6">
        <v>7.0117221141665027</v>
      </c>
      <c r="U473" s="6">
        <v>62.448322911928379</v>
      </c>
      <c r="V473" s="6">
        <v>0.33005651510639161</v>
      </c>
      <c r="W473" s="6">
        <v>10.854408683689854</v>
      </c>
      <c r="X473" s="6">
        <v>5.1426502781951147</v>
      </c>
      <c r="Y473" s="6">
        <v>50.433205380425164</v>
      </c>
    </row>
    <row r="474" spans="1:25" x14ac:dyDescent="0.25">
      <c r="A474" t="str">
        <f t="shared" si="7"/>
        <v>RTD Ice TeaFranceDecemberEUR (€)Fully-AutomatedOldCan0.33Medium-scaleHigh</v>
      </c>
      <c r="B474" t="s">
        <v>130</v>
      </c>
      <c r="C474" t="s">
        <v>130</v>
      </c>
      <c r="D474" t="s">
        <v>15</v>
      </c>
      <c r="E474" s="12" t="s">
        <v>182</v>
      </c>
      <c r="F474" t="s">
        <v>187</v>
      </c>
      <c r="G474" t="s">
        <v>12</v>
      </c>
      <c r="H474" t="s">
        <v>72</v>
      </c>
      <c r="I474" t="s">
        <v>125</v>
      </c>
      <c r="J474" s="12">
        <v>0.33</v>
      </c>
      <c r="K474" t="s">
        <v>62</v>
      </c>
      <c r="L474" t="s">
        <v>11</v>
      </c>
      <c r="M474" t="s">
        <v>199</v>
      </c>
      <c r="O474" t="s">
        <v>197</v>
      </c>
      <c r="P474">
        <v>6</v>
      </c>
      <c r="Q474" t="s">
        <v>201</v>
      </c>
      <c r="R474" s="6">
        <v>0.51930677992041618</v>
      </c>
      <c r="S474" s="6">
        <v>11.646629755994624</v>
      </c>
      <c r="T474" s="6">
        <v>7.2896884632674865</v>
      </c>
      <c r="U474" s="6">
        <v>64.923948534765628</v>
      </c>
      <c r="V474" s="6">
        <v>0.34307670500357651</v>
      </c>
      <c r="W474" s="6">
        <v>11.28140260044702</v>
      </c>
      <c r="X474" s="6">
        <v>5.3447425604490846</v>
      </c>
      <c r="Y474" s="6">
        <v>52.415415913105704</v>
      </c>
    </row>
    <row r="475" spans="1:25" x14ac:dyDescent="0.25">
      <c r="A475" t="str">
        <f t="shared" si="7"/>
        <v>RTD Ice TeaFranceDecemberEUR (€)Fully-AutomatedOldCan0.33Small-scaleLow</v>
      </c>
      <c r="B475" t="s">
        <v>130</v>
      </c>
      <c r="C475" t="s">
        <v>130</v>
      </c>
      <c r="D475" t="s">
        <v>15</v>
      </c>
      <c r="E475" s="12" t="s">
        <v>182</v>
      </c>
      <c r="F475" t="s">
        <v>187</v>
      </c>
      <c r="G475" t="s">
        <v>12</v>
      </c>
      <c r="H475" t="s">
        <v>72</v>
      </c>
      <c r="I475" t="s">
        <v>125</v>
      </c>
      <c r="J475" s="12">
        <v>0.33</v>
      </c>
      <c r="K475" t="s">
        <v>60</v>
      </c>
      <c r="L475" t="s">
        <v>13</v>
      </c>
      <c r="M475" t="s">
        <v>199</v>
      </c>
      <c r="O475" t="s">
        <v>197</v>
      </c>
      <c r="P475">
        <v>6</v>
      </c>
      <c r="Q475" t="s">
        <v>201</v>
      </c>
      <c r="R475" s="6">
        <v>0.48274598963824539</v>
      </c>
      <c r="S475" s="6">
        <v>10.821647501209734</v>
      </c>
      <c r="T475" s="6">
        <v>6.7752003272128798</v>
      </c>
      <c r="U475" s="6">
        <v>60.341971078522313</v>
      </c>
      <c r="V475" s="6">
        <v>0.31940440324872871</v>
      </c>
      <c r="W475" s="6">
        <v>10.511989876136774</v>
      </c>
      <c r="X475" s="6">
        <v>4.9806231340282494</v>
      </c>
      <c r="Y475" s="6">
        <v>48.843782719699689</v>
      </c>
    </row>
    <row r="476" spans="1:25" x14ac:dyDescent="0.25">
      <c r="A476" t="str">
        <f t="shared" si="7"/>
        <v>RTD Ice TeaFranceDecemberEUR (€)Fully-AutomatedOldCan0.33Small-scaleMedium</v>
      </c>
      <c r="B476" t="s">
        <v>130</v>
      </c>
      <c r="C476" t="s">
        <v>130</v>
      </c>
      <c r="D476" t="s">
        <v>15</v>
      </c>
      <c r="E476" s="12" t="s">
        <v>182</v>
      </c>
      <c r="F476" t="s">
        <v>187</v>
      </c>
      <c r="G476" t="s">
        <v>12</v>
      </c>
      <c r="H476" t="s">
        <v>72</v>
      </c>
      <c r="I476" t="s">
        <v>125</v>
      </c>
      <c r="J476" s="12">
        <v>0.33</v>
      </c>
      <c r="K476" t="s">
        <v>60</v>
      </c>
      <c r="L476" t="s">
        <v>63</v>
      </c>
      <c r="M476" t="s">
        <v>199</v>
      </c>
      <c r="O476" t="s">
        <v>197</v>
      </c>
      <c r="P476">
        <v>6</v>
      </c>
      <c r="Q476" t="s">
        <v>201</v>
      </c>
      <c r="R476" s="6">
        <v>0.50107317934590667</v>
      </c>
      <c r="S476" s="6">
        <v>11.233115348539258</v>
      </c>
      <c r="T476" s="6">
        <v>7.0325765763804586</v>
      </c>
      <c r="U476" s="6">
        <v>62.634217025593884</v>
      </c>
      <c r="V476" s="6">
        <v>0.33146013463501117</v>
      </c>
      <c r="W476" s="6">
        <v>10.907354613874892</v>
      </c>
      <c r="X476" s="6">
        <v>5.1677456175967409</v>
      </c>
      <c r="Y476" s="6">
        <v>50.67916284255206</v>
      </c>
    </row>
    <row r="477" spans="1:25" x14ac:dyDescent="0.25">
      <c r="A477" t="str">
        <f t="shared" si="7"/>
        <v>RTD Ice TeaFranceDecemberEUR (€)Fully-AutomatedOldCan0.33Small-scaleHigh</v>
      </c>
      <c r="B477" t="s">
        <v>130</v>
      </c>
      <c r="C477" t="s">
        <v>130</v>
      </c>
      <c r="D477" t="s">
        <v>15</v>
      </c>
      <c r="E477" s="12" t="s">
        <v>182</v>
      </c>
      <c r="F477" t="s">
        <v>187</v>
      </c>
      <c r="G477" t="s">
        <v>12</v>
      </c>
      <c r="H477" t="s">
        <v>72</v>
      </c>
      <c r="I477" t="s">
        <v>125</v>
      </c>
      <c r="J477" s="12">
        <v>0.33</v>
      </c>
      <c r="K477" t="s">
        <v>60</v>
      </c>
      <c r="L477" t="s">
        <v>11</v>
      </c>
      <c r="M477" t="s">
        <v>199</v>
      </c>
      <c r="O477" t="s">
        <v>197</v>
      </c>
      <c r="P477">
        <v>6</v>
      </c>
      <c r="Q477" t="s">
        <v>201</v>
      </c>
      <c r="R477" s="6">
        <v>0.52086654423018053</v>
      </c>
      <c r="S477" s="6">
        <v>11.677500623655146</v>
      </c>
      <c r="T477" s="6">
        <v>7.3105429254814434</v>
      </c>
      <c r="U477" s="6">
        <v>65.10984264843114</v>
      </c>
      <c r="V477" s="6">
        <v>0.34448032453219601</v>
      </c>
      <c r="W477" s="6">
        <v>11.334348530632059</v>
      </c>
      <c r="X477" s="6">
        <v>5.3698378998507108</v>
      </c>
      <c r="Y477" s="6">
        <v>52.661373375232607</v>
      </c>
    </row>
    <row r="478" spans="1:25" x14ac:dyDescent="0.25">
      <c r="A478" t="str">
        <f t="shared" si="7"/>
        <v>RTD Ice TeaFranceDecemberEUR (€)Fully-AutomatedOldCan0.33High-scaleLow</v>
      </c>
      <c r="B478" t="s">
        <v>130</v>
      </c>
      <c r="C478" t="s">
        <v>130</v>
      </c>
      <c r="D478" t="s">
        <v>15</v>
      </c>
      <c r="E478" s="12" t="s">
        <v>182</v>
      </c>
      <c r="F478" t="s">
        <v>187</v>
      </c>
      <c r="G478" t="s">
        <v>12</v>
      </c>
      <c r="H478" t="s">
        <v>72</v>
      </c>
      <c r="I478" t="s">
        <v>125</v>
      </c>
      <c r="J478" s="12">
        <v>0.33</v>
      </c>
      <c r="K478" t="s">
        <v>107</v>
      </c>
      <c r="L478" t="s">
        <v>13</v>
      </c>
      <c r="M478" t="s">
        <v>200</v>
      </c>
      <c r="O478" t="s">
        <v>197</v>
      </c>
      <c r="P478">
        <v>6</v>
      </c>
      <c r="Q478" t="s">
        <v>201</v>
      </c>
      <c r="R478" s="6">
        <v>0.48025036674262261</v>
      </c>
      <c r="S478" s="6">
        <v>10.772254112952902</v>
      </c>
      <c r="T478" s="6">
        <v>6.7418331876705491</v>
      </c>
      <c r="U478" s="6">
        <v>60.044540496657511</v>
      </c>
      <c r="V478" s="6">
        <v>0.31715861200293749</v>
      </c>
      <c r="W478" s="6">
        <v>10.427276387840712</v>
      </c>
      <c r="X478" s="6">
        <v>4.9404705909856474</v>
      </c>
      <c r="Y478" s="6">
        <v>48.450250780296628</v>
      </c>
    </row>
    <row r="479" spans="1:25" x14ac:dyDescent="0.25">
      <c r="A479" t="str">
        <f t="shared" si="7"/>
        <v>RTD Ice TeaFranceDecemberEUR (€)Fully-AutomatedOldCan0.33High-scaleMedium</v>
      </c>
      <c r="B479" t="s">
        <v>130</v>
      </c>
      <c r="C479" t="s">
        <v>130</v>
      </c>
      <c r="D479" t="s">
        <v>15</v>
      </c>
      <c r="E479" s="12" t="s">
        <v>182</v>
      </c>
      <c r="F479" t="s">
        <v>187</v>
      </c>
      <c r="G479" t="s">
        <v>12</v>
      </c>
      <c r="H479" t="s">
        <v>72</v>
      </c>
      <c r="I479" t="s">
        <v>125</v>
      </c>
      <c r="J479" s="12">
        <v>0.33</v>
      </c>
      <c r="K479" t="s">
        <v>107</v>
      </c>
      <c r="L479" t="s">
        <v>63</v>
      </c>
      <c r="M479" t="s">
        <v>200</v>
      </c>
      <c r="O479" t="s">
        <v>197</v>
      </c>
      <c r="P479">
        <v>6</v>
      </c>
      <c r="Q479" t="s">
        <v>201</v>
      </c>
      <c r="R479" s="6">
        <v>0.49857755645028368</v>
      </c>
      <c r="S479" s="6">
        <v>11.183721960282426</v>
      </c>
      <c r="T479" s="6">
        <v>6.9992094368381288</v>
      </c>
      <c r="U479" s="6">
        <v>62.336786443729054</v>
      </c>
      <c r="V479" s="6">
        <v>0.3292143433892199</v>
      </c>
      <c r="W479" s="6">
        <v>10.82264112557883</v>
      </c>
      <c r="X479" s="6">
        <v>5.127593074554138</v>
      </c>
      <c r="Y479" s="6">
        <v>50.285630903149013</v>
      </c>
    </row>
    <row r="480" spans="1:25" x14ac:dyDescent="0.25">
      <c r="A480" t="str">
        <f t="shared" si="7"/>
        <v>RTD Ice TeaFranceDecemberEUR (€)Fully-AutomatedOldCan0.33High-scaleHigh</v>
      </c>
      <c r="B480" t="s">
        <v>130</v>
      </c>
      <c r="C480" t="s">
        <v>130</v>
      </c>
      <c r="D480" t="s">
        <v>15</v>
      </c>
      <c r="E480" s="12" t="s">
        <v>182</v>
      </c>
      <c r="F480" t="s">
        <v>187</v>
      </c>
      <c r="G480" t="s">
        <v>12</v>
      </c>
      <c r="H480" t="s">
        <v>72</v>
      </c>
      <c r="I480" t="s">
        <v>125</v>
      </c>
      <c r="J480" s="12">
        <v>0.33</v>
      </c>
      <c r="K480" t="s">
        <v>107</v>
      </c>
      <c r="L480" t="s">
        <v>11</v>
      </c>
      <c r="M480" t="s">
        <v>200</v>
      </c>
      <c r="O480" t="s">
        <v>197</v>
      </c>
      <c r="P480">
        <v>6</v>
      </c>
      <c r="Q480" t="s">
        <v>201</v>
      </c>
      <c r="R480" s="6">
        <v>0.51837092133455764</v>
      </c>
      <c r="S480" s="6">
        <v>11.628107235398311</v>
      </c>
      <c r="T480" s="6">
        <v>7.2771757859391144</v>
      </c>
      <c r="U480" s="6">
        <v>64.812412066566324</v>
      </c>
      <c r="V480" s="6">
        <v>0.3422345332864048</v>
      </c>
      <c r="W480" s="6">
        <v>11.249635042335994</v>
      </c>
      <c r="X480" s="6">
        <v>5.3296853568081088</v>
      </c>
      <c r="Y480" s="6">
        <v>52.26784143582956</v>
      </c>
    </row>
    <row r="481" spans="1:25" x14ac:dyDescent="0.25">
      <c r="A481" t="str">
        <f t="shared" si="7"/>
        <v>RTD Ice TeaFranceDecemberEUR (€)Fully-AutomatedOldCan0.33Medium-scaleLow</v>
      </c>
      <c r="B481" t="s">
        <v>130</v>
      </c>
      <c r="C481" t="s">
        <v>130</v>
      </c>
      <c r="D481" t="s">
        <v>15</v>
      </c>
      <c r="E481" s="12" t="s">
        <v>182</v>
      </c>
      <c r="F481" t="s">
        <v>187</v>
      </c>
      <c r="G481" t="s">
        <v>12</v>
      </c>
      <c r="H481" t="s">
        <v>72</v>
      </c>
      <c r="I481" t="s">
        <v>125</v>
      </c>
      <c r="J481" s="12">
        <v>0.33</v>
      </c>
      <c r="K481" t="s">
        <v>62</v>
      </c>
      <c r="L481" t="s">
        <v>13</v>
      </c>
      <c r="M481" t="s">
        <v>200</v>
      </c>
      <c r="O481" t="s">
        <v>197</v>
      </c>
      <c r="P481">
        <v>6</v>
      </c>
      <c r="Q481" t="s">
        <v>201</v>
      </c>
      <c r="R481" s="6">
        <v>0.48118622532848115</v>
      </c>
      <c r="S481" s="6">
        <v>10.790776633549212</v>
      </c>
      <c r="T481" s="6">
        <v>6.754345864998923</v>
      </c>
      <c r="U481" s="6">
        <v>60.156076964856823</v>
      </c>
      <c r="V481" s="6">
        <v>0.31800078372010926</v>
      </c>
      <c r="W481" s="6">
        <v>10.459043945951736</v>
      </c>
      <c r="X481" s="6">
        <v>4.9555277946266241</v>
      </c>
      <c r="Y481" s="6">
        <v>48.597825257572779</v>
      </c>
    </row>
    <row r="482" spans="1:25" x14ac:dyDescent="0.25">
      <c r="A482" t="str">
        <f t="shared" si="7"/>
        <v>RTD Ice TeaFranceDecemberEUR (€)Fully-AutomatedOldCan0.33Medium-scaleMedium</v>
      </c>
      <c r="B482" t="s">
        <v>130</v>
      </c>
      <c r="C482" t="s">
        <v>130</v>
      </c>
      <c r="D482" t="s">
        <v>15</v>
      </c>
      <c r="E482" s="12" t="s">
        <v>182</v>
      </c>
      <c r="F482" t="s">
        <v>187</v>
      </c>
      <c r="G482" t="s">
        <v>12</v>
      </c>
      <c r="H482" t="s">
        <v>72</v>
      </c>
      <c r="I482" t="s">
        <v>125</v>
      </c>
      <c r="J482" s="12">
        <v>0.33</v>
      </c>
      <c r="K482" t="s">
        <v>62</v>
      </c>
      <c r="L482" t="s">
        <v>63</v>
      </c>
      <c r="M482" t="s">
        <v>200</v>
      </c>
      <c r="O482" t="s">
        <v>197</v>
      </c>
      <c r="P482">
        <v>6</v>
      </c>
      <c r="Q482" t="s">
        <v>201</v>
      </c>
      <c r="R482" s="6">
        <v>0.49951341503614233</v>
      </c>
      <c r="S482" s="6">
        <v>11.202244480878738</v>
      </c>
      <c r="T482" s="6">
        <v>7.0117221141665027</v>
      </c>
      <c r="U482" s="6">
        <v>62.448322911928379</v>
      </c>
      <c r="V482" s="6">
        <v>0.33005651510639161</v>
      </c>
      <c r="W482" s="6">
        <v>10.854408683689854</v>
      </c>
      <c r="X482" s="6">
        <v>5.1426502781951147</v>
      </c>
      <c r="Y482" s="6">
        <v>50.433205380425164</v>
      </c>
    </row>
    <row r="483" spans="1:25" x14ac:dyDescent="0.25">
      <c r="A483" t="str">
        <f t="shared" si="7"/>
        <v>RTD Ice TeaFranceDecemberEUR (€)Fully-AutomatedOldCan0.33Medium-scaleHigh</v>
      </c>
      <c r="B483" t="s">
        <v>130</v>
      </c>
      <c r="C483" t="s">
        <v>130</v>
      </c>
      <c r="D483" t="s">
        <v>15</v>
      </c>
      <c r="E483" s="12" t="s">
        <v>182</v>
      </c>
      <c r="F483" t="s">
        <v>187</v>
      </c>
      <c r="G483" t="s">
        <v>12</v>
      </c>
      <c r="H483" t="s">
        <v>72</v>
      </c>
      <c r="I483" t="s">
        <v>125</v>
      </c>
      <c r="J483" s="12">
        <v>0.33</v>
      </c>
      <c r="K483" t="s">
        <v>62</v>
      </c>
      <c r="L483" t="s">
        <v>11</v>
      </c>
      <c r="M483" t="s">
        <v>200</v>
      </c>
      <c r="O483" t="s">
        <v>197</v>
      </c>
      <c r="P483">
        <v>6</v>
      </c>
      <c r="Q483" t="s">
        <v>201</v>
      </c>
      <c r="R483" s="6">
        <v>0.51930677992041618</v>
      </c>
      <c r="S483" s="6">
        <v>11.646629755994624</v>
      </c>
      <c r="T483" s="6">
        <v>7.2896884632674865</v>
      </c>
      <c r="U483" s="6">
        <v>64.923948534765628</v>
      </c>
      <c r="V483" s="6">
        <v>0.34307670500357651</v>
      </c>
      <c r="W483" s="6">
        <v>11.28140260044702</v>
      </c>
      <c r="X483" s="6">
        <v>5.3447425604490846</v>
      </c>
      <c r="Y483" s="6">
        <v>52.415415913105704</v>
      </c>
    </row>
    <row r="484" spans="1:25" x14ac:dyDescent="0.25">
      <c r="A484" t="str">
        <f t="shared" si="7"/>
        <v>RTD Ice TeaFranceDecemberEUR (€)Fully-AutomatedOldCan0.33Small-scaleLow</v>
      </c>
      <c r="B484" t="s">
        <v>130</v>
      </c>
      <c r="C484" t="s">
        <v>130</v>
      </c>
      <c r="D484" t="s">
        <v>15</v>
      </c>
      <c r="E484" s="12" t="s">
        <v>182</v>
      </c>
      <c r="F484" t="s">
        <v>187</v>
      </c>
      <c r="G484" t="s">
        <v>12</v>
      </c>
      <c r="H484" t="s">
        <v>72</v>
      </c>
      <c r="I484" t="s">
        <v>125</v>
      </c>
      <c r="J484" s="12">
        <v>0.33</v>
      </c>
      <c r="K484" t="s">
        <v>60</v>
      </c>
      <c r="L484" t="s">
        <v>13</v>
      </c>
      <c r="M484" t="s">
        <v>200</v>
      </c>
      <c r="O484" t="s">
        <v>197</v>
      </c>
      <c r="P484">
        <v>6</v>
      </c>
      <c r="Q484" t="s">
        <v>201</v>
      </c>
      <c r="R484" s="6">
        <v>0.48274598963824539</v>
      </c>
      <c r="S484" s="6">
        <v>10.821647501209734</v>
      </c>
      <c r="T484" s="6">
        <v>6.7752003272128798</v>
      </c>
      <c r="U484" s="6">
        <v>60.341971078522313</v>
      </c>
      <c r="V484" s="6">
        <v>0.31940440324872871</v>
      </c>
      <c r="W484" s="6">
        <v>10.511989876136774</v>
      </c>
      <c r="X484" s="6">
        <v>4.9806231340282494</v>
      </c>
      <c r="Y484" s="6">
        <v>48.843782719699689</v>
      </c>
    </row>
    <row r="485" spans="1:25" x14ac:dyDescent="0.25">
      <c r="A485" t="str">
        <f t="shared" si="7"/>
        <v>RTD Ice TeaFranceDecemberEUR (€)Fully-AutomatedOldCan0.33Small-scaleMedium</v>
      </c>
      <c r="B485" t="s">
        <v>130</v>
      </c>
      <c r="C485" t="s">
        <v>130</v>
      </c>
      <c r="D485" t="s">
        <v>15</v>
      </c>
      <c r="E485" s="12" t="s">
        <v>182</v>
      </c>
      <c r="F485" t="s">
        <v>187</v>
      </c>
      <c r="G485" t="s">
        <v>12</v>
      </c>
      <c r="H485" t="s">
        <v>72</v>
      </c>
      <c r="I485" t="s">
        <v>125</v>
      </c>
      <c r="J485" s="12">
        <v>0.33</v>
      </c>
      <c r="K485" t="s">
        <v>60</v>
      </c>
      <c r="L485" t="s">
        <v>63</v>
      </c>
      <c r="M485" t="s">
        <v>200</v>
      </c>
      <c r="O485" t="s">
        <v>197</v>
      </c>
      <c r="P485">
        <v>6</v>
      </c>
      <c r="Q485" t="s">
        <v>201</v>
      </c>
      <c r="R485" s="6">
        <v>0.50107317934590667</v>
      </c>
      <c r="S485" s="6">
        <v>11.233115348539258</v>
      </c>
      <c r="T485" s="6">
        <v>7.0325765763804586</v>
      </c>
      <c r="U485" s="6">
        <v>62.634217025593884</v>
      </c>
      <c r="V485" s="6">
        <v>0.33146013463501117</v>
      </c>
      <c r="W485" s="6">
        <v>10.907354613874892</v>
      </c>
      <c r="X485" s="6">
        <v>5.1677456175967409</v>
      </c>
      <c r="Y485" s="6">
        <v>50.67916284255206</v>
      </c>
    </row>
    <row r="486" spans="1:25" x14ac:dyDescent="0.25">
      <c r="A486" t="str">
        <f t="shared" si="7"/>
        <v>RTD Ice TeaFranceDecemberEUR (€)Fully-AutomatedOldCan0.33Small-scaleHigh</v>
      </c>
      <c r="B486" t="s">
        <v>130</v>
      </c>
      <c r="C486" t="s">
        <v>130</v>
      </c>
      <c r="D486" t="s">
        <v>15</v>
      </c>
      <c r="E486" s="12" t="s">
        <v>182</v>
      </c>
      <c r="F486" t="s">
        <v>187</v>
      </c>
      <c r="G486" t="s">
        <v>12</v>
      </c>
      <c r="H486" t="s">
        <v>72</v>
      </c>
      <c r="I486" t="s">
        <v>125</v>
      </c>
      <c r="J486" s="12">
        <v>0.33</v>
      </c>
      <c r="K486" t="s">
        <v>60</v>
      </c>
      <c r="L486" t="s">
        <v>11</v>
      </c>
      <c r="M486" t="s">
        <v>200</v>
      </c>
      <c r="O486" t="s">
        <v>197</v>
      </c>
      <c r="P486">
        <v>6</v>
      </c>
      <c r="Q486" t="s">
        <v>201</v>
      </c>
      <c r="R486" s="6">
        <v>0.52086654423018053</v>
      </c>
      <c r="S486" s="6">
        <v>11.677500623655146</v>
      </c>
      <c r="T486" s="6">
        <v>7.3105429254814434</v>
      </c>
      <c r="U486" s="6">
        <v>65.10984264843114</v>
      </c>
      <c r="V486" s="6">
        <v>0.34448032453219601</v>
      </c>
      <c r="W486" s="6">
        <v>11.334348530632059</v>
      </c>
      <c r="X486" s="6">
        <v>5.3698378998507108</v>
      </c>
      <c r="Y486" s="6">
        <v>52.661373375232607</v>
      </c>
    </row>
    <row r="487" spans="1:25" x14ac:dyDescent="0.25">
      <c r="A487" t="str">
        <f t="shared" si="7"/>
        <v>RTD Ice TeaFranceDecemberEUR (€)Fully-AutomatedOldCan0.33High-scaleLow</v>
      </c>
      <c r="B487" t="s">
        <v>130</v>
      </c>
      <c r="C487" t="s">
        <v>130</v>
      </c>
      <c r="D487" t="s">
        <v>15</v>
      </c>
      <c r="E487" s="12" t="s">
        <v>182</v>
      </c>
      <c r="F487" t="s">
        <v>187</v>
      </c>
      <c r="G487" t="s">
        <v>12</v>
      </c>
      <c r="H487" t="s">
        <v>72</v>
      </c>
      <c r="I487" t="s">
        <v>125</v>
      </c>
      <c r="J487" s="12">
        <v>0.33</v>
      </c>
      <c r="K487" t="s">
        <v>107</v>
      </c>
      <c r="L487" t="s">
        <v>13</v>
      </c>
      <c r="M487" t="s">
        <v>199</v>
      </c>
      <c r="O487" t="s">
        <v>197</v>
      </c>
      <c r="P487">
        <v>8</v>
      </c>
      <c r="Q487" t="s">
        <v>202</v>
      </c>
      <c r="R487" s="6">
        <v>0.48025036674262261</v>
      </c>
      <c r="S487" s="6">
        <v>10.772254112952902</v>
      </c>
      <c r="T487" s="6">
        <v>6.7418331876705491</v>
      </c>
      <c r="U487" s="6">
        <v>60.044540496657511</v>
      </c>
      <c r="V487" s="6">
        <v>0.29717429007827989</v>
      </c>
      <c r="W487" s="6">
        <v>9.8939861455709739</v>
      </c>
      <c r="X487" s="6">
        <v>4.6600951323523088</v>
      </c>
      <c r="Y487" s="6">
        <v>45.737374431557839</v>
      </c>
    </row>
    <row r="488" spans="1:25" x14ac:dyDescent="0.25">
      <c r="A488" t="str">
        <f t="shared" si="7"/>
        <v>RTD Ice TeaFranceDecemberEUR (€)Fully-AutomatedOldCan0.33High-scaleMedium</v>
      </c>
      <c r="B488" t="s">
        <v>130</v>
      </c>
      <c r="C488" t="s">
        <v>130</v>
      </c>
      <c r="D488" t="s">
        <v>15</v>
      </c>
      <c r="E488" s="12" t="s">
        <v>182</v>
      </c>
      <c r="F488" t="s">
        <v>187</v>
      </c>
      <c r="G488" t="s">
        <v>12</v>
      </c>
      <c r="H488" t="s">
        <v>72</v>
      </c>
      <c r="I488" t="s">
        <v>125</v>
      </c>
      <c r="J488" s="12">
        <v>0.33</v>
      </c>
      <c r="K488" t="s">
        <v>107</v>
      </c>
      <c r="L488" t="s">
        <v>63</v>
      </c>
      <c r="M488" t="s">
        <v>199</v>
      </c>
      <c r="O488" t="s">
        <v>197</v>
      </c>
      <c r="P488">
        <v>8</v>
      </c>
      <c r="Q488" t="s">
        <v>202</v>
      </c>
      <c r="R488" s="6">
        <v>0.49857755645028368</v>
      </c>
      <c r="S488" s="6">
        <v>11.183721960282426</v>
      </c>
      <c r="T488" s="6">
        <v>6.9992094368381288</v>
      </c>
      <c r="U488" s="6">
        <v>62.336786443729054</v>
      </c>
      <c r="V488" s="6">
        <v>0.30846139369822928</v>
      </c>
      <c r="W488" s="6">
        <v>10.268839720144873</v>
      </c>
      <c r="X488" s="6">
        <v>4.8364339444349014</v>
      </c>
      <c r="Y488" s="6">
        <v>47.468413156381786</v>
      </c>
    </row>
    <row r="489" spans="1:25" x14ac:dyDescent="0.25">
      <c r="A489" t="str">
        <f t="shared" si="7"/>
        <v>RTD Ice TeaFranceDecemberEUR (€)Fully-AutomatedOldCan0.33High-scaleHigh</v>
      </c>
      <c r="B489" t="s">
        <v>130</v>
      </c>
      <c r="C489" t="s">
        <v>130</v>
      </c>
      <c r="D489" t="s">
        <v>15</v>
      </c>
      <c r="E489" s="12" t="s">
        <v>182</v>
      </c>
      <c r="F489" t="s">
        <v>187</v>
      </c>
      <c r="G489" t="s">
        <v>12</v>
      </c>
      <c r="H489" t="s">
        <v>72</v>
      </c>
      <c r="I489" t="s">
        <v>125</v>
      </c>
      <c r="J489" s="12">
        <v>0.33</v>
      </c>
      <c r="K489" t="s">
        <v>107</v>
      </c>
      <c r="L489" t="s">
        <v>11</v>
      </c>
      <c r="M489" t="s">
        <v>199</v>
      </c>
      <c r="O489" t="s">
        <v>197</v>
      </c>
      <c r="P489">
        <v>8</v>
      </c>
      <c r="Q489" t="s">
        <v>202</v>
      </c>
      <c r="R489" s="6">
        <v>0.51837092133455764</v>
      </c>
      <c r="S489" s="6">
        <v>11.628107235398311</v>
      </c>
      <c r="T489" s="6">
        <v>7.2771757859391144</v>
      </c>
      <c r="U489" s="6">
        <v>64.812412066566324</v>
      </c>
      <c r="V489" s="6">
        <v>0.32065146560777458</v>
      </c>
      <c r="W489" s="6">
        <v>10.673681580684681</v>
      </c>
      <c r="X489" s="6">
        <v>5.0268798614841019</v>
      </c>
      <c r="Y489" s="6">
        <v>49.337934979191644</v>
      </c>
    </row>
    <row r="490" spans="1:25" x14ac:dyDescent="0.25">
      <c r="A490" t="str">
        <f t="shared" si="7"/>
        <v>RTD Ice TeaFranceDecemberEUR (€)Fully-AutomatedOldCan0.33Medium-scaleLow</v>
      </c>
      <c r="B490" t="s">
        <v>130</v>
      </c>
      <c r="C490" t="s">
        <v>130</v>
      </c>
      <c r="D490" t="s">
        <v>15</v>
      </c>
      <c r="E490" s="12" t="s">
        <v>182</v>
      </c>
      <c r="F490" t="s">
        <v>187</v>
      </c>
      <c r="G490" t="s">
        <v>12</v>
      </c>
      <c r="H490" t="s">
        <v>72</v>
      </c>
      <c r="I490" t="s">
        <v>125</v>
      </c>
      <c r="J490" s="12">
        <v>0.33</v>
      </c>
      <c r="K490" t="s">
        <v>62</v>
      </c>
      <c r="L490" t="s">
        <v>13</v>
      </c>
      <c r="M490" t="s">
        <v>199</v>
      </c>
      <c r="O490" t="s">
        <v>197</v>
      </c>
      <c r="P490">
        <v>8</v>
      </c>
      <c r="Q490" t="s">
        <v>202</v>
      </c>
      <c r="R490" s="6">
        <v>0.48118622532848115</v>
      </c>
      <c r="S490" s="6">
        <v>10.790776633549212</v>
      </c>
      <c r="T490" s="6">
        <v>6.754345864998923</v>
      </c>
      <c r="U490" s="6">
        <v>60.156076964856823</v>
      </c>
      <c r="V490" s="6">
        <v>0.2980164617954516</v>
      </c>
      <c r="W490" s="6">
        <v>9.9257537036820001</v>
      </c>
      <c r="X490" s="6">
        <v>4.6751523359932845</v>
      </c>
      <c r="Y490" s="6">
        <v>45.884948908833977</v>
      </c>
    </row>
    <row r="491" spans="1:25" x14ac:dyDescent="0.25">
      <c r="A491" t="str">
        <f t="shared" si="7"/>
        <v>RTD Ice TeaFranceDecemberEUR (€)Fully-AutomatedOldCan0.33Medium-scaleMedium</v>
      </c>
      <c r="B491" t="s">
        <v>130</v>
      </c>
      <c r="C491" t="s">
        <v>130</v>
      </c>
      <c r="D491" t="s">
        <v>15</v>
      </c>
      <c r="E491" s="12" t="s">
        <v>182</v>
      </c>
      <c r="F491" t="s">
        <v>187</v>
      </c>
      <c r="G491" t="s">
        <v>12</v>
      </c>
      <c r="H491" t="s">
        <v>72</v>
      </c>
      <c r="I491" t="s">
        <v>125</v>
      </c>
      <c r="J491" s="12">
        <v>0.33</v>
      </c>
      <c r="K491" t="s">
        <v>62</v>
      </c>
      <c r="L491" t="s">
        <v>63</v>
      </c>
      <c r="M491" t="s">
        <v>199</v>
      </c>
      <c r="O491" t="s">
        <v>197</v>
      </c>
      <c r="P491">
        <v>8</v>
      </c>
      <c r="Q491" t="s">
        <v>202</v>
      </c>
      <c r="R491" s="6">
        <v>0.49951341503614233</v>
      </c>
      <c r="S491" s="6">
        <v>11.202244480878738</v>
      </c>
      <c r="T491" s="6">
        <v>7.0117221141665027</v>
      </c>
      <c r="U491" s="6">
        <v>62.448322911928379</v>
      </c>
      <c r="V491" s="6">
        <v>0.30930356541540094</v>
      </c>
      <c r="W491" s="6">
        <v>10.300607278255896</v>
      </c>
      <c r="X491" s="6">
        <v>4.8514911480758771</v>
      </c>
      <c r="Y491" s="6">
        <v>47.615987633657937</v>
      </c>
    </row>
    <row r="492" spans="1:25" x14ac:dyDescent="0.25">
      <c r="A492" t="str">
        <f t="shared" si="7"/>
        <v>RTD Ice TeaFranceDecemberEUR (€)Fully-AutomatedOldCan0.33Medium-scaleHigh</v>
      </c>
      <c r="B492" t="s">
        <v>130</v>
      </c>
      <c r="C492" t="s">
        <v>130</v>
      </c>
      <c r="D492" t="s">
        <v>15</v>
      </c>
      <c r="E492" s="12" t="s">
        <v>182</v>
      </c>
      <c r="F492" t="s">
        <v>187</v>
      </c>
      <c r="G492" t="s">
        <v>12</v>
      </c>
      <c r="H492" t="s">
        <v>72</v>
      </c>
      <c r="I492" t="s">
        <v>125</v>
      </c>
      <c r="J492" s="12">
        <v>0.33</v>
      </c>
      <c r="K492" t="s">
        <v>62</v>
      </c>
      <c r="L492" t="s">
        <v>11</v>
      </c>
      <c r="M492" t="s">
        <v>199</v>
      </c>
      <c r="O492" t="s">
        <v>197</v>
      </c>
      <c r="P492">
        <v>8</v>
      </c>
      <c r="Q492" t="s">
        <v>202</v>
      </c>
      <c r="R492" s="6">
        <v>0.51930677992041618</v>
      </c>
      <c r="S492" s="6">
        <v>11.646629755994624</v>
      </c>
      <c r="T492" s="6">
        <v>7.2896884632674865</v>
      </c>
      <c r="U492" s="6">
        <v>64.923948534765628</v>
      </c>
      <c r="V492" s="6">
        <v>0.32149363732494624</v>
      </c>
      <c r="W492" s="6">
        <v>10.705449138795704</v>
      </c>
      <c r="X492" s="6">
        <v>5.0419370651250786</v>
      </c>
      <c r="Y492" s="6">
        <v>49.485509456467796</v>
      </c>
    </row>
    <row r="493" spans="1:25" x14ac:dyDescent="0.25">
      <c r="A493" t="str">
        <f t="shared" si="7"/>
        <v>RTD Ice TeaFranceDecemberEUR (€)Fully-AutomatedOldCan0.33Small-scaleLow</v>
      </c>
      <c r="B493" t="s">
        <v>130</v>
      </c>
      <c r="C493" t="s">
        <v>130</v>
      </c>
      <c r="D493" t="s">
        <v>15</v>
      </c>
      <c r="E493" s="12" t="s">
        <v>182</v>
      </c>
      <c r="F493" t="s">
        <v>187</v>
      </c>
      <c r="G493" t="s">
        <v>12</v>
      </c>
      <c r="H493" t="s">
        <v>72</v>
      </c>
      <c r="I493" t="s">
        <v>125</v>
      </c>
      <c r="J493" s="12">
        <v>0.33</v>
      </c>
      <c r="K493" t="s">
        <v>60</v>
      </c>
      <c r="L493" t="s">
        <v>13</v>
      </c>
      <c r="M493" t="s">
        <v>199</v>
      </c>
      <c r="O493" t="s">
        <v>197</v>
      </c>
      <c r="P493">
        <v>8</v>
      </c>
      <c r="Q493" t="s">
        <v>202</v>
      </c>
      <c r="R493" s="6">
        <v>0.48274598963824539</v>
      </c>
      <c r="S493" s="6">
        <v>10.821647501209734</v>
      </c>
      <c r="T493" s="6">
        <v>6.7752003272128798</v>
      </c>
      <c r="U493" s="6">
        <v>60.341971078522313</v>
      </c>
      <c r="V493" s="6">
        <v>0.29942008132407111</v>
      </c>
      <c r="W493" s="6">
        <v>9.9786996338670377</v>
      </c>
      <c r="X493" s="6">
        <v>4.7002476753949107</v>
      </c>
      <c r="Y493" s="6">
        <v>46.130906370960886</v>
      </c>
    </row>
    <row r="494" spans="1:25" x14ac:dyDescent="0.25">
      <c r="A494" t="str">
        <f t="shared" si="7"/>
        <v>RTD Ice TeaFranceDecemberEUR (€)Fully-AutomatedOldCan0.33Small-scaleMedium</v>
      </c>
      <c r="B494" t="s">
        <v>130</v>
      </c>
      <c r="C494" t="s">
        <v>130</v>
      </c>
      <c r="D494" t="s">
        <v>15</v>
      </c>
      <c r="E494" s="12" t="s">
        <v>182</v>
      </c>
      <c r="F494" t="s">
        <v>187</v>
      </c>
      <c r="G494" t="s">
        <v>12</v>
      </c>
      <c r="H494" t="s">
        <v>72</v>
      </c>
      <c r="I494" t="s">
        <v>125</v>
      </c>
      <c r="J494" s="12">
        <v>0.33</v>
      </c>
      <c r="K494" t="s">
        <v>60</v>
      </c>
      <c r="L494" t="s">
        <v>63</v>
      </c>
      <c r="M494" t="s">
        <v>199</v>
      </c>
      <c r="O494" t="s">
        <v>197</v>
      </c>
      <c r="P494">
        <v>8</v>
      </c>
      <c r="Q494" t="s">
        <v>202</v>
      </c>
      <c r="R494" s="6">
        <v>0.50107317934590667</v>
      </c>
      <c r="S494" s="6">
        <v>11.233115348539258</v>
      </c>
      <c r="T494" s="6">
        <v>7.0325765763804586</v>
      </c>
      <c r="U494" s="6">
        <v>62.634217025593884</v>
      </c>
      <c r="V494" s="6">
        <v>0.3107071849440205</v>
      </c>
      <c r="W494" s="6">
        <v>10.353553208440935</v>
      </c>
      <c r="X494" s="6">
        <v>4.8765864874775033</v>
      </c>
      <c r="Y494" s="6">
        <v>47.86194509578484</v>
      </c>
    </row>
    <row r="495" spans="1:25" x14ac:dyDescent="0.25">
      <c r="A495" t="str">
        <f t="shared" si="7"/>
        <v>RTD Ice TeaFranceDecemberEUR (€)Fully-AutomatedOldCan0.33Small-scaleHigh</v>
      </c>
      <c r="B495" t="s">
        <v>130</v>
      </c>
      <c r="C495" t="s">
        <v>130</v>
      </c>
      <c r="D495" t="s">
        <v>15</v>
      </c>
      <c r="E495" s="12" t="s">
        <v>182</v>
      </c>
      <c r="F495" t="s">
        <v>187</v>
      </c>
      <c r="G495" t="s">
        <v>12</v>
      </c>
      <c r="H495" t="s">
        <v>72</v>
      </c>
      <c r="I495" t="s">
        <v>125</v>
      </c>
      <c r="J495" s="12">
        <v>0.33</v>
      </c>
      <c r="K495" t="s">
        <v>60</v>
      </c>
      <c r="L495" t="s">
        <v>11</v>
      </c>
      <c r="M495" t="s">
        <v>199</v>
      </c>
      <c r="O495" t="s">
        <v>197</v>
      </c>
      <c r="P495">
        <v>8</v>
      </c>
      <c r="Q495" t="s">
        <v>202</v>
      </c>
      <c r="R495" s="6">
        <v>0.52086654423018053</v>
      </c>
      <c r="S495" s="6">
        <v>11.677500623655146</v>
      </c>
      <c r="T495" s="6">
        <v>7.3105429254814434</v>
      </c>
      <c r="U495" s="6">
        <v>65.10984264843114</v>
      </c>
      <c r="V495" s="6">
        <v>0.32289725685356574</v>
      </c>
      <c r="W495" s="6">
        <v>10.758395068980743</v>
      </c>
      <c r="X495" s="6">
        <v>5.0670324045267039</v>
      </c>
      <c r="Y495" s="6">
        <v>49.731466918594698</v>
      </c>
    </row>
    <row r="496" spans="1:25" x14ac:dyDescent="0.25">
      <c r="A496" t="str">
        <f t="shared" si="7"/>
        <v>RTD Ice TeaFranceDecemberEUR (€)Fully-AutomatedOldCan0.33High-scaleLow</v>
      </c>
      <c r="B496" t="s">
        <v>130</v>
      </c>
      <c r="C496" t="s">
        <v>130</v>
      </c>
      <c r="D496" t="s">
        <v>15</v>
      </c>
      <c r="E496" s="12" t="s">
        <v>182</v>
      </c>
      <c r="F496" t="s">
        <v>187</v>
      </c>
      <c r="G496" t="s">
        <v>12</v>
      </c>
      <c r="H496" t="s">
        <v>72</v>
      </c>
      <c r="I496" t="s">
        <v>125</v>
      </c>
      <c r="J496" s="12">
        <v>0.33</v>
      </c>
      <c r="K496" t="s">
        <v>107</v>
      </c>
      <c r="L496" t="s">
        <v>13</v>
      </c>
      <c r="M496" t="s">
        <v>200</v>
      </c>
      <c r="O496" t="s">
        <v>197</v>
      </c>
      <c r="P496">
        <v>8</v>
      </c>
      <c r="Q496" t="s">
        <v>202</v>
      </c>
      <c r="R496" s="6">
        <v>0.48025036674262261</v>
      </c>
      <c r="S496" s="6">
        <v>10.772254112952902</v>
      </c>
      <c r="T496" s="6">
        <v>6.7418331876705491</v>
      </c>
      <c r="U496" s="6">
        <v>60.044540496657511</v>
      </c>
      <c r="V496" s="6">
        <v>0.29717429007827989</v>
      </c>
      <c r="W496" s="6">
        <v>9.8939861455709739</v>
      </c>
      <c r="X496" s="6">
        <v>4.6600951323523088</v>
      </c>
      <c r="Y496" s="6">
        <v>45.737374431557839</v>
      </c>
    </row>
    <row r="497" spans="1:25" x14ac:dyDescent="0.25">
      <c r="A497" t="str">
        <f t="shared" si="7"/>
        <v>RTD Ice TeaFranceDecemberEUR (€)Fully-AutomatedOldCan0.33High-scaleMedium</v>
      </c>
      <c r="B497" t="s">
        <v>130</v>
      </c>
      <c r="C497" t="s">
        <v>130</v>
      </c>
      <c r="D497" t="s">
        <v>15</v>
      </c>
      <c r="E497" s="12" t="s">
        <v>182</v>
      </c>
      <c r="F497" t="s">
        <v>187</v>
      </c>
      <c r="G497" t="s">
        <v>12</v>
      </c>
      <c r="H497" t="s">
        <v>72</v>
      </c>
      <c r="I497" t="s">
        <v>125</v>
      </c>
      <c r="J497" s="12">
        <v>0.33</v>
      </c>
      <c r="K497" t="s">
        <v>107</v>
      </c>
      <c r="L497" t="s">
        <v>63</v>
      </c>
      <c r="M497" t="s">
        <v>200</v>
      </c>
      <c r="O497" t="s">
        <v>197</v>
      </c>
      <c r="P497">
        <v>8</v>
      </c>
      <c r="Q497" t="s">
        <v>202</v>
      </c>
      <c r="R497" s="6">
        <v>0.49857755645028368</v>
      </c>
      <c r="S497" s="6">
        <v>11.183721960282426</v>
      </c>
      <c r="T497" s="6">
        <v>6.9992094368381288</v>
      </c>
      <c r="U497" s="6">
        <v>62.336786443729054</v>
      </c>
      <c r="V497" s="6">
        <v>0.30846139369822928</v>
      </c>
      <c r="W497" s="6">
        <v>10.268839720144873</v>
      </c>
      <c r="X497" s="6">
        <v>4.8364339444349014</v>
      </c>
      <c r="Y497" s="6">
        <v>47.468413156381786</v>
      </c>
    </row>
    <row r="498" spans="1:25" x14ac:dyDescent="0.25">
      <c r="A498" t="str">
        <f t="shared" si="7"/>
        <v>RTD Ice TeaFranceDecemberEUR (€)Fully-AutomatedOldCan0.33High-scaleHigh</v>
      </c>
      <c r="B498" t="s">
        <v>130</v>
      </c>
      <c r="C498" t="s">
        <v>130</v>
      </c>
      <c r="D498" t="s">
        <v>15</v>
      </c>
      <c r="E498" s="12" t="s">
        <v>182</v>
      </c>
      <c r="F498" t="s">
        <v>187</v>
      </c>
      <c r="G498" t="s">
        <v>12</v>
      </c>
      <c r="H498" t="s">
        <v>72</v>
      </c>
      <c r="I498" t="s">
        <v>125</v>
      </c>
      <c r="J498" s="12">
        <v>0.33</v>
      </c>
      <c r="K498" t="s">
        <v>107</v>
      </c>
      <c r="L498" t="s">
        <v>11</v>
      </c>
      <c r="M498" t="s">
        <v>200</v>
      </c>
      <c r="O498" t="s">
        <v>197</v>
      </c>
      <c r="P498">
        <v>8</v>
      </c>
      <c r="Q498" t="s">
        <v>202</v>
      </c>
      <c r="R498" s="6">
        <v>0.51837092133455764</v>
      </c>
      <c r="S498" s="6">
        <v>11.628107235398311</v>
      </c>
      <c r="T498" s="6">
        <v>7.2771757859391144</v>
      </c>
      <c r="U498" s="6">
        <v>64.812412066566324</v>
      </c>
      <c r="V498" s="6">
        <v>0.32065146560777458</v>
      </c>
      <c r="W498" s="6">
        <v>10.673681580684681</v>
      </c>
      <c r="X498" s="6">
        <v>5.0268798614841019</v>
      </c>
      <c r="Y498" s="6">
        <v>49.337934979191644</v>
      </c>
    </row>
    <row r="499" spans="1:25" x14ac:dyDescent="0.25">
      <c r="A499" t="str">
        <f t="shared" si="7"/>
        <v>RTD Ice TeaFranceDecemberEUR (€)Fully-AutomatedOldCan0.33Medium-scaleLow</v>
      </c>
      <c r="B499" t="s">
        <v>130</v>
      </c>
      <c r="C499" t="s">
        <v>130</v>
      </c>
      <c r="D499" t="s">
        <v>15</v>
      </c>
      <c r="E499" s="12" t="s">
        <v>182</v>
      </c>
      <c r="F499" t="s">
        <v>187</v>
      </c>
      <c r="G499" t="s">
        <v>12</v>
      </c>
      <c r="H499" t="s">
        <v>72</v>
      </c>
      <c r="I499" t="s">
        <v>125</v>
      </c>
      <c r="J499" s="12">
        <v>0.33</v>
      </c>
      <c r="K499" t="s">
        <v>62</v>
      </c>
      <c r="L499" t="s">
        <v>13</v>
      </c>
      <c r="M499" t="s">
        <v>200</v>
      </c>
      <c r="O499" t="s">
        <v>197</v>
      </c>
      <c r="P499">
        <v>8</v>
      </c>
      <c r="Q499" t="s">
        <v>202</v>
      </c>
      <c r="R499" s="6">
        <v>0.48118622532848115</v>
      </c>
      <c r="S499" s="6">
        <v>10.790776633549212</v>
      </c>
      <c r="T499" s="6">
        <v>6.754345864998923</v>
      </c>
      <c r="U499" s="6">
        <v>60.156076964856823</v>
      </c>
      <c r="V499" s="6">
        <v>0.2980164617954516</v>
      </c>
      <c r="W499" s="6">
        <v>9.9257537036820001</v>
      </c>
      <c r="X499" s="6">
        <v>4.6751523359932845</v>
      </c>
      <c r="Y499" s="6">
        <v>45.884948908833977</v>
      </c>
    </row>
    <row r="500" spans="1:25" x14ac:dyDescent="0.25">
      <c r="A500" t="str">
        <f t="shared" si="7"/>
        <v>RTD Ice TeaFranceDecemberEUR (€)Fully-AutomatedOldCan0.33Medium-scaleMedium</v>
      </c>
      <c r="B500" t="s">
        <v>130</v>
      </c>
      <c r="C500" t="s">
        <v>130</v>
      </c>
      <c r="D500" t="s">
        <v>15</v>
      </c>
      <c r="E500" s="12" t="s">
        <v>182</v>
      </c>
      <c r="F500" t="s">
        <v>187</v>
      </c>
      <c r="G500" t="s">
        <v>12</v>
      </c>
      <c r="H500" t="s">
        <v>72</v>
      </c>
      <c r="I500" t="s">
        <v>125</v>
      </c>
      <c r="J500" s="12">
        <v>0.33</v>
      </c>
      <c r="K500" t="s">
        <v>62</v>
      </c>
      <c r="L500" t="s">
        <v>63</v>
      </c>
      <c r="M500" t="s">
        <v>200</v>
      </c>
      <c r="O500" t="s">
        <v>197</v>
      </c>
      <c r="P500">
        <v>8</v>
      </c>
      <c r="Q500" t="s">
        <v>202</v>
      </c>
      <c r="R500" s="6">
        <v>0.49951341503614233</v>
      </c>
      <c r="S500" s="6">
        <v>11.202244480878738</v>
      </c>
      <c r="T500" s="6">
        <v>7.0117221141665027</v>
      </c>
      <c r="U500" s="6">
        <v>62.448322911928379</v>
      </c>
      <c r="V500" s="6">
        <v>0.30930356541540094</v>
      </c>
      <c r="W500" s="6">
        <v>10.300607278255896</v>
      </c>
      <c r="X500" s="6">
        <v>4.8514911480758771</v>
      </c>
      <c r="Y500" s="6">
        <v>47.615987633657937</v>
      </c>
    </row>
    <row r="501" spans="1:25" x14ac:dyDescent="0.25">
      <c r="A501" t="str">
        <f t="shared" si="7"/>
        <v>RTD Ice TeaFranceDecemberEUR (€)Fully-AutomatedOldCan0.33Medium-scaleHigh</v>
      </c>
      <c r="B501" t="s">
        <v>130</v>
      </c>
      <c r="C501" t="s">
        <v>130</v>
      </c>
      <c r="D501" t="s">
        <v>15</v>
      </c>
      <c r="E501" s="12" t="s">
        <v>182</v>
      </c>
      <c r="F501" t="s">
        <v>187</v>
      </c>
      <c r="G501" t="s">
        <v>12</v>
      </c>
      <c r="H501" t="s">
        <v>72</v>
      </c>
      <c r="I501" t="s">
        <v>125</v>
      </c>
      <c r="J501" s="12">
        <v>0.33</v>
      </c>
      <c r="K501" t="s">
        <v>62</v>
      </c>
      <c r="L501" t="s">
        <v>11</v>
      </c>
      <c r="M501" t="s">
        <v>200</v>
      </c>
      <c r="O501" t="s">
        <v>197</v>
      </c>
      <c r="P501">
        <v>8</v>
      </c>
      <c r="Q501" t="s">
        <v>202</v>
      </c>
      <c r="R501" s="6">
        <v>0.51930677992041618</v>
      </c>
      <c r="S501" s="6">
        <v>11.646629755994624</v>
      </c>
      <c r="T501" s="6">
        <v>7.2896884632674865</v>
      </c>
      <c r="U501" s="6">
        <v>64.923948534765628</v>
      </c>
      <c r="V501" s="6">
        <v>0.32149363732494624</v>
      </c>
      <c r="W501" s="6">
        <v>10.705449138795704</v>
      </c>
      <c r="X501" s="6">
        <v>5.0419370651250786</v>
      </c>
      <c r="Y501" s="6">
        <v>49.485509456467796</v>
      </c>
    </row>
    <row r="502" spans="1:25" x14ac:dyDescent="0.25">
      <c r="A502" t="str">
        <f t="shared" si="7"/>
        <v>RTD Ice TeaFranceDecemberEUR (€)Fully-AutomatedOldCan0.33Small-scaleLow</v>
      </c>
      <c r="B502" t="s">
        <v>130</v>
      </c>
      <c r="C502" t="s">
        <v>130</v>
      </c>
      <c r="D502" t="s">
        <v>15</v>
      </c>
      <c r="E502" s="12" t="s">
        <v>182</v>
      </c>
      <c r="F502" t="s">
        <v>187</v>
      </c>
      <c r="G502" t="s">
        <v>12</v>
      </c>
      <c r="H502" t="s">
        <v>72</v>
      </c>
      <c r="I502" t="s">
        <v>125</v>
      </c>
      <c r="J502" s="12">
        <v>0.33</v>
      </c>
      <c r="K502" t="s">
        <v>60</v>
      </c>
      <c r="L502" t="s">
        <v>13</v>
      </c>
      <c r="M502" t="s">
        <v>200</v>
      </c>
      <c r="O502" t="s">
        <v>197</v>
      </c>
      <c r="P502">
        <v>8</v>
      </c>
      <c r="Q502" t="s">
        <v>202</v>
      </c>
      <c r="R502" s="6">
        <v>0.48274598963824539</v>
      </c>
      <c r="S502" s="6">
        <v>10.821647501209734</v>
      </c>
      <c r="T502" s="6">
        <v>6.7752003272128798</v>
      </c>
      <c r="U502" s="6">
        <v>60.341971078522313</v>
      </c>
      <c r="V502" s="6">
        <v>0.29942008132407111</v>
      </c>
      <c r="W502" s="6">
        <v>9.9786996338670377</v>
      </c>
      <c r="X502" s="6">
        <v>4.7002476753949107</v>
      </c>
      <c r="Y502" s="6">
        <v>46.130906370960886</v>
      </c>
    </row>
    <row r="503" spans="1:25" x14ac:dyDescent="0.25">
      <c r="A503" t="str">
        <f t="shared" si="7"/>
        <v>RTD Ice TeaFranceDecemberEUR (€)Fully-AutomatedOldCan0.33Small-scaleMedium</v>
      </c>
      <c r="B503" t="s">
        <v>130</v>
      </c>
      <c r="C503" t="s">
        <v>130</v>
      </c>
      <c r="D503" t="s">
        <v>15</v>
      </c>
      <c r="E503" s="12" t="s">
        <v>182</v>
      </c>
      <c r="F503" t="s">
        <v>187</v>
      </c>
      <c r="G503" t="s">
        <v>12</v>
      </c>
      <c r="H503" t="s">
        <v>72</v>
      </c>
      <c r="I503" t="s">
        <v>125</v>
      </c>
      <c r="J503" s="12">
        <v>0.33</v>
      </c>
      <c r="K503" t="s">
        <v>60</v>
      </c>
      <c r="L503" t="s">
        <v>63</v>
      </c>
      <c r="M503" t="s">
        <v>200</v>
      </c>
      <c r="O503" t="s">
        <v>197</v>
      </c>
      <c r="P503">
        <v>8</v>
      </c>
      <c r="Q503" t="s">
        <v>202</v>
      </c>
      <c r="R503" s="6">
        <v>0.50107317934590667</v>
      </c>
      <c r="S503" s="6">
        <v>11.233115348539258</v>
      </c>
      <c r="T503" s="6">
        <v>7.0325765763804586</v>
      </c>
      <c r="U503" s="6">
        <v>62.634217025593884</v>
      </c>
      <c r="V503" s="6">
        <v>0.3107071849440205</v>
      </c>
      <c r="W503" s="6">
        <v>10.353553208440935</v>
      </c>
      <c r="X503" s="6">
        <v>4.8765864874775033</v>
      </c>
      <c r="Y503" s="6">
        <v>47.86194509578484</v>
      </c>
    </row>
    <row r="504" spans="1:25" x14ac:dyDescent="0.25">
      <c r="A504" t="str">
        <f t="shared" si="7"/>
        <v>RTD Ice TeaFranceDecemberEUR (€)Fully-AutomatedOldCan0.33Small-scaleHigh</v>
      </c>
      <c r="B504" t="s">
        <v>130</v>
      </c>
      <c r="C504" t="s">
        <v>130</v>
      </c>
      <c r="D504" t="s">
        <v>15</v>
      </c>
      <c r="E504" s="12" t="s">
        <v>182</v>
      </c>
      <c r="F504" t="s">
        <v>187</v>
      </c>
      <c r="G504" t="s">
        <v>12</v>
      </c>
      <c r="H504" t="s">
        <v>72</v>
      </c>
      <c r="I504" t="s">
        <v>125</v>
      </c>
      <c r="J504" s="12">
        <v>0.33</v>
      </c>
      <c r="K504" t="s">
        <v>60</v>
      </c>
      <c r="L504" t="s">
        <v>11</v>
      </c>
      <c r="M504" t="s">
        <v>200</v>
      </c>
      <c r="O504" t="s">
        <v>197</v>
      </c>
      <c r="P504">
        <v>8</v>
      </c>
      <c r="Q504" t="s">
        <v>202</v>
      </c>
      <c r="R504" s="6">
        <v>0.52086654423018053</v>
      </c>
      <c r="S504" s="6">
        <v>11.677500623655146</v>
      </c>
      <c r="T504" s="6">
        <v>7.3105429254814434</v>
      </c>
      <c r="U504" s="6">
        <v>65.10984264843114</v>
      </c>
      <c r="V504" s="6">
        <v>0.32289725685356574</v>
      </c>
      <c r="W504" s="6">
        <v>10.758395068980743</v>
      </c>
      <c r="X504" s="6">
        <v>5.0670324045267039</v>
      </c>
      <c r="Y504" s="6">
        <v>49.731466918594698</v>
      </c>
    </row>
    <row r="505" spans="1:25" x14ac:dyDescent="0.25">
      <c r="A505" t="str">
        <f t="shared" si="7"/>
        <v>RTD Ice TeaFranceDecemberEUR (€)Fully-AutomatedOldCan0.33High-scaleLow</v>
      </c>
      <c r="B505" t="s">
        <v>130</v>
      </c>
      <c r="C505" t="s">
        <v>130</v>
      </c>
      <c r="D505" t="s">
        <v>15</v>
      </c>
      <c r="E505" s="12" t="s">
        <v>182</v>
      </c>
      <c r="F505" t="s">
        <v>187</v>
      </c>
      <c r="G505" t="s">
        <v>12</v>
      </c>
      <c r="H505" t="s">
        <v>72</v>
      </c>
      <c r="I505" t="s">
        <v>125</v>
      </c>
      <c r="J505" s="12">
        <v>0.33</v>
      </c>
      <c r="K505" t="s">
        <v>107</v>
      </c>
      <c r="L505" t="s">
        <v>13</v>
      </c>
      <c r="M505" t="s">
        <v>199</v>
      </c>
      <c r="O505" t="s">
        <v>197</v>
      </c>
      <c r="P505">
        <v>12</v>
      </c>
      <c r="Q505" t="s">
        <v>203</v>
      </c>
      <c r="R505" s="6">
        <v>0.48025036674262261</v>
      </c>
      <c r="S505" s="6">
        <v>10.772254112952902</v>
      </c>
      <c r="T505" s="6">
        <v>6.7418331876705491</v>
      </c>
      <c r="U505" s="6">
        <v>60.044540496657511</v>
      </c>
      <c r="V505" s="6">
        <v>0.27660219397936764</v>
      </c>
      <c r="W505" s="6">
        <v>9.3450108961756584</v>
      </c>
      <c r="X505" s="6">
        <v>4.3714733367003422</v>
      </c>
      <c r="Y505" s="6">
        <v>42.944707601973775</v>
      </c>
    </row>
    <row r="506" spans="1:25" x14ac:dyDescent="0.25">
      <c r="A506" t="str">
        <f t="shared" si="7"/>
        <v>RTD Ice TeaFranceDecemberEUR (€)Fully-AutomatedOldCan0.33High-scaleMedium</v>
      </c>
      <c r="B506" t="s">
        <v>130</v>
      </c>
      <c r="C506" t="s">
        <v>130</v>
      </c>
      <c r="D506" t="s">
        <v>15</v>
      </c>
      <c r="E506" s="12" t="s">
        <v>182</v>
      </c>
      <c r="F506" t="s">
        <v>187</v>
      </c>
      <c r="G506" t="s">
        <v>12</v>
      </c>
      <c r="H506" t="s">
        <v>72</v>
      </c>
      <c r="I506" t="s">
        <v>125</v>
      </c>
      <c r="J506" s="12">
        <v>0.33</v>
      </c>
      <c r="K506" t="s">
        <v>107</v>
      </c>
      <c r="L506" t="s">
        <v>63</v>
      </c>
      <c r="M506" t="s">
        <v>199</v>
      </c>
      <c r="O506" t="s">
        <v>197</v>
      </c>
      <c r="P506">
        <v>12</v>
      </c>
      <c r="Q506" t="s">
        <v>203</v>
      </c>
      <c r="R506" s="6">
        <v>0.49857755645028368</v>
      </c>
      <c r="S506" s="6">
        <v>11.183721960282426</v>
      </c>
      <c r="T506" s="6">
        <v>6.9992094368381288</v>
      </c>
      <c r="U506" s="6">
        <v>62.336786443729054</v>
      </c>
      <c r="V506" s="6">
        <v>0.28709806313397424</v>
      </c>
      <c r="W506" s="6">
        <v>9.6987500380805045</v>
      </c>
      <c r="X506" s="6">
        <v>4.5367113104886281</v>
      </c>
      <c r="Y506" s="6">
        <v>44.568336064121411</v>
      </c>
    </row>
    <row r="507" spans="1:25" x14ac:dyDescent="0.25">
      <c r="A507" t="str">
        <f t="shared" si="7"/>
        <v>RTD Ice TeaFranceDecemberEUR (€)Fully-AutomatedOldCan0.33High-scaleHigh</v>
      </c>
      <c r="B507" t="s">
        <v>130</v>
      </c>
      <c r="C507" t="s">
        <v>130</v>
      </c>
      <c r="D507" t="s">
        <v>15</v>
      </c>
      <c r="E507" s="12" t="s">
        <v>182</v>
      </c>
      <c r="F507" t="s">
        <v>187</v>
      </c>
      <c r="G507" t="s">
        <v>12</v>
      </c>
      <c r="H507" t="s">
        <v>72</v>
      </c>
      <c r="I507" t="s">
        <v>125</v>
      </c>
      <c r="J507" s="12">
        <v>0.33</v>
      </c>
      <c r="K507" t="s">
        <v>107</v>
      </c>
      <c r="L507" t="s">
        <v>11</v>
      </c>
      <c r="M507" t="s">
        <v>199</v>
      </c>
      <c r="O507" t="s">
        <v>197</v>
      </c>
      <c r="P507">
        <v>12</v>
      </c>
      <c r="Q507" t="s">
        <v>203</v>
      </c>
      <c r="R507" s="6">
        <v>0.51837092133455764</v>
      </c>
      <c r="S507" s="6">
        <v>11.628107235398311</v>
      </c>
      <c r="T507" s="6">
        <v>7.2771757859391144</v>
      </c>
      <c r="U507" s="6">
        <v>64.812412066566324</v>
      </c>
      <c r="V507" s="6">
        <v>0.29843360182094936</v>
      </c>
      <c r="W507" s="6">
        <v>10.080788311337736</v>
      </c>
      <c r="X507" s="6">
        <v>4.7151683221799781</v>
      </c>
      <c r="Y507" s="6">
        <v>46.321854803240868</v>
      </c>
    </row>
    <row r="508" spans="1:25" x14ac:dyDescent="0.25">
      <c r="A508" t="str">
        <f t="shared" si="7"/>
        <v>RTD Ice TeaFranceDecemberEUR (€)Fully-AutomatedOldCan0.33Medium-scaleLow</v>
      </c>
      <c r="B508" t="s">
        <v>130</v>
      </c>
      <c r="C508" t="s">
        <v>130</v>
      </c>
      <c r="D508" t="s">
        <v>15</v>
      </c>
      <c r="E508" s="12" t="s">
        <v>182</v>
      </c>
      <c r="F508" t="s">
        <v>187</v>
      </c>
      <c r="G508" t="s">
        <v>12</v>
      </c>
      <c r="H508" t="s">
        <v>72</v>
      </c>
      <c r="I508" t="s">
        <v>125</v>
      </c>
      <c r="J508" s="12">
        <v>0.33</v>
      </c>
      <c r="K508" t="s">
        <v>62</v>
      </c>
      <c r="L508" t="s">
        <v>13</v>
      </c>
      <c r="M508" t="s">
        <v>199</v>
      </c>
      <c r="O508" t="s">
        <v>197</v>
      </c>
      <c r="P508">
        <v>12</v>
      </c>
      <c r="Q508" t="s">
        <v>203</v>
      </c>
      <c r="R508" s="6">
        <v>0.48118622532848115</v>
      </c>
      <c r="S508" s="6">
        <v>10.790776633549212</v>
      </c>
      <c r="T508" s="6">
        <v>6.754345864998923</v>
      </c>
      <c r="U508" s="6">
        <v>60.156076964856823</v>
      </c>
      <c r="V508" s="6">
        <v>0.2774443656965393</v>
      </c>
      <c r="W508" s="6">
        <v>9.3767784542866828</v>
      </c>
      <c r="X508" s="6">
        <v>4.386530540341318</v>
      </c>
      <c r="Y508" s="6">
        <v>43.092282079249919</v>
      </c>
    </row>
    <row r="509" spans="1:25" x14ac:dyDescent="0.25">
      <c r="A509" t="str">
        <f t="shared" si="7"/>
        <v>RTD Ice TeaFranceDecemberEUR (€)Fully-AutomatedOldCan0.33Medium-scaleMedium</v>
      </c>
      <c r="B509" t="s">
        <v>130</v>
      </c>
      <c r="C509" t="s">
        <v>130</v>
      </c>
      <c r="D509" t="s">
        <v>15</v>
      </c>
      <c r="E509" s="12" t="s">
        <v>182</v>
      </c>
      <c r="F509" t="s">
        <v>187</v>
      </c>
      <c r="G509" t="s">
        <v>12</v>
      </c>
      <c r="H509" t="s">
        <v>72</v>
      </c>
      <c r="I509" t="s">
        <v>125</v>
      </c>
      <c r="J509" s="12">
        <v>0.33</v>
      </c>
      <c r="K509" t="s">
        <v>62</v>
      </c>
      <c r="L509" t="s">
        <v>63</v>
      </c>
      <c r="M509" t="s">
        <v>199</v>
      </c>
      <c r="O509" t="s">
        <v>197</v>
      </c>
      <c r="P509">
        <v>12</v>
      </c>
      <c r="Q509" t="s">
        <v>203</v>
      </c>
      <c r="R509" s="6">
        <v>0.49951341503614233</v>
      </c>
      <c r="S509" s="6">
        <v>11.202244480878738</v>
      </c>
      <c r="T509" s="6">
        <v>7.0117221141665027</v>
      </c>
      <c r="U509" s="6">
        <v>62.448322911928379</v>
      </c>
      <c r="V509" s="6">
        <v>0.28794023485114589</v>
      </c>
      <c r="W509" s="6">
        <v>9.7305175961915289</v>
      </c>
      <c r="X509" s="6">
        <v>4.5517685141296038</v>
      </c>
      <c r="Y509" s="6">
        <v>44.715910541397562</v>
      </c>
    </row>
    <row r="510" spans="1:25" x14ac:dyDescent="0.25">
      <c r="A510" t="str">
        <f t="shared" si="7"/>
        <v>RTD Ice TeaFranceDecemberEUR (€)Fully-AutomatedOldCan0.33Medium-scaleHigh</v>
      </c>
      <c r="B510" t="s">
        <v>130</v>
      </c>
      <c r="C510" t="s">
        <v>130</v>
      </c>
      <c r="D510" t="s">
        <v>15</v>
      </c>
      <c r="E510" s="12" t="s">
        <v>182</v>
      </c>
      <c r="F510" t="s">
        <v>187</v>
      </c>
      <c r="G510" t="s">
        <v>12</v>
      </c>
      <c r="H510" t="s">
        <v>72</v>
      </c>
      <c r="I510" t="s">
        <v>125</v>
      </c>
      <c r="J510" s="12">
        <v>0.33</v>
      </c>
      <c r="K510" t="s">
        <v>62</v>
      </c>
      <c r="L510" t="s">
        <v>11</v>
      </c>
      <c r="M510" t="s">
        <v>199</v>
      </c>
      <c r="O510" t="s">
        <v>197</v>
      </c>
      <c r="P510">
        <v>12</v>
      </c>
      <c r="Q510" t="s">
        <v>203</v>
      </c>
      <c r="R510" s="6">
        <v>0.51930677992041618</v>
      </c>
      <c r="S510" s="6">
        <v>11.646629755994624</v>
      </c>
      <c r="T510" s="6">
        <v>7.2896884632674865</v>
      </c>
      <c r="U510" s="6">
        <v>64.923948534765628</v>
      </c>
      <c r="V510" s="6">
        <v>0.29927577353812101</v>
      </c>
      <c r="W510" s="6">
        <v>10.112555869448762</v>
      </c>
      <c r="X510" s="6">
        <v>4.7302255258209547</v>
      </c>
      <c r="Y510" s="6">
        <v>46.469429280517012</v>
      </c>
    </row>
    <row r="511" spans="1:25" x14ac:dyDescent="0.25">
      <c r="A511" t="str">
        <f t="shared" si="7"/>
        <v>RTD Ice TeaFranceDecemberEUR (€)Fully-AutomatedOldCan0.33Small-scaleLow</v>
      </c>
      <c r="B511" t="s">
        <v>130</v>
      </c>
      <c r="C511" t="s">
        <v>130</v>
      </c>
      <c r="D511" t="s">
        <v>15</v>
      </c>
      <c r="E511" s="12" t="s">
        <v>182</v>
      </c>
      <c r="F511" t="s">
        <v>187</v>
      </c>
      <c r="G511" t="s">
        <v>12</v>
      </c>
      <c r="H511" t="s">
        <v>72</v>
      </c>
      <c r="I511" t="s">
        <v>125</v>
      </c>
      <c r="J511" s="12">
        <v>0.33</v>
      </c>
      <c r="K511" t="s">
        <v>60</v>
      </c>
      <c r="L511" t="s">
        <v>13</v>
      </c>
      <c r="M511" t="s">
        <v>199</v>
      </c>
      <c r="O511" t="s">
        <v>197</v>
      </c>
      <c r="P511">
        <v>12</v>
      </c>
      <c r="Q511" t="s">
        <v>203</v>
      </c>
      <c r="R511" s="6">
        <v>0.48274598963824539</v>
      </c>
      <c r="S511" s="6">
        <v>10.821647501209734</v>
      </c>
      <c r="T511" s="6">
        <v>6.7752003272128798</v>
      </c>
      <c r="U511" s="6">
        <v>60.341971078522313</v>
      </c>
      <c r="V511" s="6">
        <v>0.27884798522515886</v>
      </c>
      <c r="W511" s="6">
        <v>9.4297243844717222</v>
      </c>
      <c r="X511" s="6">
        <v>4.4116258797429442</v>
      </c>
      <c r="Y511" s="6">
        <v>43.338239541376836</v>
      </c>
    </row>
    <row r="512" spans="1:25" x14ac:dyDescent="0.25">
      <c r="A512" t="str">
        <f t="shared" si="7"/>
        <v>RTD Ice TeaFranceDecemberEUR (€)Fully-AutomatedOldCan0.33Small-scaleMedium</v>
      </c>
      <c r="B512" t="s">
        <v>130</v>
      </c>
      <c r="C512" t="s">
        <v>130</v>
      </c>
      <c r="D512" t="s">
        <v>15</v>
      </c>
      <c r="E512" s="12" t="s">
        <v>182</v>
      </c>
      <c r="F512" t="s">
        <v>187</v>
      </c>
      <c r="G512" t="s">
        <v>12</v>
      </c>
      <c r="H512" t="s">
        <v>72</v>
      </c>
      <c r="I512" t="s">
        <v>125</v>
      </c>
      <c r="J512" s="12">
        <v>0.33</v>
      </c>
      <c r="K512" t="s">
        <v>60</v>
      </c>
      <c r="L512" t="s">
        <v>63</v>
      </c>
      <c r="M512" t="s">
        <v>199</v>
      </c>
      <c r="O512" t="s">
        <v>197</v>
      </c>
      <c r="P512">
        <v>12</v>
      </c>
      <c r="Q512" t="s">
        <v>203</v>
      </c>
      <c r="R512" s="6">
        <v>0.50107317934590667</v>
      </c>
      <c r="S512" s="6">
        <v>11.233115348539258</v>
      </c>
      <c r="T512" s="6">
        <v>7.0325765763804586</v>
      </c>
      <c r="U512" s="6">
        <v>62.634217025593884</v>
      </c>
      <c r="V512" s="6">
        <v>0.28934385437976545</v>
      </c>
      <c r="W512" s="6">
        <v>9.7834635263765666</v>
      </c>
      <c r="X512" s="6">
        <v>4.57686385353123</v>
      </c>
      <c r="Y512" s="6">
        <v>44.961868003524465</v>
      </c>
    </row>
    <row r="513" spans="1:25" x14ac:dyDescent="0.25">
      <c r="A513" t="str">
        <f t="shared" si="7"/>
        <v>RTD Ice TeaFranceDecemberEUR (€)Fully-AutomatedOldCan0.33Small-scaleHigh</v>
      </c>
      <c r="B513" t="s">
        <v>130</v>
      </c>
      <c r="C513" t="s">
        <v>130</v>
      </c>
      <c r="D513" t="s">
        <v>15</v>
      </c>
      <c r="E513" s="12" t="s">
        <v>182</v>
      </c>
      <c r="F513" t="s">
        <v>187</v>
      </c>
      <c r="G513" t="s">
        <v>12</v>
      </c>
      <c r="H513" t="s">
        <v>72</v>
      </c>
      <c r="I513" t="s">
        <v>125</v>
      </c>
      <c r="J513" s="12">
        <v>0.33</v>
      </c>
      <c r="K513" t="s">
        <v>60</v>
      </c>
      <c r="L513" t="s">
        <v>11</v>
      </c>
      <c r="M513" t="s">
        <v>199</v>
      </c>
      <c r="O513" t="s">
        <v>197</v>
      </c>
      <c r="P513">
        <v>12</v>
      </c>
      <c r="Q513" t="s">
        <v>203</v>
      </c>
      <c r="R513" s="6">
        <v>0.52086654423018053</v>
      </c>
      <c r="S513" s="6">
        <v>11.677500623655146</v>
      </c>
      <c r="T513" s="6">
        <v>7.3105429254814434</v>
      </c>
      <c r="U513" s="6">
        <v>65.10984264843114</v>
      </c>
      <c r="V513" s="6">
        <v>0.30067939306674052</v>
      </c>
      <c r="W513" s="6">
        <v>10.165501799633802</v>
      </c>
      <c r="X513" s="6">
        <v>4.75532086522258</v>
      </c>
      <c r="Y513" s="6">
        <v>46.715386742643915</v>
      </c>
    </row>
    <row r="514" spans="1:25" x14ac:dyDescent="0.25">
      <c r="A514" t="str">
        <f t="shared" ref="A514:A577" si="8">C514&amp;D514&amp;E514&amp;F514&amp;G514&amp;H514&amp;I514&amp;J514&amp;K514&amp;L514</f>
        <v>RTD Ice TeaFranceDecemberEUR (€)Fully-AutomatedOldCan0.33High-scaleLow</v>
      </c>
      <c r="B514" t="s">
        <v>130</v>
      </c>
      <c r="C514" t="s">
        <v>130</v>
      </c>
      <c r="D514" t="s">
        <v>15</v>
      </c>
      <c r="E514" s="12" t="s">
        <v>182</v>
      </c>
      <c r="F514" t="s">
        <v>187</v>
      </c>
      <c r="G514" t="s">
        <v>12</v>
      </c>
      <c r="H514" t="s">
        <v>72</v>
      </c>
      <c r="I514" t="s">
        <v>125</v>
      </c>
      <c r="J514" s="12">
        <v>0.33</v>
      </c>
      <c r="K514" t="s">
        <v>107</v>
      </c>
      <c r="L514" t="s">
        <v>13</v>
      </c>
      <c r="M514" t="s">
        <v>200</v>
      </c>
      <c r="O514" t="s">
        <v>197</v>
      </c>
      <c r="P514">
        <v>12</v>
      </c>
      <c r="Q514" t="s">
        <v>203</v>
      </c>
      <c r="R514" s="6">
        <v>0.48025036674262261</v>
      </c>
      <c r="S514" s="6">
        <v>10.772254112952902</v>
      </c>
      <c r="T514" s="6">
        <v>6.7418331876705491</v>
      </c>
      <c r="U514" s="6">
        <v>60.044540496657511</v>
      </c>
      <c r="V514" s="6">
        <v>0.27660219397936764</v>
      </c>
      <c r="W514" s="6">
        <v>9.3450108961756584</v>
      </c>
      <c r="X514" s="6">
        <v>4.3714733367003422</v>
      </c>
      <c r="Y514" s="6">
        <v>42.944707601973775</v>
      </c>
    </row>
    <row r="515" spans="1:25" x14ac:dyDescent="0.25">
      <c r="A515" t="str">
        <f t="shared" si="8"/>
        <v>RTD Ice TeaFranceDecemberEUR (€)Fully-AutomatedOldCan0.33High-scaleMedium</v>
      </c>
      <c r="B515" t="s">
        <v>130</v>
      </c>
      <c r="C515" t="s">
        <v>130</v>
      </c>
      <c r="D515" t="s">
        <v>15</v>
      </c>
      <c r="E515" s="12" t="s">
        <v>182</v>
      </c>
      <c r="F515" t="s">
        <v>187</v>
      </c>
      <c r="G515" t="s">
        <v>12</v>
      </c>
      <c r="H515" t="s">
        <v>72</v>
      </c>
      <c r="I515" t="s">
        <v>125</v>
      </c>
      <c r="J515" s="12">
        <v>0.33</v>
      </c>
      <c r="K515" t="s">
        <v>107</v>
      </c>
      <c r="L515" t="s">
        <v>63</v>
      </c>
      <c r="M515" t="s">
        <v>200</v>
      </c>
      <c r="O515" t="s">
        <v>197</v>
      </c>
      <c r="P515">
        <v>12</v>
      </c>
      <c r="Q515" t="s">
        <v>203</v>
      </c>
      <c r="R515" s="6">
        <v>0.49857755645028368</v>
      </c>
      <c r="S515" s="6">
        <v>11.183721960282426</v>
      </c>
      <c r="T515" s="6">
        <v>6.9992094368381288</v>
      </c>
      <c r="U515" s="6">
        <v>62.336786443729054</v>
      </c>
      <c r="V515" s="6">
        <v>0.28709806313397424</v>
      </c>
      <c r="W515" s="6">
        <v>9.6987500380805045</v>
      </c>
      <c r="X515" s="6">
        <v>4.5367113104886281</v>
      </c>
      <c r="Y515" s="6">
        <v>44.568336064121411</v>
      </c>
    </row>
    <row r="516" spans="1:25" x14ac:dyDescent="0.25">
      <c r="A516" t="str">
        <f t="shared" si="8"/>
        <v>RTD Ice TeaFranceDecemberEUR (€)Fully-AutomatedOldCan0.33High-scaleHigh</v>
      </c>
      <c r="B516" t="s">
        <v>130</v>
      </c>
      <c r="C516" t="s">
        <v>130</v>
      </c>
      <c r="D516" t="s">
        <v>15</v>
      </c>
      <c r="E516" s="12" t="s">
        <v>182</v>
      </c>
      <c r="F516" t="s">
        <v>187</v>
      </c>
      <c r="G516" t="s">
        <v>12</v>
      </c>
      <c r="H516" t="s">
        <v>72</v>
      </c>
      <c r="I516" t="s">
        <v>125</v>
      </c>
      <c r="J516" s="12">
        <v>0.33</v>
      </c>
      <c r="K516" t="s">
        <v>107</v>
      </c>
      <c r="L516" t="s">
        <v>11</v>
      </c>
      <c r="M516" t="s">
        <v>200</v>
      </c>
      <c r="O516" t="s">
        <v>197</v>
      </c>
      <c r="P516">
        <v>12</v>
      </c>
      <c r="Q516" t="s">
        <v>203</v>
      </c>
      <c r="R516" s="6">
        <v>0.51837092133455764</v>
      </c>
      <c r="S516" s="6">
        <v>11.628107235398311</v>
      </c>
      <c r="T516" s="6">
        <v>7.2771757859391144</v>
      </c>
      <c r="U516" s="6">
        <v>64.812412066566324</v>
      </c>
      <c r="V516" s="6">
        <v>0.29843360182094936</v>
      </c>
      <c r="W516" s="6">
        <v>10.080788311337736</v>
      </c>
      <c r="X516" s="6">
        <v>4.7151683221799781</v>
      </c>
      <c r="Y516" s="6">
        <v>46.321854803240868</v>
      </c>
    </row>
    <row r="517" spans="1:25" x14ac:dyDescent="0.25">
      <c r="A517" t="str">
        <f t="shared" si="8"/>
        <v>RTD Ice TeaFranceDecemberEUR (€)Fully-AutomatedOldCan0.33Medium-scaleLow</v>
      </c>
      <c r="B517" t="s">
        <v>130</v>
      </c>
      <c r="C517" t="s">
        <v>130</v>
      </c>
      <c r="D517" t="s">
        <v>15</v>
      </c>
      <c r="E517" s="12" t="s">
        <v>182</v>
      </c>
      <c r="F517" t="s">
        <v>187</v>
      </c>
      <c r="G517" t="s">
        <v>12</v>
      </c>
      <c r="H517" t="s">
        <v>72</v>
      </c>
      <c r="I517" t="s">
        <v>125</v>
      </c>
      <c r="J517" s="12">
        <v>0.33</v>
      </c>
      <c r="K517" t="s">
        <v>62</v>
      </c>
      <c r="L517" t="s">
        <v>13</v>
      </c>
      <c r="M517" t="s">
        <v>200</v>
      </c>
      <c r="O517" t="s">
        <v>197</v>
      </c>
      <c r="P517">
        <v>12</v>
      </c>
      <c r="Q517" t="s">
        <v>203</v>
      </c>
      <c r="R517" s="6">
        <v>0.48118622532848115</v>
      </c>
      <c r="S517" s="6">
        <v>10.790776633549212</v>
      </c>
      <c r="T517" s="6">
        <v>6.754345864998923</v>
      </c>
      <c r="U517" s="6">
        <v>60.156076964856823</v>
      </c>
      <c r="V517" s="6">
        <v>0.2774443656965393</v>
      </c>
      <c r="W517" s="6">
        <v>9.3767784542866828</v>
      </c>
      <c r="X517" s="6">
        <v>4.386530540341318</v>
      </c>
      <c r="Y517" s="6">
        <v>43.092282079249919</v>
      </c>
    </row>
    <row r="518" spans="1:25" x14ac:dyDescent="0.25">
      <c r="A518" t="str">
        <f t="shared" si="8"/>
        <v>RTD Ice TeaFranceDecemberEUR (€)Fully-AutomatedOldCan0.33Medium-scaleMedium</v>
      </c>
      <c r="B518" t="s">
        <v>130</v>
      </c>
      <c r="C518" t="s">
        <v>130</v>
      </c>
      <c r="D518" t="s">
        <v>15</v>
      </c>
      <c r="E518" s="12" t="s">
        <v>182</v>
      </c>
      <c r="F518" t="s">
        <v>187</v>
      </c>
      <c r="G518" t="s">
        <v>12</v>
      </c>
      <c r="H518" t="s">
        <v>72</v>
      </c>
      <c r="I518" t="s">
        <v>125</v>
      </c>
      <c r="J518" s="12">
        <v>0.33</v>
      </c>
      <c r="K518" t="s">
        <v>62</v>
      </c>
      <c r="L518" t="s">
        <v>63</v>
      </c>
      <c r="M518" t="s">
        <v>200</v>
      </c>
      <c r="O518" t="s">
        <v>197</v>
      </c>
      <c r="P518">
        <v>12</v>
      </c>
      <c r="Q518" t="s">
        <v>203</v>
      </c>
      <c r="R518" s="6">
        <v>0.49951341503614233</v>
      </c>
      <c r="S518" s="6">
        <v>11.202244480878738</v>
      </c>
      <c r="T518" s="6">
        <v>7.0117221141665027</v>
      </c>
      <c r="U518" s="6">
        <v>62.448322911928379</v>
      </c>
      <c r="V518" s="6">
        <v>0.28794023485114589</v>
      </c>
      <c r="W518" s="6">
        <v>9.7305175961915289</v>
      </c>
      <c r="X518" s="6">
        <v>4.5517685141296038</v>
      </c>
      <c r="Y518" s="6">
        <v>44.715910541397562</v>
      </c>
    </row>
    <row r="519" spans="1:25" x14ac:dyDescent="0.25">
      <c r="A519" t="str">
        <f t="shared" si="8"/>
        <v>RTD Ice TeaFranceDecemberEUR (€)Fully-AutomatedOldCan0.33Medium-scaleHigh</v>
      </c>
      <c r="B519" t="s">
        <v>130</v>
      </c>
      <c r="C519" t="s">
        <v>130</v>
      </c>
      <c r="D519" t="s">
        <v>15</v>
      </c>
      <c r="E519" s="12" t="s">
        <v>182</v>
      </c>
      <c r="F519" t="s">
        <v>187</v>
      </c>
      <c r="G519" t="s">
        <v>12</v>
      </c>
      <c r="H519" t="s">
        <v>72</v>
      </c>
      <c r="I519" t="s">
        <v>125</v>
      </c>
      <c r="J519" s="12">
        <v>0.33</v>
      </c>
      <c r="K519" t="s">
        <v>62</v>
      </c>
      <c r="L519" t="s">
        <v>11</v>
      </c>
      <c r="M519" t="s">
        <v>200</v>
      </c>
      <c r="O519" t="s">
        <v>197</v>
      </c>
      <c r="P519">
        <v>12</v>
      </c>
      <c r="Q519" t="s">
        <v>203</v>
      </c>
      <c r="R519" s="6">
        <v>0.51930677992041618</v>
      </c>
      <c r="S519" s="6">
        <v>11.646629755994624</v>
      </c>
      <c r="T519" s="6">
        <v>7.2896884632674865</v>
      </c>
      <c r="U519" s="6">
        <v>64.923948534765628</v>
      </c>
      <c r="V519" s="6">
        <v>0.29927577353812101</v>
      </c>
      <c r="W519" s="6">
        <v>10.112555869448762</v>
      </c>
      <c r="X519" s="6">
        <v>4.7302255258209547</v>
      </c>
      <c r="Y519" s="6">
        <v>46.469429280517012</v>
      </c>
    </row>
    <row r="520" spans="1:25" x14ac:dyDescent="0.25">
      <c r="A520" t="str">
        <f t="shared" si="8"/>
        <v>RTD Ice TeaFranceDecemberEUR (€)Fully-AutomatedOldCan0.33Small-scaleLow</v>
      </c>
      <c r="B520" t="s">
        <v>130</v>
      </c>
      <c r="C520" t="s">
        <v>130</v>
      </c>
      <c r="D520" t="s">
        <v>15</v>
      </c>
      <c r="E520" s="12" t="s">
        <v>182</v>
      </c>
      <c r="F520" t="s">
        <v>187</v>
      </c>
      <c r="G520" t="s">
        <v>12</v>
      </c>
      <c r="H520" t="s">
        <v>72</v>
      </c>
      <c r="I520" t="s">
        <v>125</v>
      </c>
      <c r="J520" s="12">
        <v>0.33</v>
      </c>
      <c r="K520" t="s">
        <v>60</v>
      </c>
      <c r="L520" t="s">
        <v>13</v>
      </c>
      <c r="M520" t="s">
        <v>200</v>
      </c>
      <c r="O520" t="s">
        <v>197</v>
      </c>
      <c r="P520">
        <v>12</v>
      </c>
      <c r="Q520" t="s">
        <v>203</v>
      </c>
      <c r="R520" s="6">
        <v>0.48274598963824539</v>
      </c>
      <c r="S520" s="6">
        <v>10.821647501209734</v>
      </c>
      <c r="T520" s="6">
        <v>6.7752003272128798</v>
      </c>
      <c r="U520" s="6">
        <v>60.341971078522313</v>
      </c>
      <c r="V520" s="6">
        <v>0.27884798522515886</v>
      </c>
      <c r="W520" s="6">
        <v>9.4297243844717222</v>
      </c>
      <c r="X520" s="6">
        <v>4.4116258797429442</v>
      </c>
      <c r="Y520" s="6">
        <v>43.338239541376836</v>
      </c>
    </row>
    <row r="521" spans="1:25" x14ac:dyDescent="0.25">
      <c r="A521" t="str">
        <f t="shared" si="8"/>
        <v>RTD Ice TeaFranceDecemberEUR (€)Fully-AutomatedOldCan0.33Small-scaleMedium</v>
      </c>
      <c r="B521" t="s">
        <v>130</v>
      </c>
      <c r="C521" t="s">
        <v>130</v>
      </c>
      <c r="D521" t="s">
        <v>15</v>
      </c>
      <c r="E521" s="12" t="s">
        <v>182</v>
      </c>
      <c r="F521" t="s">
        <v>187</v>
      </c>
      <c r="G521" t="s">
        <v>12</v>
      </c>
      <c r="H521" t="s">
        <v>72</v>
      </c>
      <c r="I521" t="s">
        <v>125</v>
      </c>
      <c r="J521" s="12">
        <v>0.33</v>
      </c>
      <c r="K521" t="s">
        <v>60</v>
      </c>
      <c r="L521" t="s">
        <v>63</v>
      </c>
      <c r="M521" t="s">
        <v>200</v>
      </c>
      <c r="O521" t="s">
        <v>197</v>
      </c>
      <c r="P521">
        <v>12</v>
      </c>
      <c r="Q521" t="s">
        <v>203</v>
      </c>
      <c r="R521" s="6">
        <v>0.50107317934590667</v>
      </c>
      <c r="S521" s="6">
        <v>11.233115348539258</v>
      </c>
      <c r="T521" s="6">
        <v>7.0325765763804586</v>
      </c>
      <c r="U521" s="6">
        <v>62.634217025593884</v>
      </c>
      <c r="V521" s="6">
        <v>0.28934385437976545</v>
      </c>
      <c r="W521" s="6">
        <v>9.7834635263765666</v>
      </c>
      <c r="X521" s="6">
        <v>4.57686385353123</v>
      </c>
      <c r="Y521" s="6">
        <v>44.961868003524465</v>
      </c>
    </row>
    <row r="522" spans="1:25" x14ac:dyDescent="0.25">
      <c r="A522" t="str">
        <f t="shared" si="8"/>
        <v>RTD Ice TeaFranceDecemberEUR (€)Fully-AutomatedOldCan0.33Small-scaleHigh</v>
      </c>
      <c r="B522" t="s">
        <v>130</v>
      </c>
      <c r="C522" t="s">
        <v>130</v>
      </c>
      <c r="D522" t="s">
        <v>15</v>
      </c>
      <c r="E522" s="12" t="s">
        <v>182</v>
      </c>
      <c r="F522" t="s">
        <v>187</v>
      </c>
      <c r="G522" t="s">
        <v>12</v>
      </c>
      <c r="H522" t="s">
        <v>72</v>
      </c>
      <c r="I522" t="s">
        <v>125</v>
      </c>
      <c r="J522" s="12">
        <v>0.33</v>
      </c>
      <c r="K522" t="s">
        <v>60</v>
      </c>
      <c r="L522" t="s">
        <v>11</v>
      </c>
      <c r="M522" t="s">
        <v>200</v>
      </c>
      <c r="O522" t="s">
        <v>197</v>
      </c>
      <c r="P522">
        <v>12</v>
      </c>
      <c r="Q522" t="s">
        <v>203</v>
      </c>
      <c r="R522" s="6">
        <v>0.52086654423018053</v>
      </c>
      <c r="S522" s="6">
        <v>11.677500623655146</v>
      </c>
      <c r="T522" s="6">
        <v>7.3105429254814434</v>
      </c>
      <c r="U522" s="6">
        <v>65.10984264843114</v>
      </c>
      <c r="V522" s="6">
        <v>0.30067939306674052</v>
      </c>
      <c r="W522" s="6">
        <v>10.165501799633802</v>
      </c>
      <c r="X522" s="6">
        <v>4.75532086522258</v>
      </c>
      <c r="Y522" s="6">
        <v>46.715386742643915</v>
      </c>
    </row>
    <row r="523" spans="1:25" x14ac:dyDescent="0.25">
      <c r="A523" t="str">
        <f t="shared" si="8"/>
        <v>RTD Ice TeaFranceDecemberEUR (€)Fully-AutomatedOldCan0.33High-scaleLow</v>
      </c>
      <c r="B523" t="s">
        <v>130</v>
      </c>
      <c r="C523" t="s">
        <v>130</v>
      </c>
      <c r="D523" t="s">
        <v>15</v>
      </c>
      <c r="E523" s="12" t="s">
        <v>182</v>
      </c>
      <c r="F523" t="s">
        <v>187</v>
      </c>
      <c r="G523" t="s">
        <v>12</v>
      </c>
      <c r="H523" t="s">
        <v>72</v>
      </c>
      <c r="I523" t="s">
        <v>125</v>
      </c>
      <c r="J523" s="12">
        <v>0.33</v>
      </c>
      <c r="K523" t="s">
        <v>107</v>
      </c>
      <c r="L523" t="s">
        <v>13</v>
      </c>
      <c r="M523" t="s">
        <v>199</v>
      </c>
      <c r="O523" t="s">
        <v>197</v>
      </c>
      <c r="P523">
        <v>24</v>
      </c>
      <c r="Q523" t="s">
        <v>204</v>
      </c>
      <c r="R523" s="6">
        <v>0.48025036674262261</v>
      </c>
      <c r="S523" s="6">
        <v>10.772254112952902</v>
      </c>
      <c r="T523" s="6">
        <v>6.7418331876705491</v>
      </c>
      <c r="U523" s="6">
        <v>60.044540496657511</v>
      </c>
      <c r="V523" s="6">
        <v>0.20514363180445752</v>
      </c>
      <c r="W523" s="6">
        <v>7.3355997114363438</v>
      </c>
      <c r="X523" s="6">
        <v>3.2783327906454787</v>
      </c>
      <c r="Y523" s="6">
        <v>32.417192763821284</v>
      </c>
    </row>
    <row r="524" spans="1:25" x14ac:dyDescent="0.25">
      <c r="A524" t="str">
        <f t="shared" si="8"/>
        <v>RTD Ice TeaFranceDecemberEUR (€)Fully-AutomatedOldCan0.33High-scaleMedium</v>
      </c>
      <c r="B524" t="s">
        <v>130</v>
      </c>
      <c r="C524" t="s">
        <v>130</v>
      </c>
      <c r="D524" t="s">
        <v>15</v>
      </c>
      <c r="E524" s="12" t="s">
        <v>182</v>
      </c>
      <c r="F524" t="s">
        <v>187</v>
      </c>
      <c r="G524" t="s">
        <v>12</v>
      </c>
      <c r="H524" t="s">
        <v>72</v>
      </c>
      <c r="I524" t="s">
        <v>125</v>
      </c>
      <c r="J524" s="12">
        <v>0.33</v>
      </c>
      <c r="K524" t="s">
        <v>107</v>
      </c>
      <c r="L524" t="s">
        <v>63</v>
      </c>
      <c r="M524" t="s">
        <v>199</v>
      </c>
      <c r="O524" t="s">
        <v>197</v>
      </c>
      <c r="P524">
        <v>24</v>
      </c>
      <c r="Q524" t="s">
        <v>204</v>
      </c>
      <c r="R524" s="6">
        <v>0.49857755645028368</v>
      </c>
      <c r="S524" s="6">
        <v>11.183721960282426</v>
      </c>
      <c r="T524" s="6">
        <v>6.9992094368381288</v>
      </c>
      <c r="U524" s="6">
        <v>62.336786443729054</v>
      </c>
      <c r="V524" s="6">
        <v>0.21292411725459015</v>
      </c>
      <c r="W524" s="6">
        <v>7.6129350282981783</v>
      </c>
      <c r="X524" s="6">
        <v>3.4019901958513774</v>
      </c>
      <c r="Y524" s="6">
        <v>33.640399625654283</v>
      </c>
    </row>
    <row r="525" spans="1:25" x14ac:dyDescent="0.25">
      <c r="A525" t="str">
        <f t="shared" si="8"/>
        <v>RTD Ice TeaFranceDecemberEUR (€)Fully-AutomatedOldCan0.33High-scaleHigh</v>
      </c>
      <c r="B525" t="s">
        <v>130</v>
      </c>
      <c r="C525" t="s">
        <v>130</v>
      </c>
      <c r="D525" t="s">
        <v>15</v>
      </c>
      <c r="E525" s="12" t="s">
        <v>182</v>
      </c>
      <c r="F525" t="s">
        <v>187</v>
      </c>
      <c r="G525" t="s">
        <v>12</v>
      </c>
      <c r="H525" t="s">
        <v>72</v>
      </c>
      <c r="I525" t="s">
        <v>125</v>
      </c>
      <c r="J525" s="12">
        <v>0.33</v>
      </c>
      <c r="K525" t="s">
        <v>107</v>
      </c>
      <c r="L525" t="s">
        <v>11</v>
      </c>
      <c r="M525" t="s">
        <v>199</v>
      </c>
      <c r="O525" t="s">
        <v>197</v>
      </c>
      <c r="P525">
        <v>24</v>
      </c>
      <c r="Q525" t="s">
        <v>204</v>
      </c>
      <c r="R525" s="6">
        <v>0.51837092133455764</v>
      </c>
      <c r="S525" s="6">
        <v>11.628107235398311</v>
      </c>
      <c r="T525" s="6">
        <v>7.2771757859391144</v>
      </c>
      <c r="U525" s="6">
        <v>64.812412066566324</v>
      </c>
      <c r="V525" s="6">
        <v>0.22132704154073329</v>
      </c>
      <c r="W525" s="6">
        <v>7.9124571705089588</v>
      </c>
      <c r="X525" s="6">
        <v>3.5355401934737487</v>
      </c>
      <c r="Y525" s="6">
        <v>34.961463036433926</v>
      </c>
    </row>
    <row r="526" spans="1:25" x14ac:dyDescent="0.25">
      <c r="A526" t="str">
        <f t="shared" si="8"/>
        <v>RTD Ice TeaFranceDecemberEUR (€)Fully-AutomatedOldCan0.33Medium-scaleLow</v>
      </c>
      <c r="B526" t="s">
        <v>130</v>
      </c>
      <c r="C526" t="s">
        <v>130</v>
      </c>
      <c r="D526" t="s">
        <v>15</v>
      </c>
      <c r="E526" s="12" t="s">
        <v>182</v>
      </c>
      <c r="F526" t="s">
        <v>187</v>
      </c>
      <c r="G526" t="s">
        <v>12</v>
      </c>
      <c r="H526" t="s">
        <v>72</v>
      </c>
      <c r="I526" t="s">
        <v>125</v>
      </c>
      <c r="J526" s="12">
        <v>0.33</v>
      </c>
      <c r="K526" t="s">
        <v>62</v>
      </c>
      <c r="L526" t="s">
        <v>13</v>
      </c>
      <c r="M526" t="s">
        <v>199</v>
      </c>
      <c r="O526" t="s">
        <v>197</v>
      </c>
      <c r="P526">
        <v>24</v>
      </c>
      <c r="Q526" t="s">
        <v>204</v>
      </c>
      <c r="R526" s="6">
        <v>0.48118622532848115</v>
      </c>
      <c r="S526" s="6">
        <v>10.790776633549212</v>
      </c>
      <c r="T526" s="6">
        <v>6.754345864998923</v>
      </c>
      <c r="U526" s="6">
        <v>60.156076964856823</v>
      </c>
      <c r="V526" s="6">
        <v>0.20577115705698273</v>
      </c>
      <c r="W526" s="6">
        <v>7.3616393361421109</v>
      </c>
      <c r="X526" s="6">
        <v>3.2903785535582593</v>
      </c>
      <c r="Y526" s="6">
        <v>32.535628933604428</v>
      </c>
    </row>
    <row r="527" spans="1:25" x14ac:dyDescent="0.25">
      <c r="A527" t="str">
        <f t="shared" si="8"/>
        <v>RTD Ice TeaFranceDecemberEUR (€)Fully-AutomatedOldCan0.33Medium-scaleMedium</v>
      </c>
      <c r="B527" t="s">
        <v>130</v>
      </c>
      <c r="C527" t="s">
        <v>130</v>
      </c>
      <c r="D527" t="s">
        <v>15</v>
      </c>
      <c r="E527" s="12" t="s">
        <v>182</v>
      </c>
      <c r="F527" t="s">
        <v>187</v>
      </c>
      <c r="G527" t="s">
        <v>12</v>
      </c>
      <c r="H527" t="s">
        <v>72</v>
      </c>
      <c r="I527" t="s">
        <v>125</v>
      </c>
      <c r="J527" s="12">
        <v>0.33</v>
      </c>
      <c r="K527" t="s">
        <v>62</v>
      </c>
      <c r="L527" t="s">
        <v>63</v>
      </c>
      <c r="M527" t="s">
        <v>199</v>
      </c>
      <c r="O527" t="s">
        <v>197</v>
      </c>
      <c r="P527">
        <v>24</v>
      </c>
      <c r="Q527" t="s">
        <v>204</v>
      </c>
      <c r="R527" s="6">
        <v>0.49951341503614233</v>
      </c>
      <c r="S527" s="6">
        <v>11.202244480878738</v>
      </c>
      <c r="T527" s="6">
        <v>7.0117221141665027</v>
      </c>
      <c r="U527" s="6">
        <v>62.448322911928379</v>
      </c>
      <c r="V527" s="6">
        <v>0.21355164250711542</v>
      </c>
      <c r="W527" s="6">
        <v>7.6389746530039453</v>
      </c>
      <c r="X527" s="6">
        <v>3.4140359587641589</v>
      </c>
      <c r="Y527" s="6">
        <v>33.758835795437435</v>
      </c>
    </row>
    <row r="528" spans="1:25" x14ac:dyDescent="0.25">
      <c r="A528" t="str">
        <f t="shared" si="8"/>
        <v>RTD Ice TeaFranceDecemberEUR (€)Fully-AutomatedOldCan0.33Medium-scaleHigh</v>
      </c>
      <c r="B528" t="s">
        <v>130</v>
      </c>
      <c r="C528" t="s">
        <v>130</v>
      </c>
      <c r="D528" t="s">
        <v>15</v>
      </c>
      <c r="E528" s="12" t="s">
        <v>182</v>
      </c>
      <c r="F528" t="s">
        <v>187</v>
      </c>
      <c r="G528" t="s">
        <v>12</v>
      </c>
      <c r="H528" t="s">
        <v>72</v>
      </c>
      <c r="I528" t="s">
        <v>125</v>
      </c>
      <c r="J528" s="12">
        <v>0.33</v>
      </c>
      <c r="K528" t="s">
        <v>62</v>
      </c>
      <c r="L528" t="s">
        <v>11</v>
      </c>
      <c r="M528" t="s">
        <v>199</v>
      </c>
      <c r="O528" t="s">
        <v>197</v>
      </c>
      <c r="P528">
        <v>24</v>
      </c>
      <c r="Q528" t="s">
        <v>204</v>
      </c>
      <c r="R528" s="6">
        <v>0.51930677992041618</v>
      </c>
      <c r="S528" s="6">
        <v>11.646629755994624</v>
      </c>
      <c r="T528" s="6">
        <v>7.2896884632674865</v>
      </c>
      <c r="U528" s="6">
        <v>64.923948534765628</v>
      </c>
      <c r="V528" s="6">
        <v>0.22195456679325851</v>
      </c>
      <c r="W528" s="6">
        <v>7.9384967952147267</v>
      </c>
      <c r="X528" s="6">
        <v>3.5475859563865297</v>
      </c>
      <c r="Y528" s="6">
        <v>35.079899206217078</v>
      </c>
    </row>
    <row r="529" spans="1:25" x14ac:dyDescent="0.25">
      <c r="A529" t="str">
        <f t="shared" si="8"/>
        <v>RTD Ice TeaFranceDecemberEUR (€)Fully-AutomatedOldCan0.33Small-scaleLow</v>
      </c>
      <c r="B529" t="s">
        <v>130</v>
      </c>
      <c r="C529" t="s">
        <v>130</v>
      </c>
      <c r="D529" t="s">
        <v>15</v>
      </c>
      <c r="E529" s="12" t="s">
        <v>182</v>
      </c>
      <c r="F529" t="s">
        <v>187</v>
      </c>
      <c r="G529" t="s">
        <v>12</v>
      </c>
      <c r="H529" t="s">
        <v>72</v>
      </c>
      <c r="I529" t="s">
        <v>125</v>
      </c>
      <c r="J529" s="12">
        <v>0.33</v>
      </c>
      <c r="K529" t="s">
        <v>60</v>
      </c>
      <c r="L529" t="s">
        <v>13</v>
      </c>
      <c r="M529" t="s">
        <v>199</v>
      </c>
      <c r="O529" t="s">
        <v>197</v>
      </c>
      <c r="P529">
        <v>24</v>
      </c>
      <c r="Q529" t="s">
        <v>204</v>
      </c>
      <c r="R529" s="6">
        <v>0.48274598963824539</v>
      </c>
      <c r="S529" s="6">
        <v>10.821647501209734</v>
      </c>
      <c r="T529" s="6">
        <v>6.7752003272128798</v>
      </c>
      <c r="U529" s="6">
        <v>60.341971078522313</v>
      </c>
      <c r="V529" s="6">
        <v>0.20681703247785815</v>
      </c>
      <c r="W529" s="6">
        <v>7.4050387106517208</v>
      </c>
      <c r="X529" s="6">
        <v>3.3104548250795602</v>
      </c>
      <c r="Y529" s="6">
        <v>32.733022549909663</v>
      </c>
    </row>
    <row r="530" spans="1:25" x14ac:dyDescent="0.25">
      <c r="A530" t="str">
        <f t="shared" si="8"/>
        <v>RTD Ice TeaFranceDecemberEUR (€)Fully-AutomatedOldCan0.33Small-scaleMedium</v>
      </c>
      <c r="B530" t="s">
        <v>130</v>
      </c>
      <c r="C530" t="s">
        <v>130</v>
      </c>
      <c r="D530" t="s">
        <v>15</v>
      </c>
      <c r="E530" s="12" t="s">
        <v>182</v>
      </c>
      <c r="F530" t="s">
        <v>187</v>
      </c>
      <c r="G530" t="s">
        <v>12</v>
      </c>
      <c r="H530" t="s">
        <v>72</v>
      </c>
      <c r="I530" t="s">
        <v>125</v>
      </c>
      <c r="J530" s="12">
        <v>0.33</v>
      </c>
      <c r="K530" t="s">
        <v>60</v>
      </c>
      <c r="L530" t="s">
        <v>63</v>
      </c>
      <c r="M530" t="s">
        <v>199</v>
      </c>
      <c r="O530" t="s">
        <v>197</v>
      </c>
      <c r="P530">
        <v>24</v>
      </c>
      <c r="Q530" t="s">
        <v>204</v>
      </c>
      <c r="R530" s="6">
        <v>0.50107317934590667</v>
      </c>
      <c r="S530" s="6">
        <v>11.233115348539258</v>
      </c>
      <c r="T530" s="6">
        <v>7.0325765763804586</v>
      </c>
      <c r="U530" s="6">
        <v>62.634217025593884</v>
      </c>
      <c r="V530" s="6">
        <v>0.21459751792799081</v>
      </c>
      <c r="W530" s="6">
        <v>7.682374027513557</v>
      </c>
      <c r="X530" s="6">
        <v>3.4341122302854599</v>
      </c>
      <c r="Y530" s="6">
        <v>33.956229411742676</v>
      </c>
    </row>
    <row r="531" spans="1:25" x14ac:dyDescent="0.25">
      <c r="A531" t="str">
        <f t="shared" si="8"/>
        <v>RTD Ice TeaFranceDecemberEUR (€)Fully-AutomatedOldCan0.33Small-scaleHigh</v>
      </c>
      <c r="B531" t="s">
        <v>130</v>
      </c>
      <c r="C531" t="s">
        <v>130</v>
      </c>
      <c r="D531" t="s">
        <v>15</v>
      </c>
      <c r="E531" s="12" t="s">
        <v>182</v>
      </c>
      <c r="F531" t="s">
        <v>187</v>
      </c>
      <c r="G531" t="s">
        <v>12</v>
      </c>
      <c r="H531" t="s">
        <v>72</v>
      </c>
      <c r="I531" t="s">
        <v>125</v>
      </c>
      <c r="J531" s="12">
        <v>0.33</v>
      </c>
      <c r="K531" t="s">
        <v>60</v>
      </c>
      <c r="L531" t="s">
        <v>11</v>
      </c>
      <c r="M531" t="s">
        <v>199</v>
      </c>
      <c r="O531" t="s">
        <v>197</v>
      </c>
      <c r="P531">
        <v>24</v>
      </c>
      <c r="Q531" t="s">
        <v>204</v>
      </c>
      <c r="R531" s="6">
        <v>0.52086654423018053</v>
      </c>
      <c r="S531" s="6">
        <v>11.677500623655146</v>
      </c>
      <c r="T531" s="6">
        <v>7.3105429254814434</v>
      </c>
      <c r="U531" s="6">
        <v>65.10984264843114</v>
      </c>
      <c r="V531" s="6">
        <v>0.22300044221413395</v>
      </c>
      <c r="W531" s="6">
        <v>7.9818961697243376</v>
      </c>
      <c r="X531" s="6">
        <v>3.5676622279078298</v>
      </c>
      <c r="Y531" s="6">
        <v>35.277292822522313</v>
      </c>
    </row>
    <row r="532" spans="1:25" x14ac:dyDescent="0.25">
      <c r="A532" t="str">
        <f t="shared" si="8"/>
        <v>RTD Ice TeaFranceDecemberEUR (€)Fully-AutomatedOldCan0.33High-scaleLow</v>
      </c>
      <c r="B532" t="s">
        <v>130</v>
      </c>
      <c r="C532" t="s">
        <v>130</v>
      </c>
      <c r="D532" t="s">
        <v>15</v>
      </c>
      <c r="E532" s="12" t="s">
        <v>182</v>
      </c>
      <c r="F532" t="s">
        <v>187</v>
      </c>
      <c r="G532" t="s">
        <v>12</v>
      </c>
      <c r="H532" t="s">
        <v>72</v>
      </c>
      <c r="I532" t="s">
        <v>125</v>
      </c>
      <c r="J532" s="12">
        <v>0.33</v>
      </c>
      <c r="K532" t="s">
        <v>107</v>
      </c>
      <c r="L532" t="s">
        <v>13</v>
      </c>
      <c r="M532" t="s">
        <v>200</v>
      </c>
      <c r="O532" t="s">
        <v>197</v>
      </c>
      <c r="P532">
        <v>24</v>
      </c>
      <c r="Q532" t="s">
        <v>204</v>
      </c>
      <c r="R532" s="6">
        <v>0.48025036674262261</v>
      </c>
      <c r="S532" s="6">
        <v>10.772254112952902</v>
      </c>
      <c r="T532" s="6">
        <v>6.7418331876705491</v>
      </c>
      <c r="U532" s="6">
        <v>60.044540496657511</v>
      </c>
      <c r="V532" s="6">
        <v>0.20514363180445752</v>
      </c>
      <c r="W532" s="6">
        <v>7.3355997114363438</v>
      </c>
      <c r="X532" s="6">
        <v>3.2783327906454787</v>
      </c>
      <c r="Y532" s="6">
        <v>32.417192763821284</v>
      </c>
    </row>
    <row r="533" spans="1:25" x14ac:dyDescent="0.25">
      <c r="A533" t="str">
        <f t="shared" si="8"/>
        <v>RTD Ice TeaFranceDecemberEUR (€)Fully-AutomatedOldCan0.33High-scaleMedium</v>
      </c>
      <c r="B533" t="s">
        <v>130</v>
      </c>
      <c r="C533" t="s">
        <v>130</v>
      </c>
      <c r="D533" t="s">
        <v>15</v>
      </c>
      <c r="E533" s="12" t="s">
        <v>182</v>
      </c>
      <c r="F533" t="s">
        <v>187</v>
      </c>
      <c r="G533" t="s">
        <v>12</v>
      </c>
      <c r="H533" t="s">
        <v>72</v>
      </c>
      <c r="I533" t="s">
        <v>125</v>
      </c>
      <c r="J533" s="12">
        <v>0.33</v>
      </c>
      <c r="K533" t="s">
        <v>107</v>
      </c>
      <c r="L533" t="s">
        <v>63</v>
      </c>
      <c r="M533" t="s">
        <v>200</v>
      </c>
      <c r="O533" t="s">
        <v>197</v>
      </c>
      <c r="P533">
        <v>24</v>
      </c>
      <c r="Q533" t="s">
        <v>204</v>
      </c>
      <c r="R533" s="6">
        <v>0.49857755645028368</v>
      </c>
      <c r="S533" s="6">
        <v>11.183721960282426</v>
      </c>
      <c r="T533" s="6">
        <v>6.9992094368381288</v>
      </c>
      <c r="U533" s="6">
        <v>62.336786443729054</v>
      </c>
      <c r="V533" s="6">
        <v>0.21292411725459015</v>
      </c>
      <c r="W533" s="6">
        <v>7.6129350282981783</v>
      </c>
      <c r="X533" s="6">
        <v>3.4019901958513774</v>
      </c>
      <c r="Y533" s="6">
        <v>33.640399625654283</v>
      </c>
    </row>
    <row r="534" spans="1:25" x14ac:dyDescent="0.25">
      <c r="A534" t="str">
        <f t="shared" si="8"/>
        <v>RTD Ice TeaFranceDecemberEUR (€)Fully-AutomatedOldCan0.33High-scaleHigh</v>
      </c>
      <c r="B534" t="s">
        <v>130</v>
      </c>
      <c r="C534" t="s">
        <v>130</v>
      </c>
      <c r="D534" t="s">
        <v>15</v>
      </c>
      <c r="E534" s="12" t="s">
        <v>182</v>
      </c>
      <c r="F534" t="s">
        <v>187</v>
      </c>
      <c r="G534" t="s">
        <v>12</v>
      </c>
      <c r="H534" t="s">
        <v>72</v>
      </c>
      <c r="I534" t="s">
        <v>125</v>
      </c>
      <c r="J534" s="12">
        <v>0.33</v>
      </c>
      <c r="K534" t="s">
        <v>107</v>
      </c>
      <c r="L534" t="s">
        <v>11</v>
      </c>
      <c r="M534" t="s">
        <v>200</v>
      </c>
      <c r="O534" t="s">
        <v>197</v>
      </c>
      <c r="P534">
        <v>24</v>
      </c>
      <c r="Q534" t="s">
        <v>204</v>
      </c>
      <c r="R534" s="6">
        <v>0.51837092133455764</v>
      </c>
      <c r="S534" s="6">
        <v>11.628107235398311</v>
      </c>
      <c r="T534" s="6">
        <v>7.2771757859391144</v>
      </c>
      <c r="U534" s="6">
        <v>64.812412066566324</v>
      </c>
      <c r="V534" s="6">
        <v>0.22132704154073329</v>
      </c>
      <c r="W534" s="6">
        <v>7.9124571705089588</v>
      </c>
      <c r="X534" s="6">
        <v>3.5355401934737487</v>
      </c>
      <c r="Y534" s="6">
        <v>34.961463036433926</v>
      </c>
    </row>
    <row r="535" spans="1:25" x14ac:dyDescent="0.25">
      <c r="A535" t="str">
        <f t="shared" si="8"/>
        <v>RTD Ice TeaFranceDecemberEUR (€)Fully-AutomatedOldCan0.33Medium-scaleLow</v>
      </c>
      <c r="B535" t="s">
        <v>130</v>
      </c>
      <c r="C535" t="s">
        <v>130</v>
      </c>
      <c r="D535" t="s">
        <v>15</v>
      </c>
      <c r="E535" s="12" t="s">
        <v>182</v>
      </c>
      <c r="F535" t="s">
        <v>187</v>
      </c>
      <c r="G535" t="s">
        <v>12</v>
      </c>
      <c r="H535" t="s">
        <v>72</v>
      </c>
      <c r="I535" t="s">
        <v>125</v>
      </c>
      <c r="J535" s="12">
        <v>0.33</v>
      </c>
      <c r="K535" t="s">
        <v>62</v>
      </c>
      <c r="L535" t="s">
        <v>13</v>
      </c>
      <c r="M535" t="s">
        <v>200</v>
      </c>
      <c r="O535" t="s">
        <v>197</v>
      </c>
      <c r="P535">
        <v>24</v>
      </c>
      <c r="Q535" t="s">
        <v>204</v>
      </c>
      <c r="R535" s="6">
        <v>0.48118622532848115</v>
      </c>
      <c r="S535" s="6">
        <v>10.790776633549212</v>
      </c>
      <c r="T535" s="6">
        <v>6.754345864998923</v>
      </c>
      <c r="U535" s="6">
        <v>60.156076964856823</v>
      </c>
      <c r="V535" s="6">
        <v>0.20577115705698273</v>
      </c>
      <c r="W535" s="6">
        <v>7.3616393361421109</v>
      </c>
      <c r="X535" s="6">
        <v>3.2903785535582593</v>
      </c>
      <c r="Y535" s="6">
        <v>32.535628933604428</v>
      </c>
    </row>
    <row r="536" spans="1:25" x14ac:dyDescent="0.25">
      <c r="A536" t="str">
        <f t="shared" si="8"/>
        <v>RTD Ice TeaFranceDecemberEUR (€)Fully-AutomatedOldCan0.33Medium-scaleMedium</v>
      </c>
      <c r="B536" t="s">
        <v>130</v>
      </c>
      <c r="C536" t="s">
        <v>130</v>
      </c>
      <c r="D536" t="s">
        <v>15</v>
      </c>
      <c r="E536" s="12" t="s">
        <v>182</v>
      </c>
      <c r="F536" t="s">
        <v>187</v>
      </c>
      <c r="G536" t="s">
        <v>12</v>
      </c>
      <c r="H536" t="s">
        <v>72</v>
      </c>
      <c r="I536" t="s">
        <v>125</v>
      </c>
      <c r="J536" s="12">
        <v>0.33</v>
      </c>
      <c r="K536" t="s">
        <v>62</v>
      </c>
      <c r="L536" t="s">
        <v>63</v>
      </c>
      <c r="M536" t="s">
        <v>200</v>
      </c>
      <c r="O536" t="s">
        <v>197</v>
      </c>
      <c r="P536">
        <v>24</v>
      </c>
      <c r="Q536" t="s">
        <v>204</v>
      </c>
      <c r="R536" s="6">
        <v>0.49951341503614233</v>
      </c>
      <c r="S536" s="6">
        <v>11.202244480878738</v>
      </c>
      <c r="T536" s="6">
        <v>7.0117221141665027</v>
      </c>
      <c r="U536" s="6">
        <v>62.448322911928379</v>
      </c>
      <c r="V536" s="6">
        <v>0.21355164250711542</v>
      </c>
      <c r="W536" s="6">
        <v>7.6389746530039453</v>
      </c>
      <c r="X536" s="6">
        <v>3.4140359587641589</v>
      </c>
      <c r="Y536" s="6">
        <v>33.758835795437435</v>
      </c>
    </row>
    <row r="537" spans="1:25" x14ac:dyDescent="0.25">
      <c r="A537" t="str">
        <f t="shared" si="8"/>
        <v>RTD Ice TeaFranceDecemberEUR (€)Fully-AutomatedOldCan0.33Medium-scaleHigh</v>
      </c>
      <c r="B537" t="s">
        <v>130</v>
      </c>
      <c r="C537" t="s">
        <v>130</v>
      </c>
      <c r="D537" t="s">
        <v>15</v>
      </c>
      <c r="E537" s="12" t="s">
        <v>182</v>
      </c>
      <c r="F537" t="s">
        <v>187</v>
      </c>
      <c r="G537" t="s">
        <v>12</v>
      </c>
      <c r="H537" t="s">
        <v>72</v>
      </c>
      <c r="I537" t="s">
        <v>125</v>
      </c>
      <c r="J537" s="12">
        <v>0.33</v>
      </c>
      <c r="K537" t="s">
        <v>62</v>
      </c>
      <c r="L537" t="s">
        <v>11</v>
      </c>
      <c r="M537" t="s">
        <v>200</v>
      </c>
      <c r="O537" t="s">
        <v>197</v>
      </c>
      <c r="P537">
        <v>24</v>
      </c>
      <c r="Q537" t="s">
        <v>204</v>
      </c>
      <c r="R537" s="6">
        <v>0.51930677992041618</v>
      </c>
      <c r="S537" s="6">
        <v>11.646629755994624</v>
      </c>
      <c r="T537" s="6">
        <v>7.2896884632674865</v>
      </c>
      <c r="U537" s="6">
        <v>64.923948534765628</v>
      </c>
      <c r="V537" s="6">
        <v>0.22195456679325851</v>
      </c>
      <c r="W537" s="6">
        <v>7.9384967952147267</v>
      </c>
      <c r="X537" s="6">
        <v>3.5475859563865297</v>
      </c>
      <c r="Y537" s="6">
        <v>35.079899206217078</v>
      </c>
    </row>
    <row r="538" spans="1:25" x14ac:dyDescent="0.25">
      <c r="A538" t="str">
        <f t="shared" si="8"/>
        <v>RTD Ice TeaFranceDecemberEUR (€)Fully-AutomatedOldCan0.33Small-scaleLow</v>
      </c>
      <c r="B538" t="s">
        <v>130</v>
      </c>
      <c r="C538" t="s">
        <v>130</v>
      </c>
      <c r="D538" t="s">
        <v>15</v>
      </c>
      <c r="E538" s="12" t="s">
        <v>182</v>
      </c>
      <c r="F538" t="s">
        <v>187</v>
      </c>
      <c r="G538" t="s">
        <v>12</v>
      </c>
      <c r="H538" t="s">
        <v>72</v>
      </c>
      <c r="I538" t="s">
        <v>125</v>
      </c>
      <c r="J538" s="12">
        <v>0.33</v>
      </c>
      <c r="K538" t="s">
        <v>60</v>
      </c>
      <c r="L538" t="s">
        <v>13</v>
      </c>
      <c r="M538" t="s">
        <v>200</v>
      </c>
      <c r="O538" t="s">
        <v>197</v>
      </c>
      <c r="P538">
        <v>24</v>
      </c>
      <c r="Q538" t="s">
        <v>204</v>
      </c>
      <c r="R538" s="6">
        <v>0.48274598963824539</v>
      </c>
      <c r="S538" s="6">
        <v>10.821647501209734</v>
      </c>
      <c r="T538" s="6">
        <v>6.7752003272128798</v>
      </c>
      <c r="U538" s="6">
        <v>60.341971078522313</v>
      </c>
      <c r="V538" s="6">
        <v>0.20681703247785815</v>
      </c>
      <c r="W538" s="6">
        <v>7.4050387106517208</v>
      </c>
      <c r="X538" s="6">
        <v>3.3104548250795602</v>
      </c>
      <c r="Y538" s="6">
        <v>32.733022549909663</v>
      </c>
    </row>
    <row r="539" spans="1:25" x14ac:dyDescent="0.25">
      <c r="A539" t="str">
        <f t="shared" si="8"/>
        <v>RTD Ice TeaFranceDecemberEUR (€)Fully-AutomatedOldCan0.33Small-scaleMedium</v>
      </c>
      <c r="B539" t="s">
        <v>130</v>
      </c>
      <c r="C539" t="s">
        <v>130</v>
      </c>
      <c r="D539" t="s">
        <v>15</v>
      </c>
      <c r="E539" s="12" t="s">
        <v>182</v>
      </c>
      <c r="F539" t="s">
        <v>187</v>
      </c>
      <c r="G539" t="s">
        <v>12</v>
      </c>
      <c r="H539" t="s">
        <v>72</v>
      </c>
      <c r="I539" t="s">
        <v>125</v>
      </c>
      <c r="J539" s="12">
        <v>0.33</v>
      </c>
      <c r="K539" t="s">
        <v>60</v>
      </c>
      <c r="L539" t="s">
        <v>63</v>
      </c>
      <c r="M539" t="s">
        <v>200</v>
      </c>
      <c r="O539" t="s">
        <v>197</v>
      </c>
      <c r="P539">
        <v>24</v>
      </c>
      <c r="Q539" t="s">
        <v>204</v>
      </c>
      <c r="R539" s="6">
        <v>0.50107317934590667</v>
      </c>
      <c r="S539" s="6">
        <v>11.233115348539258</v>
      </c>
      <c r="T539" s="6">
        <v>7.0325765763804586</v>
      </c>
      <c r="U539" s="6">
        <v>62.634217025593884</v>
      </c>
      <c r="V539" s="6">
        <v>0.21459751792799081</v>
      </c>
      <c r="W539" s="6">
        <v>7.682374027513557</v>
      </c>
      <c r="X539" s="6">
        <v>3.4341122302854599</v>
      </c>
      <c r="Y539" s="6">
        <v>33.956229411742676</v>
      </c>
    </row>
    <row r="540" spans="1:25" x14ac:dyDescent="0.25">
      <c r="A540" t="str">
        <f t="shared" si="8"/>
        <v>RTD Ice TeaFranceDecemberEUR (€)Fully-AutomatedOldCan0.33Small-scaleHigh</v>
      </c>
      <c r="B540" t="s">
        <v>130</v>
      </c>
      <c r="C540" t="s">
        <v>130</v>
      </c>
      <c r="D540" t="s">
        <v>15</v>
      </c>
      <c r="E540" s="12" t="s">
        <v>182</v>
      </c>
      <c r="F540" t="s">
        <v>187</v>
      </c>
      <c r="G540" t="s">
        <v>12</v>
      </c>
      <c r="H540" t="s">
        <v>72</v>
      </c>
      <c r="I540" t="s">
        <v>125</v>
      </c>
      <c r="J540" s="12">
        <v>0.33</v>
      </c>
      <c r="K540" t="s">
        <v>60</v>
      </c>
      <c r="L540" t="s">
        <v>11</v>
      </c>
      <c r="M540" t="s">
        <v>200</v>
      </c>
      <c r="O540" t="s">
        <v>197</v>
      </c>
      <c r="P540">
        <v>24</v>
      </c>
      <c r="Q540" t="s">
        <v>204</v>
      </c>
      <c r="R540" s="6">
        <v>0.52086654423018053</v>
      </c>
      <c r="S540" s="6">
        <v>11.677500623655146</v>
      </c>
      <c r="T540" s="6">
        <v>7.3105429254814434</v>
      </c>
      <c r="U540" s="6">
        <v>65.10984264843114</v>
      </c>
      <c r="V540" s="6">
        <v>0.22300044221413395</v>
      </c>
      <c r="W540" s="6">
        <v>7.9818961697243376</v>
      </c>
      <c r="X540" s="6">
        <v>3.5676622279078298</v>
      </c>
      <c r="Y540" s="6">
        <v>35.277292822522313</v>
      </c>
    </row>
    <row r="541" spans="1:25" x14ac:dyDescent="0.25">
      <c r="A541" t="str">
        <f t="shared" si="8"/>
        <v>RTD Ice TeaFranceDecemberEUR (€)Fully-AutomatedOldCan0.5High-scaleLow</v>
      </c>
      <c r="B541" t="s">
        <v>130</v>
      </c>
      <c r="C541" t="s">
        <v>130</v>
      </c>
      <c r="D541" t="s">
        <v>15</v>
      </c>
      <c r="E541" s="12" t="s">
        <v>182</v>
      </c>
      <c r="F541" t="s">
        <v>187</v>
      </c>
      <c r="G541" t="s">
        <v>12</v>
      </c>
      <c r="H541" t="s">
        <v>72</v>
      </c>
      <c r="I541" t="s">
        <v>125</v>
      </c>
      <c r="J541" s="12">
        <v>0.5</v>
      </c>
      <c r="K541" t="s">
        <v>107</v>
      </c>
      <c r="L541" t="s">
        <v>13</v>
      </c>
      <c r="M541" t="s">
        <v>199</v>
      </c>
      <c r="O541" t="s">
        <v>197</v>
      </c>
      <c r="P541">
        <v>4</v>
      </c>
      <c r="Q541" t="s">
        <v>198</v>
      </c>
      <c r="R541" s="6">
        <v>0.48025036674262261</v>
      </c>
      <c r="S541" s="6">
        <v>10.772254112952902</v>
      </c>
      <c r="T541" s="6">
        <v>6.7418331876705491</v>
      </c>
      <c r="U541" s="6">
        <v>60.044540496657511</v>
      </c>
      <c r="V541" s="6">
        <v>0.23480392188227595</v>
      </c>
      <c r="W541" s="6">
        <v>7.5785192141157456</v>
      </c>
      <c r="X541" s="6">
        <v>3.626080482370555</v>
      </c>
      <c r="Y541" s="6">
        <v>35.513086277908798</v>
      </c>
    </row>
    <row r="542" spans="1:25" x14ac:dyDescent="0.25">
      <c r="A542" t="str">
        <f t="shared" si="8"/>
        <v>RTD Ice TeaFranceDecemberEUR (€)Fully-AutomatedOldCan0.5High-scaleMedium</v>
      </c>
      <c r="B542" t="s">
        <v>130</v>
      </c>
      <c r="C542" t="s">
        <v>130</v>
      </c>
      <c r="D542" t="s">
        <v>15</v>
      </c>
      <c r="E542" s="12" t="s">
        <v>182</v>
      </c>
      <c r="F542" t="s">
        <v>187</v>
      </c>
      <c r="G542" t="s">
        <v>12</v>
      </c>
      <c r="H542" t="s">
        <v>72</v>
      </c>
      <c r="I542" t="s">
        <v>125</v>
      </c>
      <c r="J542" s="12">
        <v>0.5</v>
      </c>
      <c r="K542" t="s">
        <v>107</v>
      </c>
      <c r="L542" t="s">
        <v>63</v>
      </c>
      <c r="M542" t="s">
        <v>199</v>
      </c>
      <c r="O542" t="s">
        <v>197</v>
      </c>
      <c r="P542">
        <v>4</v>
      </c>
      <c r="Q542" t="s">
        <v>198</v>
      </c>
      <c r="R542" s="6">
        <v>0.49857755645028368</v>
      </c>
      <c r="S542" s="6">
        <v>11.183721960282426</v>
      </c>
      <c r="T542" s="6">
        <v>6.9992094368381288</v>
      </c>
      <c r="U542" s="6">
        <v>62.336786443729054</v>
      </c>
      <c r="V542" s="6">
        <v>0.24369216518699446</v>
      </c>
      <c r="W542" s="6">
        <v>7.8643163682490558</v>
      </c>
      <c r="X542" s="6">
        <v>3.7626495002230809</v>
      </c>
      <c r="Y542" s="6">
        <v>36.850883150669326</v>
      </c>
    </row>
    <row r="543" spans="1:25" x14ac:dyDescent="0.25">
      <c r="A543" t="str">
        <f t="shared" si="8"/>
        <v>RTD Ice TeaFranceDecemberEUR (€)Fully-AutomatedOldCan0.5High-scaleHigh</v>
      </c>
      <c r="B543" t="s">
        <v>130</v>
      </c>
      <c r="C543" t="s">
        <v>130</v>
      </c>
      <c r="D543" t="s">
        <v>15</v>
      </c>
      <c r="E543" s="12" t="s">
        <v>182</v>
      </c>
      <c r="F543" t="s">
        <v>187</v>
      </c>
      <c r="G543" t="s">
        <v>12</v>
      </c>
      <c r="H543" t="s">
        <v>72</v>
      </c>
      <c r="I543" t="s">
        <v>125</v>
      </c>
      <c r="J543" s="12">
        <v>0.5</v>
      </c>
      <c r="K543" t="s">
        <v>107</v>
      </c>
      <c r="L543" t="s">
        <v>11</v>
      </c>
      <c r="M543" t="s">
        <v>199</v>
      </c>
      <c r="O543" t="s">
        <v>197</v>
      </c>
      <c r="P543">
        <v>4</v>
      </c>
      <c r="Q543" t="s">
        <v>198</v>
      </c>
      <c r="R543" s="6">
        <v>0.51837092133455764</v>
      </c>
      <c r="S543" s="6">
        <v>11.628107235398311</v>
      </c>
      <c r="T543" s="6">
        <v>7.2771757859391144</v>
      </c>
      <c r="U543" s="6">
        <v>64.812412066566324</v>
      </c>
      <c r="V543" s="6">
        <v>0.25329146795609037</v>
      </c>
      <c r="W543" s="6">
        <v>8.1729772947130304</v>
      </c>
      <c r="X543" s="6">
        <v>3.9101440395038085</v>
      </c>
      <c r="Y543" s="6">
        <v>38.295703773250686</v>
      </c>
    </row>
    <row r="544" spans="1:25" x14ac:dyDescent="0.25">
      <c r="A544" t="str">
        <f t="shared" si="8"/>
        <v>RTD Ice TeaFranceDecemberEUR (€)Fully-AutomatedOldCan0.5Medium-scaleLow</v>
      </c>
      <c r="B544" t="s">
        <v>130</v>
      </c>
      <c r="C544" t="s">
        <v>130</v>
      </c>
      <c r="D544" t="s">
        <v>15</v>
      </c>
      <c r="E544" s="12" t="s">
        <v>182</v>
      </c>
      <c r="F544" t="s">
        <v>187</v>
      </c>
      <c r="G544" t="s">
        <v>12</v>
      </c>
      <c r="H544" t="s">
        <v>72</v>
      </c>
      <c r="I544" t="s">
        <v>125</v>
      </c>
      <c r="J544" s="12">
        <v>0.5</v>
      </c>
      <c r="K544" t="s">
        <v>62</v>
      </c>
      <c r="L544" t="s">
        <v>13</v>
      </c>
      <c r="M544" t="s">
        <v>199</v>
      </c>
      <c r="O544" t="s">
        <v>197</v>
      </c>
      <c r="P544">
        <v>4</v>
      </c>
      <c r="Q544" t="s">
        <v>198</v>
      </c>
      <c r="R544" s="6">
        <v>0.48118622532848115</v>
      </c>
      <c r="S544" s="6">
        <v>10.790776633549212</v>
      </c>
      <c r="T544" s="6">
        <v>6.754345864998923</v>
      </c>
      <c r="U544" s="6">
        <v>60.156076964856823</v>
      </c>
      <c r="V544" s="6">
        <v>0.23564609359944771</v>
      </c>
      <c r="W544" s="6">
        <v>7.6102867722267691</v>
      </c>
      <c r="X544" s="6">
        <v>3.6411376860115308</v>
      </c>
      <c r="Y544" s="6">
        <v>35.660660755184949</v>
      </c>
    </row>
    <row r="545" spans="1:25" x14ac:dyDescent="0.25">
      <c r="A545" t="str">
        <f t="shared" si="8"/>
        <v>RTD Ice TeaFranceDecemberEUR (€)Fully-AutomatedOldCan0.5Medium-scaleMedium</v>
      </c>
      <c r="B545" t="s">
        <v>130</v>
      </c>
      <c r="C545" t="s">
        <v>130</v>
      </c>
      <c r="D545" t="s">
        <v>15</v>
      </c>
      <c r="E545" s="12" t="s">
        <v>182</v>
      </c>
      <c r="F545" t="s">
        <v>187</v>
      </c>
      <c r="G545" t="s">
        <v>12</v>
      </c>
      <c r="H545" t="s">
        <v>72</v>
      </c>
      <c r="I545" t="s">
        <v>125</v>
      </c>
      <c r="J545" s="12">
        <v>0.5</v>
      </c>
      <c r="K545" t="s">
        <v>62</v>
      </c>
      <c r="L545" t="s">
        <v>63</v>
      </c>
      <c r="M545" t="s">
        <v>199</v>
      </c>
      <c r="O545" t="s">
        <v>197</v>
      </c>
      <c r="P545">
        <v>4</v>
      </c>
      <c r="Q545" t="s">
        <v>198</v>
      </c>
      <c r="R545" s="6">
        <v>0.49951341503614233</v>
      </c>
      <c r="S545" s="6">
        <v>11.202244480878738</v>
      </c>
      <c r="T545" s="6">
        <v>7.0117221141665027</v>
      </c>
      <c r="U545" s="6">
        <v>62.448322911928379</v>
      </c>
      <c r="V545" s="6">
        <v>0.24453433690416615</v>
      </c>
      <c r="W545" s="6">
        <v>7.8960839263600811</v>
      </c>
      <c r="X545" s="6">
        <v>3.777706703864057</v>
      </c>
      <c r="Y545" s="6">
        <v>36.99845762794547</v>
      </c>
    </row>
    <row r="546" spans="1:25" x14ac:dyDescent="0.25">
      <c r="A546" t="str">
        <f t="shared" si="8"/>
        <v>RTD Ice TeaFranceDecemberEUR (€)Fully-AutomatedOldCan0.5Medium-scaleHigh</v>
      </c>
      <c r="B546" t="s">
        <v>130</v>
      </c>
      <c r="C546" t="s">
        <v>130</v>
      </c>
      <c r="D546" t="s">
        <v>15</v>
      </c>
      <c r="E546" s="12" t="s">
        <v>182</v>
      </c>
      <c r="F546" t="s">
        <v>187</v>
      </c>
      <c r="G546" t="s">
        <v>12</v>
      </c>
      <c r="H546" t="s">
        <v>72</v>
      </c>
      <c r="I546" t="s">
        <v>125</v>
      </c>
      <c r="J546" s="12">
        <v>0.5</v>
      </c>
      <c r="K546" t="s">
        <v>62</v>
      </c>
      <c r="L546" t="s">
        <v>11</v>
      </c>
      <c r="M546" t="s">
        <v>199</v>
      </c>
      <c r="O546" t="s">
        <v>197</v>
      </c>
      <c r="P546">
        <v>4</v>
      </c>
      <c r="Q546" t="s">
        <v>198</v>
      </c>
      <c r="R546" s="6">
        <v>0.51930677992041618</v>
      </c>
      <c r="S546" s="6">
        <v>11.646629755994624</v>
      </c>
      <c r="T546" s="6">
        <v>7.2896884632674865</v>
      </c>
      <c r="U546" s="6">
        <v>64.923948534765628</v>
      </c>
      <c r="V546" s="6">
        <v>0.25413363967326208</v>
      </c>
      <c r="W546" s="6">
        <v>8.2047448528240547</v>
      </c>
      <c r="X546" s="6">
        <v>3.9252012431447842</v>
      </c>
      <c r="Y546" s="6">
        <v>38.443278250526831</v>
      </c>
    </row>
    <row r="547" spans="1:25" x14ac:dyDescent="0.25">
      <c r="A547" t="str">
        <f t="shared" si="8"/>
        <v>RTD Ice TeaFranceDecemberEUR (€)Fully-AutomatedOldCan0.5Small-scaleLow</v>
      </c>
      <c r="B547" t="s">
        <v>130</v>
      </c>
      <c r="C547" t="s">
        <v>130</v>
      </c>
      <c r="D547" t="s">
        <v>15</v>
      </c>
      <c r="E547" s="12" t="s">
        <v>182</v>
      </c>
      <c r="F547" t="s">
        <v>187</v>
      </c>
      <c r="G547" t="s">
        <v>12</v>
      </c>
      <c r="H547" t="s">
        <v>72</v>
      </c>
      <c r="I547" t="s">
        <v>125</v>
      </c>
      <c r="J547" s="12">
        <v>0.5</v>
      </c>
      <c r="K547" t="s">
        <v>60</v>
      </c>
      <c r="L547" t="s">
        <v>13</v>
      </c>
      <c r="M547" t="s">
        <v>199</v>
      </c>
      <c r="O547" t="s">
        <v>197</v>
      </c>
      <c r="P547">
        <v>4</v>
      </c>
      <c r="Q547" t="s">
        <v>198</v>
      </c>
      <c r="R547" s="6">
        <v>0.48274598963824539</v>
      </c>
      <c r="S547" s="6">
        <v>10.821647501209734</v>
      </c>
      <c r="T547" s="6">
        <v>6.7752003272128798</v>
      </c>
      <c r="U547" s="6">
        <v>60.341971078522313</v>
      </c>
      <c r="V547" s="6">
        <v>0.23704971312806722</v>
      </c>
      <c r="W547" s="6">
        <v>7.6632327024118103</v>
      </c>
      <c r="X547" s="6">
        <v>3.666233025413157</v>
      </c>
      <c r="Y547" s="6">
        <v>35.906618217311859</v>
      </c>
    </row>
    <row r="548" spans="1:25" x14ac:dyDescent="0.25">
      <c r="A548" t="str">
        <f t="shared" si="8"/>
        <v>RTD Ice TeaFranceDecemberEUR (€)Fully-AutomatedOldCan0.5Small-scaleMedium</v>
      </c>
      <c r="B548" t="s">
        <v>130</v>
      </c>
      <c r="C548" t="s">
        <v>130</v>
      </c>
      <c r="D548" t="s">
        <v>15</v>
      </c>
      <c r="E548" s="12" t="s">
        <v>182</v>
      </c>
      <c r="F548" t="s">
        <v>187</v>
      </c>
      <c r="G548" t="s">
        <v>12</v>
      </c>
      <c r="H548" t="s">
        <v>72</v>
      </c>
      <c r="I548" t="s">
        <v>125</v>
      </c>
      <c r="J548" s="12">
        <v>0.5</v>
      </c>
      <c r="K548" t="s">
        <v>60</v>
      </c>
      <c r="L548" t="s">
        <v>63</v>
      </c>
      <c r="M548" t="s">
        <v>199</v>
      </c>
      <c r="O548" t="s">
        <v>197</v>
      </c>
      <c r="P548">
        <v>4</v>
      </c>
      <c r="Q548" t="s">
        <v>198</v>
      </c>
      <c r="R548" s="6">
        <v>0.50107317934590667</v>
      </c>
      <c r="S548" s="6">
        <v>11.233115348539258</v>
      </c>
      <c r="T548" s="6">
        <v>7.0325765763804586</v>
      </c>
      <c r="U548" s="6">
        <v>62.634217025593884</v>
      </c>
      <c r="V548" s="6">
        <v>0.24593795643278568</v>
      </c>
      <c r="W548" s="6">
        <v>7.9490298565451205</v>
      </c>
      <c r="X548" s="6">
        <v>3.8028020432656828</v>
      </c>
      <c r="Y548" s="6">
        <v>37.24441509007238</v>
      </c>
    </row>
    <row r="549" spans="1:25" x14ac:dyDescent="0.25">
      <c r="A549" t="str">
        <f t="shared" si="8"/>
        <v>RTD Ice TeaFranceDecemberEUR (€)Fully-AutomatedOldCan0.5Small-scaleHigh</v>
      </c>
      <c r="B549" t="s">
        <v>130</v>
      </c>
      <c r="C549" t="s">
        <v>130</v>
      </c>
      <c r="D549" t="s">
        <v>15</v>
      </c>
      <c r="E549" s="12" t="s">
        <v>182</v>
      </c>
      <c r="F549" t="s">
        <v>187</v>
      </c>
      <c r="G549" t="s">
        <v>12</v>
      </c>
      <c r="H549" t="s">
        <v>72</v>
      </c>
      <c r="I549" t="s">
        <v>125</v>
      </c>
      <c r="J549" s="12">
        <v>0.5</v>
      </c>
      <c r="K549" t="s">
        <v>60</v>
      </c>
      <c r="L549" t="s">
        <v>11</v>
      </c>
      <c r="M549" t="s">
        <v>199</v>
      </c>
      <c r="O549" t="s">
        <v>197</v>
      </c>
      <c r="P549">
        <v>4</v>
      </c>
      <c r="Q549" t="s">
        <v>198</v>
      </c>
      <c r="R549" s="6">
        <v>0.52086654423018053</v>
      </c>
      <c r="S549" s="6">
        <v>11.677500623655146</v>
      </c>
      <c r="T549" s="6">
        <v>7.3105429254814434</v>
      </c>
      <c r="U549" s="6">
        <v>65.10984264843114</v>
      </c>
      <c r="V549" s="6">
        <v>0.25553725920188158</v>
      </c>
      <c r="W549" s="6">
        <v>8.257690783009096</v>
      </c>
      <c r="X549" s="6">
        <v>3.9502965825464105</v>
      </c>
      <c r="Y549" s="6">
        <v>38.689235712653748</v>
      </c>
    </row>
    <row r="550" spans="1:25" x14ac:dyDescent="0.25">
      <c r="A550" t="str">
        <f t="shared" si="8"/>
        <v>RTD Ice TeaFranceDecemberEUR (€)Fully-AutomatedOldCan0.5High-scaleLow</v>
      </c>
      <c r="B550" t="s">
        <v>130</v>
      </c>
      <c r="C550" t="s">
        <v>130</v>
      </c>
      <c r="D550" t="s">
        <v>15</v>
      </c>
      <c r="E550" s="12" t="s">
        <v>182</v>
      </c>
      <c r="F550" t="s">
        <v>187</v>
      </c>
      <c r="G550" t="s">
        <v>12</v>
      </c>
      <c r="H550" t="s">
        <v>72</v>
      </c>
      <c r="I550" t="s">
        <v>125</v>
      </c>
      <c r="J550" s="12">
        <v>0.5</v>
      </c>
      <c r="K550" t="s">
        <v>107</v>
      </c>
      <c r="L550" t="s">
        <v>13</v>
      </c>
      <c r="M550" t="s">
        <v>200</v>
      </c>
      <c r="O550" t="s">
        <v>197</v>
      </c>
      <c r="P550">
        <v>4</v>
      </c>
      <c r="Q550" t="s">
        <v>198</v>
      </c>
      <c r="R550" s="6">
        <v>0.48025036674262261</v>
      </c>
      <c r="S550" s="6">
        <v>10.772254112952902</v>
      </c>
      <c r="T550" s="6">
        <v>6.7418331876705491</v>
      </c>
      <c r="U550" s="6">
        <v>60.044540496657511</v>
      </c>
      <c r="V550" s="6">
        <v>0.23480392188227595</v>
      </c>
      <c r="W550" s="6">
        <v>7.5785192141157456</v>
      </c>
      <c r="X550" s="6">
        <v>3.626080482370555</v>
      </c>
      <c r="Y550" s="6">
        <v>35.513086277908798</v>
      </c>
    </row>
    <row r="551" spans="1:25" x14ac:dyDescent="0.25">
      <c r="A551" t="str">
        <f t="shared" si="8"/>
        <v>RTD Ice TeaFranceDecemberEUR (€)Fully-AutomatedOldCan0.5High-scaleMedium</v>
      </c>
      <c r="B551" t="s">
        <v>130</v>
      </c>
      <c r="C551" t="s">
        <v>130</v>
      </c>
      <c r="D551" t="s">
        <v>15</v>
      </c>
      <c r="E551" s="12" t="s">
        <v>182</v>
      </c>
      <c r="F551" t="s">
        <v>187</v>
      </c>
      <c r="G551" t="s">
        <v>12</v>
      </c>
      <c r="H551" t="s">
        <v>72</v>
      </c>
      <c r="I551" t="s">
        <v>125</v>
      </c>
      <c r="J551" s="12">
        <v>0.5</v>
      </c>
      <c r="K551" t="s">
        <v>107</v>
      </c>
      <c r="L551" t="s">
        <v>63</v>
      </c>
      <c r="M551" t="s">
        <v>200</v>
      </c>
      <c r="O551" t="s">
        <v>197</v>
      </c>
      <c r="P551">
        <v>4</v>
      </c>
      <c r="Q551" t="s">
        <v>198</v>
      </c>
      <c r="R551" s="6">
        <v>0.49857755645028368</v>
      </c>
      <c r="S551" s="6">
        <v>11.183721960282426</v>
      </c>
      <c r="T551" s="6">
        <v>6.9992094368381288</v>
      </c>
      <c r="U551" s="6">
        <v>62.336786443729054</v>
      </c>
      <c r="V551" s="6">
        <v>0.24369216518699446</v>
      </c>
      <c r="W551" s="6">
        <v>7.8643163682490558</v>
      </c>
      <c r="X551" s="6">
        <v>3.7626495002230809</v>
      </c>
      <c r="Y551" s="6">
        <v>36.850883150669326</v>
      </c>
    </row>
    <row r="552" spans="1:25" x14ac:dyDescent="0.25">
      <c r="A552" t="str">
        <f t="shared" si="8"/>
        <v>RTD Ice TeaFranceDecemberEUR (€)Fully-AutomatedOldCan0.5High-scaleHigh</v>
      </c>
      <c r="B552" t="s">
        <v>130</v>
      </c>
      <c r="C552" t="s">
        <v>130</v>
      </c>
      <c r="D552" t="s">
        <v>15</v>
      </c>
      <c r="E552" s="12" t="s">
        <v>182</v>
      </c>
      <c r="F552" t="s">
        <v>187</v>
      </c>
      <c r="G552" t="s">
        <v>12</v>
      </c>
      <c r="H552" t="s">
        <v>72</v>
      </c>
      <c r="I552" t="s">
        <v>125</v>
      </c>
      <c r="J552" s="12">
        <v>0.5</v>
      </c>
      <c r="K552" t="s">
        <v>107</v>
      </c>
      <c r="L552" t="s">
        <v>11</v>
      </c>
      <c r="M552" t="s">
        <v>200</v>
      </c>
      <c r="O552" t="s">
        <v>197</v>
      </c>
      <c r="P552">
        <v>4</v>
      </c>
      <c r="Q552" t="s">
        <v>198</v>
      </c>
      <c r="R552" s="6">
        <v>0.51837092133455764</v>
      </c>
      <c r="S552" s="6">
        <v>11.628107235398311</v>
      </c>
      <c r="T552" s="6">
        <v>7.2771757859391144</v>
      </c>
      <c r="U552" s="6">
        <v>64.812412066566324</v>
      </c>
      <c r="V552" s="6">
        <v>0.25329146795609037</v>
      </c>
      <c r="W552" s="6">
        <v>8.1729772947130304</v>
      </c>
      <c r="X552" s="6">
        <v>3.9101440395038085</v>
      </c>
      <c r="Y552" s="6">
        <v>38.295703773250686</v>
      </c>
    </row>
    <row r="553" spans="1:25" x14ac:dyDescent="0.25">
      <c r="A553" t="str">
        <f t="shared" si="8"/>
        <v>RTD Ice TeaFranceDecemberEUR (€)Fully-AutomatedOldCan0.5Medium-scaleLow</v>
      </c>
      <c r="B553" t="s">
        <v>130</v>
      </c>
      <c r="C553" t="s">
        <v>130</v>
      </c>
      <c r="D553" t="s">
        <v>15</v>
      </c>
      <c r="E553" s="12" t="s">
        <v>182</v>
      </c>
      <c r="F553" t="s">
        <v>187</v>
      </c>
      <c r="G553" t="s">
        <v>12</v>
      </c>
      <c r="H553" t="s">
        <v>72</v>
      </c>
      <c r="I553" t="s">
        <v>125</v>
      </c>
      <c r="J553" s="12">
        <v>0.5</v>
      </c>
      <c r="K553" t="s">
        <v>62</v>
      </c>
      <c r="L553" t="s">
        <v>13</v>
      </c>
      <c r="M553" t="s">
        <v>200</v>
      </c>
      <c r="O553" t="s">
        <v>197</v>
      </c>
      <c r="P553">
        <v>4</v>
      </c>
      <c r="Q553" t="s">
        <v>198</v>
      </c>
      <c r="R553" s="6">
        <v>0.48118622532848115</v>
      </c>
      <c r="S553" s="6">
        <v>10.790776633549212</v>
      </c>
      <c r="T553" s="6">
        <v>6.754345864998923</v>
      </c>
      <c r="U553" s="6">
        <v>60.156076964856823</v>
      </c>
      <c r="V553" s="6">
        <v>0.23564609359944771</v>
      </c>
      <c r="W553" s="6">
        <v>7.6102867722267691</v>
      </c>
      <c r="X553" s="6">
        <v>3.6411376860115308</v>
      </c>
      <c r="Y553" s="6">
        <v>35.660660755184949</v>
      </c>
    </row>
    <row r="554" spans="1:25" x14ac:dyDescent="0.25">
      <c r="A554" t="str">
        <f t="shared" si="8"/>
        <v>RTD Ice TeaFranceDecemberEUR (€)Fully-AutomatedOldCan0.5Medium-scaleMedium</v>
      </c>
      <c r="B554" t="s">
        <v>130</v>
      </c>
      <c r="C554" t="s">
        <v>130</v>
      </c>
      <c r="D554" t="s">
        <v>15</v>
      </c>
      <c r="E554" s="12" t="s">
        <v>182</v>
      </c>
      <c r="F554" t="s">
        <v>187</v>
      </c>
      <c r="G554" t="s">
        <v>12</v>
      </c>
      <c r="H554" t="s">
        <v>72</v>
      </c>
      <c r="I554" t="s">
        <v>125</v>
      </c>
      <c r="J554" s="12">
        <v>0.5</v>
      </c>
      <c r="K554" t="s">
        <v>62</v>
      </c>
      <c r="L554" t="s">
        <v>63</v>
      </c>
      <c r="M554" t="s">
        <v>200</v>
      </c>
      <c r="O554" t="s">
        <v>197</v>
      </c>
      <c r="P554">
        <v>4</v>
      </c>
      <c r="Q554" t="s">
        <v>198</v>
      </c>
      <c r="R554" s="6">
        <v>0.49951341503614233</v>
      </c>
      <c r="S554" s="6">
        <v>11.202244480878738</v>
      </c>
      <c r="T554" s="6">
        <v>7.0117221141665027</v>
      </c>
      <c r="U554" s="6">
        <v>62.448322911928379</v>
      </c>
      <c r="V554" s="6">
        <v>0.24453433690416615</v>
      </c>
      <c r="W554" s="6">
        <v>7.8960839263600811</v>
      </c>
      <c r="X554" s="6">
        <v>3.777706703864057</v>
      </c>
      <c r="Y554" s="6">
        <v>36.99845762794547</v>
      </c>
    </row>
    <row r="555" spans="1:25" x14ac:dyDescent="0.25">
      <c r="A555" t="str">
        <f t="shared" si="8"/>
        <v>RTD Ice TeaFranceDecemberEUR (€)Fully-AutomatedOldCan0.5Medium-scaleHigh</v>
      </c>
      <c r="B555" t="s">
        <v>130</v>
      </c>
      <c r="C555" t="s">
        <v>130</v>
      </c>
      <c r="D555" t="s">
        <v>15</v>
      </c>
      <c r="E555" s="12" t="s">
        <v>182</v>
      </c>
      <c r="F555" t="s">
        <v>187</v>
      </c>
      <c r="G555" t="s">
        <v>12</v>
      </c>
      <c r="H555" t="s">
        <v>72</v>
      </c>
      <c r="I555" t="s">
        <v>125</v>
      </c>
      <c r="J555" s="12">
        <v>0.5</v>
      </c>
      <c r="K555" t="s">
        <v>62</v>
      </c>
      <c r="L555" t="s">
        <v>11</v>
      </c>
      <c r="M555" t="s">
        <v>200</v>
      </c>
      <c r="O555" t="s">
        <v>197</v>
      </c>
      <c r="P555">
        <v>4</v>
      </c>
      <c r="Q555" t="s">
        <v>198</v>
      </c>
      <c r="R555" s="6">
        <v>0.51930677992041618</v>
      </c>
      <c r="S555" s="6">
        <v>11.646629755994624</v>
      </c>
      <c r="T555" s="6">
        <v>7.2896884632674865</v>
      </c>
      <c r="U555" s="6">
        <v>64.923948534765628</v>
      </c>
      <c r="V555" s="6">
        <v>0.25413363967326208</v>
      </c>
      <c r="W555" s="6">
        <v>8.2047448528240547</v>
      </c>
      <c r="X555" s="6">
        <v>3.9252012431447842</v>
      </c>
      <c r="Y555" s="6">
        <v>38.443278250526831</v>
      </c>
    </row>
    <row r="556" spans="1:25" x14ac:dyDescent="0.25">
      <c r="A556" t="str">
        <f t="shared" si="8"/>
        <v>RTD Ice TeaFranceDecemberEUR (€)Fully-AutomatedOldCan0.5Small-scaleLow</v>
      </c>
      <c r="B556" t="s">
        <v>130</v>
      </c>
      <c r="C556" t="s">
        <v>130</v>
      </c>
      <c r="D556" t="s">
        <v>15</v>
      </c>
      <c r="E556" s="12" t="s">
        <v>182</v>
      </c>
      <c r="F556" t="s">
        <v>187</v>
      </c>
      <c r="G556" t="s">
        <v>12</v>
      </c>
      <c r="H556" t="s">
        <v>72</v>
      </c>
      <c r="I556" t="s">
        <v>125</v>
      </c>
      <c r="J556" s="12">
        <v>0.5</v>
      </c>
      <c r="K556" t="s">
        <v>60</v>
      </c>
      <c r="L556" t="s">
        <v>13</v>
      </c>
      <c r="M556" t="s">
        <v>200</v>
      </c>
      <c r="O556" t="s">
        <v>197</v>
      </c>
      <c r="P556">
        <v>4</v>
      </c>
      <c r="Q556" t="s">
        <v>198</v>
      </c>
      <c r="R556" s="6">
        <v>0.48274598963824539</v>
      </c>
      <c r="S556" s="6">
        <v>10.821647501209734</v>
      </c>
      <c r="T556" s="6">
        <v>6.7752003272128798</v>
      </c>
      <c r="U556" s="6">
        <v>60.341971078522313</v>
      </c>
      <c r="V556" s="6">
        <v>0.23704971312806722</v>
      </c>
      <c r="W556" s="6">
        <v>7.6632327024118103</v>
      </c>
      <c r="X556" s="6">
        <v>3.666233025413157</v>
      </c>
      <c r="Y556" s="6">
        <v>35.906618217311859</v>
      </c>
    </row>
    <row r="557" spans="1:25" x14ac:dyDescent="0.25">
      <c r="A557" t="str">
        <f t="shared" si="8"/>
        <v>RTD Ice TeaFranceDecemberEUR (€)Fully-AutomatedOldCan0.5Small-scaleMedium</v>
      </c>
      <c r="B557" t="s">
        <v>130</v>
      </c>
      <c r="C557" t="s">
        <v>130</v>
      </c>
      <c r="D557" t="s">
        <v>15</v>
      </c>
      <c r="E557" s="12" t="s">
        <v>182</v>
      </c>
      <c r="F557" t="s">
        <v>187</v>
      </c>
      <c r="G557" t="s">
        <v>12</v>
      </c>
      <c r="H557" t="s">
        <v>72</v>
      </c>
      <c r="I557" t="s">
        <v>125</v>
      </c>
      <c r="J557" s="12">
        <v>0.5</v>
      </c>
      <c r="K557" t="s">
        <v>60</v>
      </c>
      <c r="L557" t="s">
        <v>63</v>
      </c>
      <c r="M557" t="s">
        <v>200</v>
      </c>
      <c r="O557" t="s">
        <v>197</v>
      </c>
      <c r="P557">
        <v>4</v>
      </c>
      <c r="Q557" t="s">
        <v>198</v>
      </c>
      <c r="R557" s="6">
        <v>0.50107317934590667</v>
      </c>
      <c r="S557" s="6">
        <v>11.233115348539258</v>
      </c>
      <c r="T557" s="6">
        <v>7.0325765763804586</v>
      </c>
      <c r="U557" s="6">
        <v>62.634217025593884</v>
      </c>
      <c r="V557" s="6">
        <v>0.24593795643278568</v>
      </c>
      <c r="W557" s="6">
        <v>7.9490298565451205</v>
      </c>
      <c r="X557" s="6">
        <v>3.8028020432656828</v>
      </c>
      <c r="Y557" s="6">
        <v>37.24441509007238</v>
      </c>
    </row>
    <row r="558" spans="1:25" x14ac:dyDescent="0.25">
      <c r="A558" t="str">
        <f t="shared" si="8"/>
        <v>RTD Ice TeaFranceDecemberEUR (€)Fully-AutomatedOldCan0.5Small-scaleHigh</v>
      </c>
      <c r="B558" t="s">
        <v>130</v>
      </c>
      <c r="C558" t="s">
        <v>130</v>
      </c>
      <c r="D558" t="s">
        <v>15</v>
      </c>
      <c r="E558" s="12" t="s">
        <v>182</v>
      </c>
      <c r="F558" t="s">
        <v>187</v>
      </c>
      <c r="G558" t="s">
        <v>12</v>
      </c>
      <c r="H558" t="s">
        <v>72</v>
      </c>
      <c r="I558" t="s">
        <v>125</v>
      </c>
      <c r="J558" s="12">
        <v>0.5</v>
      </c>
      <c r="K558" t="s">
        <v>60</v>
      </c>
      <c r="L558" t="s">
        <v>11</v>
      </c>
      <c r="M558" t="s">
        <v>200</v>
      </c>
      <c r="O558" t="s">
        <v>197</v>
      </c>
      <c r="P558">
        <v>4</v>
      </c>
      <c r="Q558" t="s">
        <v>198</v>
      </c>
      <c r="R558" s="6">
        <v>0.52086654423018053</v>
      </c>
      <c r="S558" s="6">
        <v>11.677500623655146</v>
      </c>
      <c r="T558" s="6">
        <v>7.3105429254814434</v>
      </c>
      <c r="U558" s="6">
        <v>65.10984264843114</v>
      </c>
      <c r="V558" s="6">
        <v>0.25553725920188158</v>
      </c>
      <c r="W558" s="6">
        <v>8.257690783009096</v>
      </c>
      <c r="X558" s="6">
        <v>3.9502965825464105</v>
      </c>
      <c r="Y558" s="6">
        <v>38.689235712653748</v>
      </c>
    </row>
    <row r="559" spans="1:25" x14ac:dyDescent="0.25">
      <c r="A559" t="str">
        <f t="shared" si="8"/>
        <v>RTD Ice TeaFranceDecemberEUR (€)Fully-AutomatedOldCan0.5High-scaleLow</v>
      </c>
      <c r="B559" t="s">
        <v>130</v>
      </c>
      <c r="C559" t="s">
        <v>130</v>
      </c>
      <c r="D559" t="s">
        <v>15</v>
      </c>
      <c r="E559" s="12" t="s">
        <v>182</v>
      </c>
      <c r="F559" t="s">
        <v>187</v>
      </c>
      <c r="G559" t="s">
        <v>12</v>
      </c>
      <c r="H559" t="s">
        <v>72</v>
      </c>
      <c r="I559" t="s">
        <v>125</v>
      </c>
      <c r="J559" s="12">
        <v>0.5</v>
      </c>
      <c r="K559" t="s">
        <v>107</v>
      </c>
      <c r="L559" t="s">
        <v>13</v>
      </c>
      <c r="M559" t="s">
        <v>199</v>
      </c>
      <c r="O559" t="s">
        <v>197</v>
      </c>
      <c r="P559">
        <v>6</v>
      </c>
      <c r="Q559" t="s">
        <v>201</v>
      </c>
      <c r="R559" s="6">
        <v>0.48025036674262261</v>
      </c>
      <c r="S559" s="6">
        <v>10.772254112952902</v>
      </c>
      <c r="T559" s="6">
        <v>6.7418331876705491</v>
      </c>
      <c r="U559" s="6">
        <v>60.044540496657511</v>
      </c>
      <c r="V559" s="6">
        <v>0.21058594654820134</v>
      </c>
      <c r="W559" s="6">
        <v>6.9322521062357563</v>
      </c>
      <c r="X559" s="6">
        <v>3.2863078362401859</v>
      </c>
      <c r="Y559" s="6">
        <v>32.225490494281715</v>
      </c>
    </row>
    <row r="560" spans="1:25" x14ac:dyDescent="0.25">
      <c r="A560" t="str">
        <f t="shared" si="8"/>
        <v>RTD Ice TeaFranceDecemberEUR (€)Fully-AutomatedOldCan0.5High-scaleMedium</v>
      </c>
      <c r="B560" t="s">
        <v>130</v>
      </c>
      <c r="C560" t="s">
        <v>130</v>
      </c>
      <c r="D560" t="s">
        <v>15</v>
      </c>
      <c r="E560" s="12" t="s">
        <v>182</v>
      </c>
      <c r="F560" t="s">
        <v>187</v>
      </c>
      <c r="G560" t="s">
        <v>12</v>
      </c>
      <c r="H560" t="s">
        <v>72</v>
      </c>
      <c r="I560" t="s">
        <v>125</v>
      </c>
      <c r="J560" s="12">
        <v>0.5</v>
      </c>
      <c r="K560" t="s">
        <v>107</v>
      </c>
      <c r="L560" t="s">
        <v>63</v>
      </c>
      <c r="M560" t="s">
        <v>199</v>
      </c>
      <c r="O560" t="s">
        <v>197</v>
      </c>
      <c r="P560">
        <v>6</v>
      </c>
      <c r="Q560" t="s">
        <v>201</v>
      </c>
      <c r="R560" s="6">
        <v>0.49857755645028368</v>
      </c>
      <c r="S560" s="6">
        <v>11.183721960282426</v>
      </c>
      <c r="T560" s="6">
        <v>6.9992094368381288</v>
      </c>
      <c r="U560" s="6">
        <v>62.336786443729054</v>
      </c>
      <c r="V560" s="6">
        <v>0.21854272926314774</v>
      </c>
      <c r="W560" s="6">
        <v>7.1931928331429127</v>
      </c>
      <c r="X560" s="6">
        <v>3.4098086753953902</v>
      </c>
      <c r="Y560" s="6">
        <v>33.436841375364281</v>
      </c>
    </row>
    <row r="561" spans="1:25" x14ac:dyDescent="0.25">
      <c r="A561" t="str">
        <f t="shared" si="8"/>
        <v>RTD Ice TeaFranceDecemberEUR (€)Fully-AutomatedOldCan0.5High-scaleHigh</v>
      </c>
      <c r="B561" t="s">
        <v>130</v>
      </c>
      <c r="C561" t="s">
        <v>130</v>
      </c>
      <c r="D561" t="s">
        <v>15</v>
      </c>
      <c r="E561" s="12" t="s">
        <v>182</v>
      </c>
      <c r="F561" t="s">
        <v>187</v>
      </c>
      <c r="G561" t="s">
        <v>12</v>
      </c>
      <c r="H561" t="s">
        <v>72</v>
      </c>
      <c r="I561" t="s">
        <v>125</v>
      </c>
      <c r="J561" s="12">
        <v>0.5</v>
      </c>
      <c r="K561" t="s">
        <v>107</v>
      </c>
      <c r="L561" t="s">
        <v>11</v>
      </c>
      <c r="M561" t="s">
        <v>199</v>
      </c>
      <c r="O561" t="s">
        <v>197</v>
      </c>
      <c r="P561">
        <v>6</v>
      </c>
      <c r="Q561" t="s">
        <v>201</v>
      </c>
      <c r="R561" s="6">
        <v>0.51837092133455764</v>
      </c>
      <c r="S561" s="6">
        <v>11.628107235398311</v>
      </c>
      <c r="T561" s="6">
        <v>7.2771757859391144</v>
      </c>
      <c r="U561" s="6">
        <v>64.812412066566324</v>
      </c>
      <c r="V561" s="6">
        <v>0.22713605459528979</v>
      </c>
      <c r="W561" s="6">
        <v>7.4750088182026424</v>
      </c>
      <c r="X561" s="6">
        <v>3.5431895816830106</v>
      </c>
      <c r="Y561" s="6">
        <v>34.745100326933446</v>
      </c>
    </row>
    <row r="562" spans="1:25" x14ac:dyDescent="0.25">
      <c r="A562" t="str">
        <f t="shared" si="8"/>
        <v>RTD Ice TeaFranceDecemberEUR (€)Fully-AutomatedOldCan0.5Medium-scaleLow</v>
      </c>
      <c r="B562" t="s">
        <v>130</v>
      </c>
      <c r="C562" t="s">
        <v>130</v>
      </c>
      <c r="D562" t="s">
        <v>15</v>
      </c>
      <c r="E562" s="12" t="s">
        <v>182</v>
      </c>
      <c r="F562" t="s">
        <v>187</v>
      </c>
      <c r="G562" t="s">
        <v>12</v>
      </c>
      <c r="H562" t="s">
        <v>72</v>
      </c>
      <c r="I562" t="s">
        <v>125</v>
      </c>
      <c r="J562" s="12">
        <v>0.5</v>
      </c>
      <c r="K562" t="s">
        <v>62</v>
      </c>
      <c r="L562" t="s">
        <v>13</v>
      </c>
      <c r="M562" t="s">
        <v>199</v>
      </c>
      <c r="O562" t="s">
        <v>197</v>
      </c>
      <c r="P562">
        <v>6</v>
      </c>
      <c r="Q562" t="s">
        <v>201</v>
      </c>
      <c r="R562" s="6">
        <v>0.48118622532848115</v>
      </c>
      <c r="S562" s="6">
        <v>10.790776633549212</v>
      </c>
      <c r="T562" s="6">
        <v>6.754345864998923</v>
      </c>
      <c r="U562" s="6">
        <v>60.156076964856823</v>
      </c>
      <c r="V562" s="6">
        <v>0.21142811826537311</v>
      </c>
      <c r="W562" s="6">
        <v>6.9640196643467798</v>
      </c>
      <c r="X562" s="6">
        <v>3.301365039881162</v>
      </c>
      <c r="Y562" s="6">
        <v>32.373064971557866</v>
      </c>
    </row>
    <row r="563" spans="1:25" x14ac:dyDescent="0.25">
      <c r="A563" t="str">
        <f t="shared" si="8"/>
        <v>RTD Ice TeaFranceDecemberEUR (€)Fully-AutomatedOldCan0.5Medium-scaleMedium</v>
      </c>
      <c r="B563" t="s">
        <v>130</v>
      </c>
      <c r="C563" t="s">
        <v>130</v>
      </c>
      <c r="D563" t="s">
        <v>15</v>
      </c>
      <c r="E563" s="12" t="s">
        <v>182</v>
      </c>
      <c r="F563" t="s">
        <v>187</v>
      </c>
      <c r="G563" t="s">
        <v>12</v>
      </c>
      <c r="H563" t="s">
        <v>72</v>
      </c>
      <c r="I563" t="s">
        <v>125</v>
      </c>
      <c r="J563" s="12">
        <v>0.5</v>
      </c>
      <c r="K563" t="s">
        <v>62</v>
      </c>
      <c r="L563" t="s">
        <v>63</v>
      </c>
      <c r="M563" t="s">
        <v>199</v>
      </c>
      <c r="O563" t="s">
        <v>197</v>
      </c>
      <c r="P563">
        <v>6</v>
      </c>
      <c r="Q563" t="s">
        <v>201</v>
      </c>
      <c r="R563" s="6">
        <v>0.49951341503614233</v>
      </c>
      <c r="S563" s="6">
        <v>11.202244480878738</v>
      </c>
      <c r="T563" s="6">
        <v>7.0117221141665027</v>
      </c>
      <c r="U563" s="6">
        <v>62.448322911928379</v>
      </c>
      <c r="V563" s="6">
        <v>0.21938490098031943</v>
      </c>
      <c r="W563" s="6">
        <v>7.2249603912539371</v>
      </c>
      <c r="X563" s="6">
        <v>3.4248658790363664</v>
      </c>
      <c r="Y563" s="6">
        <v>33.584415852640426</v>
      </c>
    </row>
    <row r="564" spans="1:25" x14ac:dyDescent="0.25">
      <c r="A564" t="str">
        <f t="shared" si="8"/>
        <v>RTD Ice TeaFranceDecemberEUR (€)Fully-AutomatedOldCan0.5Medium-scaleHigh</v>
      </c>
      <c r="B564" t="s">
        <v>130</v>
      </c>
      <c r="C564" t="s">
        <v>130</v>
      </c>
      <c r="D564" t="s">
        <v>15</v>
      </c>
      <c r="E564" s="12" t="s">
        <v>182</v>
      </c>
      <c r="F564" t="s">
        <v>187</v>
      </c>
      <c r="G564" t="s">
        <v>12</v>
      </c>
      <c r="H564" t="s">
        <v>72</v>
      </c>
      <c r="I564" t="s">
        <v>125</v>
      </c>
      <c r="J564" s="12">
        <v>0.5</v>
      </c>
      <c r="K564" t="s">
        <v>62</v>
      </c>
      <c r="L564" t="s">
        <v>11</v>
      </c>
      <c r="M564" t="s">
        <v>199</v>
      </c>
      <c r="O564" t="s">
        <v>197</v>
      </c>
      <c r="P564">
        <v>6</v>
      </c>
      <c r="Q564" t="s">
        <v>201</v>
      </c>
      <c r="R564" s="6">
        <v>0.51930677992041618</v>
      </c>
      <c r="S564" s="6">
        <v>11.646629755994624</v>
      </c>
      <c r="T564" s="6">
        <v>7.2896884632674865</v>
      </c>
      <c r="U564" s="6">
        <v>64.923948534765628</v>
      </c>
      <c r="V564" s="6">
        <v>0.22797822631246151</v>
      </c>
      <c r="W564" s="6">
        <v>7.5067763763136668</v>
      </c>
      <c r="X564" s="6">
        <v>3.5582467853239863</v>
      </c>
      <c r="Y564" s="6">
        <v>34.892674804209591</v>
      </c>
    </row>
    <row r="565" spans="1:25" x14ac:dyDescent="0.25">
      <c r="A565" t="str">
        <f t="shared" si="8"/>
        <v>RTD Ice TeaFranceDecemberEUR (€)Fully-AutomatedOldCan0.5Small-scaleLow</v>
      </c>
      <c r="B565" t="s">
        <v>130</v>
      </c>
      <c r="C565" t="s">
        <v>130</v>
      </c>
      <c r="D565" t="s">
        <v>15</v>
      </c>
      <c r="E565" s="12" t="s">
        <v>182</v>
      </c>
      <c r="F565" t="s">
        <v>187</v>
      </c>
      <c r="G565" t="s">
        <v>12</v>
      </c>
      <c r="H565" t="s">
        <v>72</v>
      </c>
      <c r="I565" t="s">
        <v>125</v>
      </c>
      <c r="J565" s="12">
        <v>0.5</v>
      </c>
      <c r="K565" t="s">
        <v>60</v>
      </c>
      <c r="L565" t="s">
        <v>13</v>
      </c>
      <c r="M565" t="s">
        <v>199</v>
      </c>
      <c r="O565" t="s">
        <v>197</v>
      </c>
      <c r="P565">
        <v>6</v>
      </c>
      <c r="Q565" t="s">
        <v>201</v>
      </c>
      <c r="R565" s="6">
        <v>0.48274598963824539</v>
      </c>
      <c r="S565" s="6">
        <v>10.821647501209734</v>
      </c>
      <c r="T565" s="6">
        <v>6.7752003272128798</v>
      </c>
      <c r="U565" s="6">
        <v>60.341971078522313</v>
      </c>
      <c r="V565" s="6">
        <v>0.21283173779399261</v>
      </c>
      <c r="W565" s="6">
        <v>7.0169655945318201</v>
      </c>
      <c r="X565" s="6">
        <v>3.3264603792827883</v>
      </c>
      <c r="Y565" s="6">
        <v>32.619022433684776</v>
      </c>
    </row>
    <row r="566" spans="1:25" x14ac:dyDescent="0.25">
      <c r="A566" t="str">
        <f t="shared" si="8"/>
        <v>RTD Ice TeaFranceDecemberEUR (€)Fully-AutomatedOldCan0.5Small-scaleMedium</v>
      </c>
      <c r="B566" t="s">
        <v>130</v>
      </c>
      <c r="C566" t="s">
        <v>130</v>
      </c>
      <c r="D566" t="s">
        <v>15</v>
      </c>
      <c r="E566" s="12" t="s">
        <v>182</v>
      </c>
      <c r="F566" t="s">
        <v>187</v>
      </c>
      <c r="G566" t="s">
        <v>12</v>
      </c>
      <c r="H566" t="s">
        <v>72</v>
      </c>
      <c r="I566" t="s">
        <v>125</v>
      </c>
      <c r="J566" s="12">
        <v>0.5</v>
      </c>
      <c r="K566" t="s">
        <v>60</v>
      </c>
      <c r="L566" t="s">
        <v>63</v>
      </c>
      <c r="M566" t="s">
        <v>199</v>
      </c>
      <c r="O566" t="s">
        <v>197</v>
      </c>
      <c r="P566">
        <v>6</v>
      </c>
      <c r="Q566" t="s">
        <v>201</v>
      </c>
      <c r="R566" s="6">
        <v>0.50107317934590667</v>
      </c>
      <c r="S566" s="6">
        <v>11.233115348539258</v>
      </c>
      <c r="T566" s="6">
        <v>7.0325765763804586</v>
      </c>
      <c r="U566" s="6">
        <v>62.634217025593884</v>
      </c>
      <c r="V566" s="6">
        <v>0.22078852050893896</v>
      </c>
      <c r="W566" s="6">
        <v>7.2779063214389783</v>
      </c>
      <c r="X566" s="6">
        <v>3.4499612184379922</v>
      </c>
      <c r="Y566" s="6">
        <v>33.830373314767336</v>
      </c>
    </row>
    <row r="567" spans="1:25" x14ac:dyDescent="0.25">
      <c r="A567" t="str">
        <f t="shared" si="8"/>
        <v>RTD Ice TeaFranceDecemberEUR (€)Fully-AutomatedOldCan0.5Small-scaleHigh</v>
      </c>
      <c r="B567" t="s">
        <v>130</v>
      </c>
      <c r="C567" t="s">
        <v>130</v>
      </c>
      <c r="D567" t="s">
        <v>15</v>
      </c>
      <c r="E567" s="12" t="s">
        <v>182</v>
      </c>
      <c r="F567" t="s">
        <v>187</v>
      </c>
      <c r="G567" t="s">
        <v>12</v>
      </c>
      <c r="H567" t="s">
        <v>72</v>
      </c>
      <c r="I567" t="s">
        <v>125</v>
      </c>
      <c r="J567" s="12">
        <v>0.5</v>
      </c>
      <c r="K567" t="s">
        <v>60</v>
      </c>
      <c r="L567" t="s">
        <v>11</v>
      </c>
      <c r="M567" t="s">
        <v>199</v>
      </c>
      <c r="O567" t="s">
        <v>197</v>
      </c>
      <c r="P567">
        <v>6</v>
      </c>
      <c r="Q567" t="s">
        <v>201</v>
      </c>
      <c r="R567" s="6">
        <v>0.52086654423018053</v>
      </c>
      <c r="S567" s="6">
        <v>11.677500623655146</v>
      </c>
      <c r="T567" s="6">
        <v>7.3105429254814434</v>
      </c>
      <c r="U567" s="6">
        <v>65.10984264843114</v>
      </c>
      <c r="V567" s="6">
        <v>0.22938184584108104</v>
      </c>
      <c r="W567" s="6">
        <v>7.5597223064987071</v>
      </c>
      <c r="X567" s="6">
        <v>3.5833421247256125</v>
      </c>
      <c r="Y567" s="6">
        <v>35.138632266336501</v>
      </c>
    </row>
    <row r="568" spans="1:25" x14ac:dyDescent="0.25">
      <c r="A568" t="str">
        <f t="shared" si="8"/>
        <v>RTD Ice TeaFranceDecemberEUR (€)Fully-AutomatedOldCan0.5High-scaleLow</v>
      </c>
      <c r="B568" t="s">
        <v>130</v>
      </c>
      <c r="C568" t="s">
        <v>130</v>
      </c>
      <c r="D568" t="s">
        <v>15</v>
      </c>
      <c r="E568" s="12" t="s">
        <v>182</v>
      </c>
      <c r="F568" t="s">
        <v>187</v>
      </c>
      <c r="G568" t="s">
        <v>12</v>
      </c>
      <c r="H568" t="s">
        <v>72</v>
      </c>
      <c r="I568" t="s">
        <v>125</v>
      </c>
      <c r="J568" s="12">
        <v>0.5</v>
      </c>
      <c r="K568" t="s">
        <v>107</v>
      </c>
      <c r="L568" t="s">
        <v>13</v>
      </c>
      <c r="M568" t="s">
        <v>200</v>
      </c>
      <c r="O568" t="s">
        <v>197</v>
      </c>
      <c r="P568">
        <v>6</v>
      </c>
      <c r="Q568" t="s">
        <v>201</v>
      </c>
      <c r="R568" s="6">
        <v>0.48025036674262261</v>
      </c>
      <c r="S568" s="6">
        <v>10.772254112952902</v>
      </c>
      <c r="T568" s="6">
        <v>6.7418331876705491</v>
      </c>
      <c r="U568" s="6">
        <v>60.044540496657511</v>
      </c>
      <c r="V568" s="6">
        <v>0.21058594654820134</v>
      </c>
      <c r="W568" s="6">
        <v>6.9322521062357563</v>
      </c>
      <c r="X568" s="6">
        <v>3.2863078362401859</v>
      </c>
      <c r="Y568" s="6">
        <v>32.225490494281715</v>
      </c>
    </row>
    <row r="569" spans="1:25" x14ac:dyDescent="0.25">
      <c r="A569" t="str">
        <f t="shared" si="8"/>
        <v>RTD Ice TeaFranceDecemberEUR (€)Fully-AutomatedOldCan0.5High-scaleMedium</v>
      </c>
      <c r="B569" t="s">
        <v>130</v>
      </c>
      <c r="C569" t="s">
        <v>130</v>
      </c>
      <c r="D569" t="s">
        <v>15</v>
      </c>
      <c r="E569" s="12" t="s">
        <v>182</v>
      </c>
      <c r="F569" t="s">
        <v>187</v>
      </c>
      <c r="G569" t="s">
        <v>12</v>
      </c>
      <c r="H569" t="s">
        <v>72</v>
      </c>
      <c r="I569" t="s">
        <v>125</v>
      </c>
      <c r="J569" s="12">
        <v>0.5</v>
      </c>
      <c r="K569" t="s">
        <v>107</v>
      </c>
      <c r="L569" t="s">
        <v>63</v>
      </c>
      <c r="M569" t="s">
        <v>200</v>
      </c>
      <c r="O569" t="s">
        <v>197</v>
      </c>
      <c r="P569">
        <v>6</v>
      </c>
      <c r="Q569" t="s">
        <v>201</v>
      </c>
      <c r="R569" s="6">
        <v>0.49857755645028368</v>
      </c>
      <c r="S569" s="6">
        <v>11.183721960282426</v>
      </c>
      <c r="T569" s="6">
        <v>6.9992094368381288</v>
      </c>
      <c r="U569" s="6">
        <v>62.336786443729054</v>
      </c>
      <c r="V569" s="6">
        <v>0.21854272926314774</v>
      </c>
      <c r="W569" s="6">
        <v>7.1931928331429127</v>
      </c>
      <c r="X569" s="6">
        <v>3.4098086753953902</v>
      </c>
      <c r="Y569" s="6">
        <v>33.436841375364281</v>
      </c>
    </row>
    <row r="570" spans="1:25" x14ac:dyDescent="0.25">
      <c r="A570" t="str">
        <f t="shared" si="8"/>
        <v>RTD Ice TeaFranceDecemberEUR (€)Fully-AutomatedOldCan0.5High-scaleHigh</v>
      </c>
      <c r="B570" t="s">
        <v>130</v>
      </c>
      <c r="C570" t="s">
        <v>130</v>
      </c>
      <c r="D570" t="s">
        <v>15</v>
      </c>
      <c r="E570" s="12" t="s">
        <v>182</v>
      </c>
      <c r="F570" t="s">
        <v>187</v>
      </c>
      <c r="G570" t="s">
        <v>12</v>
      </c>
      <c r="H570" t="s">
        <v>72</v>
      </c>
      <c r="I570" t="s">
        <v>125</v>
      </c>
      <c r="J570" s="12">
        <v>0.5</v>
      </c>
      <c r="K570" t="s">
        <v>107</v>
      </c>
      <c r="L570" t="s">
        <v>11</v>
      </c>
      <c r="M570" t="s">
        <v>200</v>
      </c>
      <c r="O570" t="s">
        <v>197</v>
      </c>
      <c r="P570">
        <v>6</v>
      </c>
      <c r="Q570" t="s">
        <v>201</v>
      </c>
      <c r="R570" s="6">
        <v>0.51837092133455764</v>
      </c>
      <c r="S570" s="6">
        <v>11.628107235398311</v>
      </c>
      <c r="T570" s="6">
        <v>7.2771757859391144</v>
      </c>
      <c r="U570" s="6">
        <v>64.812412066566324</v>
      </c>
      <c r="V570" s="6">
        <v>0.22713605459528979</v>
      </c>
      <c r="W570" s="6">
        <v>7.4750088182026424</v>
      </c>
      <c r="X570" s="6">
        <v>3.5431895816830106</v>
      </c>
      <c r="Y570" s="6">
        <v>34.745100326933446</v>
      </c>
    </row>
    <row r="571" spans="1:25" x14ac:dyDescent="0.25">
      <c r="A571" t="str">
        <f t="shared" si="8"/>
        <v>RTD Ice TeaFranceDecemberEUR (€)Fully-AutomatedOldCan0.5Medium-scaleLow</v>
      </c>
      <c r="B571" t="s">
        <v>130</v>
      </c>
      <c r="C571" t="s">
        <v>130</v>
      </c>
      <c r="D571" t="s">
        <v>15</v>
      </c>
      <c r="E571" s="12" t="s">
        <v>182</v>
      </c>
      <c r="F571" t="s">
        <v>187</v>
      </c>
      <c r="G571" t="s">
        <v>12</v>
      </c>
      <c r="H571" t="s">
        <v>72</v>
      </c>
      <c r="I571" t="s">
        <v>125</v>
      </c>
      <c r="J571" s="12">
        <v>0.5</v>
      </c>
      <c r="K571" t="s">
        <v>62</v>
      </c>
      <c r="L571" t="s">
        <v>13</v>
      </c>
      <c r="M571" t="s">
        <v>200</v>
      </c>
      <c r="O571" t="s">
        <v>197</v>
      </c>
      <c r="P571">
        <v>6</v>
      </c>
      <c r="Q571" t="s">
        <v>201</v>
      </c>
      <c r="R571" s="6">
        <v>0.48118622532848115</v>
      </c>
      <c r="S571" s="6">
        <v>10.790776633549212</v>
      </c>
      <c r="T571" s="6">
        <v>6.754345864998923</v>
      </c>
      <c r="U571" s="6">
        <v>60.156076964856823</v>
      </c>
      <c r="V571" s="6">
        <v>0.21142811826537311</v>
      </c>
      <c r="W571" s="6">
        <v>6.9640196643467798</v>
      </c>
      <c r="X571" s="6">
        <v>3.301365039881162</v>
      </c>
      <c r="Y571" s="6">
        <v>32.373064971557866</v>
      </c>
    </row>
    <row r="572" spans="1:25" x14ac:dyDescent="0.25">
      <c r="A572" t="str">
        <f t="shared" si="8"/>
        <v>RTD Ice TeaFranceDecemberEUR (€)Fully-AutomatedOldCan0.5Medium-scaleMedium</v>
      </c>
      <c r="B572" t="s">
        <v>130</v>
      </c>
      <c r="C572" t="s">
        <v>130</v>
      </c>
      <c r="D572" t="s">
        <v>15</v>
      </c>
      <c r="E572" s="12" t="s">
        <v>182</v>
      </c>
      <c r="F572" t="s">
        <v>187</v>
      </c>
      <c r="G572" t="s">
        <v>12</v>
      </c>
      <c r="H572" t="s">
        <v>72</v>
      </c>
      <c r="I572" t="s">
        <v>125</v>
      </c>
      <c r="J572" s="12">
        <v>0.5</v>
      </c>
      <c r="K572" t="s">
        <v>62</v>
      </c>
      <c r="L572" t="s">
        <v>63</v>
      </c>
      <c r="M572" t="s">
        <v>200</v>
      </c>
      <c r="O572" t="s">
        <v>197</v>
      </c>
      <c r="P572">
        <v>6</v>
      </c>
      <c r="Q572" t="s">
        <v>201</v>
      </c>
      <c r="R572" s="6">
        <v>0.49951341503614233</v>
      </c>
      <c r="S572" s="6">
        <v>11.202244480878738</v>
      </c>
      <c r="T572" s="6">
        <v>7.0117221141665027</v>
      </c>
      <c r="U572" s="6">
        <v>62.448322911928379</v>
      </c>
      <c r="V572" s="6">
        <v>0.21938490098031943</v>
      </c>
      <c r="W572" s="6">
        <v>7.2249603912539371</v>
      </c>
      <c r="X572" s="6">
        <v>3.4248658790363664</v>
      </c>
      <c r="Y572" s="6">
        <v>33.584415852640426</v>
      </c>
    </row>
    <row r="573" spans="1:25" x14ac:dyDescent="0.25">
      <c r="A573" t="str">
        <f t="shared" si="8"/>
        <v>RTD Ice TeaFranceDecemberEUR (€)Fully-AutomatedOldCan0.5Medium-scaleHigh</v>
      </c>
      <c r="B573" t="s">
        <v>130</v>
      </c>
      <c r="C573" t="s">
        <v>130</v>
      </c>
      <c r="D573" t="s">
        <v>15</v>
      </c>
      <c r="E573" s="12" t="s">
        <v>182</v>
      </c>
      <c r="F573" t="s">
        <v>187</v>
      </c>
      <c r="G573" t="s">
        <v>12</v>
      </c>
      <c r="H573" t="s">
        <v>72</v>
      </c>
      <c r="I573" t="s">
        <v>125</v>
      </c>
      <c r="J573" s="12">
        <v>0.5</v>
      </c>
      <c r="K573" t="s">
        <v>62</v>
      </c>
      <c r="L573" t="s">
        <v>11</v>
      </c>
      <c r="M573" t="s">
        <v>200</v>
      </c>
      <c r="O573" t="s">
        <v>197</v>
      </c>
      <c r="P573">
        <v>6</v>
      </c>
      <c r="Q573" t="s">
        <v>201</v>
      </c>
      <c r="R573" s="6">
        <v>0.51930677992041618</v>
      </c>
      <c r="S573" s="6">
        <v>11.646629755994624</v>
      </c>
      <c r="T573" s="6">
        <v>7.2896884632674865</v>
      </c>
      <c r="U573" s="6">
        <v>64.923948534765628</v>
      </c>
      <c r="V573" s="6">
        <v>0.22797822631246151</v>
      </c>
      <c r="W573" s="6">
        <v>7.5067763763136668</v>
      </c>
      <c r="X573" s="6">
        <v>3.5582467853239863</v>
      </c>
      <c r="Y573" s="6">
        <v>34.892674804209591</v>
      </c>
    </row>
    <row r="574" spans="1:25" x14ac:dyDescent="0.25">
      <c r="A574" t="str">
        <f t="shared" si="8"/>
        <v>RTD Ice TeaFranceDecemberEUR (€)Fully-AutomatedOldCan0.5Small-scaleLow</v>
      </c>
      <c r="B574" t="s">
        <v>130</v>
      </c>
      <c r="C574" t="s">
        <v>130</v>
      </c>
      <c r="D574" t="s">
        <v>15</v>
      </c>
      <c r="E574" s="12" t="s">
        <v>182</v>
      </c>
      <c r="F574" t="s">
        <v>187</v>
      </c>
      <c r="G574" t="s">
        <v>12</v>
      </c>
      <c r="H574" t="s">
        <v>72</v>
      </c>
      <c r="I574" t="s">
        <v>125</v>
      </c>
      <c r="J574" s="12">
        <v>0.5</v>
      </c>
      <c r="K574" t="s">
        <v>60</v>
      </c>
      <c r="L574" t="s">
        <v>13</v>
      </c>
      <c r="M574" t="s">
        <v>200</v>
      </c>
      <c r="O574" t="s">
        <v>197</v>
      </c>
      <c r="P574">
        <v>6</v>
      </c>
      <c r="Q574" t="s">
        <v>201</v>
      </c>
      <c r="R574" s="6">
        <v>0.48274598963824539</v>
      </c>
      <c r="S574" s="6">
        <v>10.821647501209734</v>
      </c>
      <c r="T574" s="6">
        <v>6.7752003272128798</v>
      </c>
      <c r="U574" s="6">
        <v>60.341971078522313</v>
      </c>
      <c r="V574" s="6">
        <v>0.21283173779399261</v>
      </c>
      <c r="W574" s="6">
        <v>7.0169655945318201</v>
      </c>
      <c r="X574" s="6">
        <v>3.3264603792827883</v>
      </c>
      <c r="Y574" s="6">
        <v>32.619022433684776</v>
      </c>
    </row>
    <row r="575" spans="1:25" x14ac:dyDescent="0.25">
      <c r="A575" t="str">
        <f t="shared" si="8"/>
        <v>RTD Ice TeaFranceDecemberEUR (€)Fully-AutomatedOldCan0.5Small-scaleMedium</v>
      </c>
      <c r="B575" t="s">
        <v>130</v>
      </c>
      <c r="C575" t="s">
        <v>130</v>
      </c>
      <c r="D575" t="s">
        <v>15</v>
      </c>
      <c r="E575" s="12" t="s">
        <v>182</v>
      </c>
      <c r="F575" t="s">
        <v>187</v>
      </c>
      <c r="G575" t="s">
        <v>12</v>
      </c>
      <c r="H575" t="s">
        <v>72</v>
      </c>
      <c r="I575" t="s">
        <v>125</v>
      </c>
      <c r="J575" s="12">
        <v>0.5</v>
      </c>
      <c r="K575" t="s">
        <v>60</v>
      </c>
      <c r="L575" t="s">
        <v>63</v>
      </c>
      <c r="M575" t="s">
        <v>200</v>
      </c>
      <c r="O575" t="s">
        <v>197</v>
      </c>
      <c r="P575">
        <v>6</v>
      </c>
      <c r="Q575" t="s">
        <v>201</v>
      </c>
      <c r="R575" s="6">
        <v>0.50107317934590667</v>
      </c>
      <c r="S575" s="6">
        <v>11.233115348539258</v>
      </c>
      <c r="T575" s="6">
        <v>7.0325765763804586</v>
      </c>
      <c r="U575" s="6">
        <v>62.634217025593884</v>
      </c>
      <c r="V575" s="6">
        <v>0.22078852050893896</v>
      </c>
      <c r="W575" s="6">
        <v>7.2779063214389783</v>
      </c>
      <c r="X575" s="6">
        <v>3.4499612184379922</v>
      </c>
      <c r="Y575" s="6">
        <v>33.830373314767336</v>
      </c>
    </row>
    <row r="576" spans="1:25" x14ac:dyDescent="0.25">
      <c r="A576" t="str">
        <f t="shared" si="8"/>
        <v>RTD Ice TeaFranceDecemberEUR (€)Fully-AutomatedOldCan0.5Small-scaleHigh</v>
      </c>
      <c r="B576" t="s">
        <v>130</v>
      </c>
      <c r="C576" t="s">
        <v>130</v>
      </c>
      <c r="D576" t="s">
        <v>15</v>
      </c>
      <c r="E576" s="12" t="s">
        <v>182</v>
      </c>
      <c r="F576" t="s">
        <v>187</v>
      </c>
      <c r="G576" t="s">
        <v>12</v>
      </c>
      <c r="H576" t="s">
        <v>72</v>
      </c>
      <c r="I576" t="s">
        <v>125</v>
      </c>
      <c r="J576" s="12">
        <v>0.5</v>
      </c>
      <c r="K576" t="s">
        <v>60</v>
      </c>
      <c r="L576" t="s">
        <v>11</v>
      </c>
      <c r="M576" t="s">
        <v>200</v>
      </c>
      <c r="O576" t="s">
        <v>197</v>
      </c>
      <c r="P576">
        <v>6</v>
      </c>
      <c r="Q576" t="s">
        <v>201</v>
      </c>
      <c r="R576" s="6">
        <v>0.52086654423018053</v>
      </c>
      <c r="S576" s="6">
        <v>11.677500623655146</v>
      </c>
      <c r="T576" s="6">
        <v>7.3105429254814434</v>
      </c>
      <c r="U576" s="6">
        <v>65.10984264843114</v>
      </c>
      <c r="V576" s="6">
        <v>0.22938184584108104</v>
      </c>
      <c r="W576" s="6">
        <v>7.5597223064987071</v>
      </c>
      <c r="X576" s="6">
        <v>3.5833421247256125</v>
      </c>
      <c r="Y576" s="6">
        <v>35.138632266336501</v>
      </c>
    </row>
    <row r="577" spans="1:25" x14ac:dyDescent="0.25">
      <c r="A577" t="str">
        <f t="shared" si="8"/>
        <v>RTD Ice TeaFranceDecemberEUR (€)Fully-AutomatedOldCan0.5High-scaleLow</v>
      </c>
      <c r="B577" t="s">
        <v>130</v>
      </c>
      <c r="C577" t="s">
        <v>130</v>
      </c>
      <c r="D577" t="s">
        <v>15</v>
      </c>
      <c r="E577" s="12" t="s">
        <v>182</v>
      </c>
      <c r="F577" t="s">
        <v>187</v>
      </c>
      <c r="G577" t="s">
        <v>12</v>
      </c>
      <c r="H577" t="s">
        <v>72</v>
      </c>
      <c r="I577" t="s">
        <v>125</v>
      </c>
      <c r="J577" s="12">
        <v>0.5</v>
      </c>
      <c r="K577" t="s">
        <v>107</v>
      </c>
      <c r="L577" t="s">
        <v>13</v>
      </c>
      <c r="M577" t="s">
        <v>199</v>
      </c>
      <c r="O577" t="s">
        <v>197</v>
      </c>
      <c r="P577">
        <v>8</v>
      </c>
      <c r="Q577" t="s">
        <v>202</v>
      </c>
      <c r="R577" s="6">
        <v>0.48025036674262261</v>
      </c>
      <c r="S577" s="6">
        <v>10.772254112952902</v>
      </c>
      <c r="T577" s="6">
        <v>6.7418331876705491</v>
      </c>
      <c r="U577" s="6">
        <v>60.044540496657511</v>
      </c>
      <c r="V577" s="6">
        <v>0.1973962940779273</v>
      </c>
      <c r="W577" s="6">
        <v>6.5802805463377307</v>
      </c>
      <c r="X577" s="6">
        <v>3.1012600335421818</v>
      </c>
      <c r="Y577" s="6">
        <v>30.434992104114109</v>
      </c>
    </row>
    <row r="578" spans="1:25" x14ac:dyDescent="0.25">
      <c r="A578" t="str">
        <f t="shared" ref="A578:A641" si="9">C578&amp;D578&amp;E578&amp;F578&amp;G578&amp;H578&amp;I578&amp;J578&amp;K578&amp;L578</f>
        <v>RTD Ice TeaFranceDecemberEUR (€)Fully-AutomatedOldCan0.5High-scaleMedium</v>
      </c>
      <c r="B578" t="s">
        <v>130</v>
      </c>
      <c r="C578" t="s">
        <v>130</v>
      </c>
      <c r="D578" t="s">
        <v>15</v>
      </c>
      <c r="E578" s="12" t="s">
        <v>182</v>
      </c>
      <c r="F578" t="s">
        <v>187</v>
      </c>
      <c r="G578" t="s">
        <v>12</v>
      </c>
      <c r="H578" t="s">
        <v>72</v>
      </c>
      <c r="I578" t="s">
        <v>125</v>
      </c>
      <c r="J578" s="12">
        <v>0.5</v>
      </c>
      <c r="K578" t="s">
        <v>107</v>
      </c>
      <c r="L578" t="s">
        <v>63</v>
      </c>
      <c r="M578" t="s">
        <v>199</v>
      </c>
      <c r="O578" t="s">
        <v>197</v>
      </c>
      <c r="P578">
        <v>8</v>
      </c>
      <c r="Q578" t="s">
        <v>202</v>
      </c>
      <c r="R578" s="6">
        <v>0.49857755645028368</v>
      </c>
      <c r="S578" s="6">
        <v>11.183721960282426</v>
      </c>
      <c r="T578" s="6">
        <v>6.9992094368381288</v>
      </c>
      <c r="U578" s="6">
        <v>62.336786443729054</v>
      </c>
      <c r="V578" s="6">
        <v>0.20484578246709392</v>
      </c>
      <c r="W578" s="6">
        <v>6.8276839055565013</v>
      </c>
      <c r="X578" s="6">
        <v>3.217643649516694</v>
      </c>
      <c r="Y578" s="6">
        <v>31.577477662497916</v>
      </c>
    </row>
    <row r="579" spans="1:25" x14ac:dyDescent="0.25">
      <c r="A579" t="str">
        <f t="shared" si="9"/>
        <v>RTD Ice TeaFranceDecemberEUR (€)Fully-AutomatedOldCan0.5High-scaleHigh</v>
      </c>
      <c r="B579" t="s">
        <v>130</v>
      </c>
      <c r="C579" t="s">
        <v>130</v>
      </c>
      <c r="D579" t="s">
        <v>15</v>
      </c>
      <c r="E579" s="12" t="s">
        <v>182</v>
      </c>
      <c r="F579" t="s">
        <v>187</v>
      </c>
      <c r="G579" t="s">
        <v>12</v>
      </c>
      <c r="H579" t="s">
        <v>72</v>
      </c>
      <c r="I579" t="s">
        <v>125</v>
      </c>
      <c r="J579" s="12">
        <v>0.5</v>
      </c>
      <c r="K579" t="s">
        <v>107</v>
      </c>
      <c r="L579" t="s">
        <v>11</v>
      </c>
      <c r="M579" t="s">
        <v>199</v>
      </c>
      <c r="O579" t="s">
        <v>197</v>
      </c>
      <c r="P579">
        <v>8</v>
      </c>
      <c r="Q579" t="s">
        <v>202</v>
      </c>
      <c r="R579" s="6">
        <v>0.51837092133455764</v>
      </c>
      <c r="S579" s="6">
        <v>11.628107235398311</v>
      </c>
      <c r="T579" s="6">
        <v>7.2771757859391144</v>
      </c>
      <c r="U579" s="6">
        <v>64.812412066566324</v>
      </c>
      <c r="V579" s="6">
        <v>0.21289122992739384</v>
      </c>
      <c r="W579" s="6">
        <v>7.0948795335127741</v>
      </c>
      <c r="X579" s="6">
        <v>3.3433379547691664</v>
      </c>
      <c r="Y579" s="6">
        <v>32.811362065552423</v>
      </c>
    </row>
    <row r="580" spans="1:25" x14ac:dyDescent="0.25">
      <c r="A580" t="str">
        <f t="shared" si="9"/>
        <v>RTD Ice TeaFranceDecemberEUR (€)Fully-AutomatedOldCan0.5Medium-scaleLow</v>
      </c>
      <c r="B580" t="s">
        <v>130</v>
      </c>
      <c r="C580" t="s">
        <v>130</v>
      </c>
      <c r="D580" t="s">
        <v>15</v>
      </c>
      <c r="E580" s="12" t="s">
        <v>182</v>
      </c>
      <c r="F580" t="s">
        <v>187</v>
      </c>
      <c r="G580" t="s">
        <v>12</v>
      </c>
      <c r="H580" t="s">
        <v>72</v>
      </c>
      <c r="I580" t="s">
        <v>125</v>
      </c>
      <c r="J580" s="12">
        <v>0.5</v>
      </c>
      <c r="K580" t="s">
        <v>62</v>
      </c>
      <c r="L580" t="s">
        <v>13</v>
      </c>
      <c r="M580" t="s">
        <v>199</v>
      </c>
      <c r="O580" t="s">
        <v>197</v>
      </c>
      <c r="P580">
        <v>8</v>
      </c>
      <c r="Q580" t="s">
        <v>202</v>
      </c>
      <c r="R580" s="6">
        <v>0.48118622532848115</v>
      </c>
      <c r="S580" s="6">
        <v>10.790776633549212</v>
      </c>
      <c r="T580" s="6">
        <v>6.754345864998923</v>
      </c>
      <c r="U580" s="6">
        <v>60.156076964856823</v>
      </c>
      <c r="V580" s="6">
        <v>0.19823846579509907</v>
      </c>
      <c r="W580" s="6">
        <v>6.6120481044487542</v>
      </c>
      <c r="X580" s="6">
        <v>3.116317237183158</v>
      </c>
      <c r="Y580" s="6">
        <v>30.58256658139025</v>
      </c>
    </row>
    <row r="581" spans="1:25" x14ac:dyDescent="0.25">
      <c r="A581" t="str">
        <f t="shared" si="9"/>
        <v>RTD Ice TeaFranceDecemberEUR (€)Fully-AutomatedOldCan0.5Medium-scaleMedium</v>
      </c>
      <c r="B581" t="s">
        <v>130</v>
      </c>
      <c r="C581" t="s">
        <v>130</v>
      </c>
      <c r="D581" t="s">
        <v>15</v>
      </c>
      <c r="E581" s="12" t="s">
        <v>182</v>
      </c>
      <c r="F581" t="s">
        <v>187</v>
      </c>
      <c r="G581" t="s">
        <v>12</v>
      </c>
      <c r="H581" t="s">
        <v>72</v>
      </c>
      <c r="I581" t="s">
        <v>125</v>
      </c>
      <c r="J581" s="12">
        <v>0.5</v>
      </c>
      <c r="K581" t="s">
        <v>62</v>
      </c>
      <c r="L581" t="s">
        <v>63</v>
      </c>
      <c r="M581" t="s">
        <v>199</v>
      </c>
      <c r="O581" t="s">
        <v>197</v>
      </c>
      <c r="P581">
        <v>8</v>
      </c>
      <c r="Q581" t="s">
        <v>202</v>
      </c>
      <c r="R581" s="6">
        <v>0.49951341503614233</v>
      </c>
      <c r="S581" s="6">
        <v>11.202244480878738</v>
      </c>
      <c r="T581" s="6">
        <v>7.0117221141665027</v>
      </c>
      <c r="U581" s="6">
        <v>62.448322911928379</v>
      </c>
      <c r="V581" s="6">
        <v>0.20568795418426561</v>
      </c>
      <c r="W581" s="6">
        <v>6.8594514636675257</v>
      </c>
      <c r="X581" s="6">
        <v>3.2327008531576698</v>
      </c>
      <c r="Y581" s="6">
        <v>31.725052139774057</v>
      </c>
    </row>
    <row r="582" spans="1:25" x14ac:dyDescent="0.25">
      <c r="A582" t="str">
        <f t="shared" si="9"/>
        <v>RTD Ice TeaFranceDecemberEUR (€)Fully-AutomatedOldCan0.5Medium-scaleHigh</v>
      </c>
      <c r="B582" t="s">
        <v>130</v>
      </c>
      <c r="C582" t="s">
        <v>130</v>
      </c>
      <c r="D582" t="s">
        <v>15</v>
      </c>
      <c r="E582" s="12" t="s">
        <v>182</v>
      </c>
      <c r="F582" t="s">
        <v>187</v>
      </c>
      <c r="G582" t="s">
        <v>12</v>
      </c>
      <c r="H582" t="s">
        <v>72</v>
      </c>
      <c r="I582" t="s">
        <v>125</v>
      </c>
      <c r="J582" s="12">
        <v>0.5</v>
      </c>
      <c r="K582" t="s">
        <v>62</v>
      </c>
      <c r="L582" t="s">
        <v>11</v>
      </c>
      <c r="M582" t="s">
        <v>199</v>
      </c>
      <c r="O582" t="s">
        <v>197</v>
      </c>
      <c r="P582">
        <v>8</v>
      </c>
      <c r="Q582" t="s">
        <v>202</v>
      </c>
      <c r="R582" s="6">
        <v>0.51930677992041618</v>
      </c>
      <c r="S582" s="6">
        <v>11.646629755994624</v>
      </c>
      <c r="T582" s="6">
        <v>7.2896884632674865</v>
      </c>
      <c r="U582" s="6">
        <v>64.923948534765628</v>
      </c>
      <c r="V582" s="6">
        <v>0.21373340164456553</v>
      </c>
      <c r="W582" s="6">
        <v>7.1266470916237985</v>
      </c>
      <c r="X582" s="6">
        <v>3.3583951584101421</v>
      </c>
      <c r="Y582" s="6">
        <v>32.958936542828567</v>
      </c>
    </row>
    <row r="583" spans="1:25" x14ac:dyDescent="0.25">
      <c r="A583" t="str">
        <f t="shared" si="9"/>
        <v>RTD Ice TeaFranceDecemberEUR (€)Fully-AutomatedOldCan0.5Small-scaleLow</v>
      </c>
      <c r="B583" t="s">
        <v>130</v>
      </c>
      <c r="C583" t="s">
        <v>130</v>
      </c>
      <c r="D583" t="s">
        <v>15</v>
      </c>
      <c r="E583" s="12" t="s">
        <v>182</v>
      </c>
      <c r="F583" t="s">
        <v>187</v>
      </c>
      <c r="G583" t="s">
        <v>12</v>
      </c>
      <c r="H583" t="s">
        <v>72</v>
      </c>
      <c r="I583" t="s">
        <v>125</v>
      </c>
      <c r="J583" s="12">
        <v>0.5</v>
      </c>
      <c r="K583" t="s">
        <v>60</v>
      </c>
      <c r="L583" t="s">
        <v>13</v>
      </c>
      <c r="M583" t="s">
        <v>199</v>
      </c>
      <c r="O583" t="s">
        <v>197</v>
      </c>
      <c r="P583">
        <v>8</v>
      </c>
      <c r="Q583" t="s">
        <v>202</v>
      </c>
      <c r="R583" s="6">
        <v>0.48274598963824539</v>
      </c>
      <c r="S583" s="6">
        <v>10.821647501209734</v>
      </c>
      <c r="T583" s="6">
        <v>6.7752003272128798</v>
      </c>
      <c r="U583" s="6">
        <v>60.341971078522313</v>
      </c>
      <c r="V583" s="6">
        <v>0.19964208532371858</v>
      </c>
      <c r="W583" s="6">
        <v>6.6649940346337946</v>
      </c>
      <c r="X583" s="6">
        <v>3.1414125765847842</v>
      </c>
      <c r="Y583" s="6">
        <v>30.828524043517163</v>
      </c>
    </row>
    <row r="584" spans="1:25" x14ac:dyDescent="0.25">
      <c r="A584" t="str">
        <f t="shared" si="9"/>
        <v>RTD Ice TeaFranceDecemberEUR (€)Fully-AutomatedOldCan0.5Small-scaleMedium</v>
      </c>
      <c r="B584" t="s">
        <v>130</v>
      </c>
      <c r="C584" t="s">
        <v>130</v>
      </c>
      <c r="D584" t="s">
        <v>15</v>
      </c>
      <c r="E584" s="12" t="s">
        <v>182</v>
      </c>
      <c r="F584" t="s">
        <v>187</v>
      </c>
      <c r="G584" t="s">
        <v>12</v>
      </c>
      <c r="H584" t="s">
        <v>72</v>
      </c>
      <c r="I584" t="s">
        <v>125</v>
      </c>
      <c r="J584" s="12">
        <v>0.5</v>
      </c>
      <c r="K584" t="s">
        <v>60</v>
      </c>
      <c r="L584" t="s">
        <v>63</v>
      </c>
      <c r="M584" t="s">
        <v>199</v>
      </c>
      <c r="O584" t="s">
        <v>197</v>
      </c>
      <c r="P584">
        <v>8</v>
      </c>
      <c r="Q584" t="s">
        <v>202</v>
      </c>
      <c r="R584" s="6">
        <v>0.50107317934590667</v>
      </c>
      <c r="S584" s="6">
        <v>11.233115348539258</v>
      </c>
      <c r="T584" s="6">
        <v>7.0325765763804586</v>
      </c>
      <c r="U584" s="6">
        <v>62.634217025593884</v>
      </c>
      <c r="V584" s="6">
        <v>0.20709157371288517</v>
      </c>
      <c r="W584" s="6">
        <v>6.9123973938525651</v>
      </c>
      <c r="X584" s="6">
        <v>3.2577961925592955</v>
      </c>
      <c r="Y584" s="6">
        <v>31.971009601900974</v>
      </c>
    </row>
    <row r="585" spans="1:25" x14ac:dyDescent="0.25">
      <c r="A585" t="str">
        <f t="shared" si="9"/>
        <v>RTD Ice TeaFranceDecemberEUR (€)Fully-AutomatedOldCan0.5Small-scaleHigh</v>
      </c>
      <c r="B585" t="s">
        <v>130</v>
      </c>
      <c r="C585" t="s">
        <v>130</v>
      </c>
      <c r="D585" t="s">
        <v>15</v>
      </c>
      <c r="E585" s="12" t="s">
        <v>182</v>
      </c>
      <c r="F585" t="s">
        <v>187</v>
      </c>
      <c r="G585" t="s">
        <v>12</v>
      </c>
      <c r="H585" t="s">
        <v>72</v>
      </c>
      <c r="I585" t="s">
        <v>125</v>
      </c>
      <c r="J585" s="12">
        <v>0.5</v>
      </c>
      <c r="K585" t="s">
        <v>60</v>
      </c>
      <c r="L585" t="s">
        <v>11</v>
      </c>
      <c r="M585" t="s">
        <v>199</v>
      </c>
      <c r="O585" t="s">
        <v>197</v>
      </c>
      <c r="P585">
        <v>8</v>
      </c>
      <c r="Q585" t="s">
        <v>202</v>
      </c>
      <c r="R585" s="6">
        <v>0.52086654423018053</v>
      </c>
      <c r="S585" s="6">
        <v>11.677500623655146</v>
      </c>
      <c r="T585" s="6">
        <v>7.3105429254814434</v>
      </c>
      <c r="U585" s="6">
        <v>65.10984264843114</v>
      </c>
      <c r="V585" s="6">
        <v>0.21513702117318509</v>
      </c>
      <c r="W585" s="6">
        <v>7.1795930218088388</v>
      </c>
      <c r="X585" s="6">
        <v>3.3834904978117684</v>
      </c>
      <c r="Y585" s="6">
        <v>33.204894004955484</v>
      </c>
    </row>
    <row r="586" spans="1:25" x14ac:dyDescent="0.25">
      <c r="A586" t="str">
        <f t="shared" si="9"/>
        <v>RTD Ice TeaFranceDecemberEUR (€)Fully-AutomatedOldCan0.5High-scaleLow</v>
      </c>
      <c r="B586" t="s">
        <v>130</v>
      </c>
      <c r="C586" t="s">
        <v>130</v>
      </c>
      <c r="D586" t="s">
        <v>15</v>
      </c>
      <c r="E586" s="12" t="s">
        <v>182</v>
      </c>
      <c r="F586" t="s">
        <v>187</v>
      </c>
      <c r="G586" t="s">
        <v>12</v>
      </c>
      <c r="H586" t="s">
        <v>72</v>
      </c>
      <c r="I586" t="s">
        <v>125</v>
      </c>
      <c r="J586" s="12">
        <v>0.5</v>
      </c>
      <c r="K586" t="s">
        <v>107</v>
      </c>
      <c r="L586" t="s">
        <v>13</v>
      </c>
      <c r="M586" t="s">
        <v>200</v>
      </c>
      <c r="O586" t="s">
        <v>197</v>
      </c>
      <c r="P586">
        <v>8</v>
      </c>
      <c r="Q586" t="s">
        <v>202</v>
      </c>
      <c r="R586" s="6">
        <v>0.48025036674262261</v>
      </c>
      <c r="S586" s="6">
        <v>10.772254112952902</v>
      </c>
      <c r="T586" s="6">
        <v>6.7418331876705491</v>
      </c>
      <c r="U586" s="6">
        <v>60.044540496657511</v>
      </c>
      <c r="V586" s="6">
        <v>0.1973962940779273</v>
      </c>
      <c r="W586" s="6">
        <v>6.5802805463377307</v>
      </c>
      <c r="X586" s="6">
        <v>3.1012600335421818</v>
      </c>
      <c r="Y586" s="6">
        <v>30.434992104114109</v>
      </c>
    </row>
    <row r="587" spans="1:25" x14ac:dyDescent="0.25">
      <c r="A587" t="str">
        <f t="shared" si="9"/>
        <v>RTD Ice TeaFranceDecemberEUR (€)Fully-AutomatedOldCan0.5High-scaleMedium</v>
      </c>
      <c r="B587" t="s">
        <v>130</v>
      </c>
      <c r="C587" t="s">
        <v>130</v>
      </c>
      <c r="D587" t="s">
        <v>15</v>
      </c>
      <c r="E587" s="12" t="s">
        <v>182</v>
      </c>
      <c r="F587" t="s">
        <v>187</v>
      </c>
      <c r="G587" t="s">
        <v>12</v>
      </c>
      <c r="H587" t="s">
        <v>72</v>
      </c>
      <c r="I587" t="s">
        <v>125</v>
      </c>
      <c r="J587" s="12">
        <v>0.5</v>
      </c>
      <c r="K587" t="s">
        <v>107</v>
      </c>
      <c r="L587" t="s">
        <v>63</v>
      </c>
      <c r="M587" t="s">
        <v>200</v>
      </c>
      <c r="O587" t="s">
        <v>197</v>
      </c>
      <c r="P587">
        <v>8</v>
      </c>
      <c r="Q587" t="s">
        <v>202</v>
      </c>
      <c r="R587" s="6">
        <v>0.49857755645028368</v>
      </c>
      <c r="S587" s="6">
        <v>11.183721960282426</v>
      </c>
      <c r="T587" s="6">
        <v>6.9992094368381288</v>
      </c>
      <c r="U587" s="6">
        <v>62.336786443729054</v>
      </c>
      <c r="V587" s="6">
        <v>0.20484578246709392</v>
      </c>
      <c r="W587" s="6">
        <v>6.8276839055565013</v>
      </c>
      <c r="X587" s="6">
        <v>3.217643649516694</v>
      </c>
      <c r="Y587" s="6">
        <v>31.577477662497916</v>
      </c>
    </row>
    <row r="588" spans="1:25" x14ac:dyDescent="0.25">
      <c r="A588" t="str">
        <f t="shared" si="9"/>
        <v>RTD Ice TeaFranceDecemberEUR (€)Fully-AutomatedOldCan0.5High-scaleHigh</v>
      </c>
      <c r="B588" t="s">
        <v>130</v>
      </c>
      <c r="C588" t="s">
        <v>130</v>
      </c>
      <c r="D588" t="s">
        <v>15</v>
      </c>
      <c r="E588" s="12" t="s">
        <v>182</v>
      </c>
      <c r="F588" t="s">
        <v>187</v>
      </c>
      <c r="G588" t="s">
        <v>12</v>
      </c>
      <c r="H588" t="s">
        <v>72</v>
      </c>
      <c r="I588" t="s">
        <v>125</v>
      </c>
      <c r="J588" s="12">
        <v>0.5</v>
      </c>
      <c r="K588" t="s">
        <v>107</v>
      </c>
      <c r="L588" t="s">
        <v>11</v>
      </c>
      <c r="M588" t="s">
        <v>200</v>
      </c>
      <c r="O588" t="s">
        <v>197</v>
      </c>
      <c r="P588">
        <v>8</v>
      </c>
      <c r="Q588" t="s">
        <v>202</v>
      </c>
      <c r="R588" s="6">
        <v>0.51837092133455764</v>
      </c>
      <c r="S588" s="6">
        <v>11.628107235398311</v>
      </c>
      <c r="T588" s="6">
        <v>7.2771757859391144</v>
      </c>
      <c r="U588" s="6">
        <v>64.812412066566324</v>
      </c>
      <c r="V588" s="6">
        <v>0.21289122992739384</v>
      </c>
      <c r="W588" s="6">
        <v>7.0948795335127741</v>
      </c>
      <c r="X588" s="6">
        <v>3.3433379547691664</v>
      </c>
      <c r="Y588" s="6">
        <v>32.811362065552423</v>
      </c>
    </row>
    <row r="589" spans="1:25" x14ac:dyDescent="0.25">
      <c r="A589" t="str">
        <f t="shared" si="9"/>
        <v>RTD Ice TeaFranceDecemberEUR (€)Fully-AutomatedOldCan0.5Medium-scaleLow</v>
      </c>
      <c r="B589" t="s">
        <v>130</v>
      </c>
      <c r="C589" t="s">
        <v>130</v>
      </c>
      <c r="D589" t="s">
        <v>15</v>
      </c>
      <c r="E589" s="12" t="s">
        <v>182</v>
      </c>
      <c r="F589" t="s">
        <v>187</v>
      </c>
      <c r="G589" t="s">
        <v>12</v>
      </c>
      <c r="H589" t="s">
        <v>72</v>
      </c>
      <c r="I589" t="s">
        <v>125</v>
      </c>
      <c r="J589" s="12">
        <v>0.5</v>
      </c>
      <c r="K589" t="s">
        <v>62</v>
      </c>
      <c r="L589" t="s">
        <v>13</v>
      </c>
      <c r="M589" t="s">
        <v>200</v>
      </c>
      <c r="O589" t="s">
        <v>197</v>
      </c>
      <c r="P589">
        <v>8</v>
      </c>
      <c r="Q589" t="s">
        <v>202</v>
      </c>
      <c r="R589" s="6">
        <v>0.48118622532848115</v>
      </c>
      <c r="S589" s="6">
        <v>10.790776633549212</v>
      </c>
      <c r="T589" s="6">
        <v>6.754345864998923</v>
      </c>
      <c r="U589" s="6">
        <v>60.156076964856823</v>
      </c>
      <c r="V589" s="6">
        <v>0.19823846579509907</v>
      </c>
      <c r="W589" s="6">
        <v>6.6120481044487542</v>
      </c>
      <c r="X589" s="6">
        <v>3.116317237183158</v>
      </c>
      <c r="Y589" s="6">
        <v>30.58256658139025</v>
      </c>
    </row>
    <row r="590" spans="1:25" x14ac:dyDescent="0.25">
      <c r="A590" t="str">
        <f t="shared" si="9"/>
        <v>RTD Ice TeaFranceDecemberEUR (€)Fully-AutomatedOldCan0.5Medium-scaleMedium</v>
      </c>
      <c r="B590" t="s">
        <v>130</v>
      </c>
      <c r="C590" t="s">
        <v>130</v>
      </c>
      <c r="D590" t="s">
        <v>15</v>
      </c>
      <c r="E590" s="12" t="s">
        <v>182</v>
      </c>
      <c r="F590" t="s">
        <v>187</v>
      </c>
      <c r="G590" t="s">
        <v>12</v>
      </c>
      <c r="H590" t="s">
        <v>72</v>
      </c>
      <c r="I590" t="s">
        <v>125</v>
      </c>
      <c r="J590" s="12">
        <v>0.5</v>
      </c>
      <c r="K590" t="s">
        <v>62</v>
      </c>
      <c r="L590" t="s">
        <v>63</v>
      </c>
      <c r="M590" t="s">
        <v>200</v>
      </c>
      <c r="O590" t="s">
        <v>197</v>
      </c>
      <c r="P590">
        <v>8</v>
      </c>
      <c r="Q590" t="s">
        <v>202</v>
      </c>
      <c r="R590" s="6">
        <v>0.49951341503614233</v>
      </c>
      <c r="S590" s="6">
        <v>11.202244480878738</v>
      </c>
      <c r="T590" s="6">
        <v>7.0117221141665027</v>
      </c>
      <c r="U590" s="6">
        <v>62.448322911928379</v>
      </c>
      <c r="V590" s="6">
        <v>0.20568795418426561</v>
      </c>
      <c r="W590" s="6">
        <v>6.8594514636675257</v>
      </c>
      <c r="X590" s="6">
        <v>3.2327008531576698</v>
      </c>
      <c r="Y590" s="6">
        <v>31.725052139774057</v>
      </c>
    </row>
    <row r="591" spans="1:25" x14ac:dyDescent="0.25">
      <c r="A591" t="str">
        <f t="shared" si="9"/>
        <v>RTD Ice TeaFranceDecemberEUR (€)Fully-AutomatedOldCan0.5Medium-scaleHigh</v>
      </c>
      <c r="B591" t="s">
        <v>130</v>
      </c>
      <c r="C591" t="s">
        <v>130</v>
      </c>
      <c r="D591" t="s">
        <v>15</v>
      </c>
      <c r="E591" s="12" t="s">
        <v>182</v>
      </c>
      <c r="F591" t="s">
        <v>187</v>
      </c>
      <c r="G591" t="s">
        <v>12</v>
      </c>
      <c r="H591" t="s">
        <v>72</v>
      </c>
      <c r="I591" t="s">
        <v>125</v>
      </c>
      <c r="J591" s="12">
        <v>0.5</v>
      </c>
      <c r="K591" t="s">
        <v>62</v>
      </c>
      <c r="L591" t="s">
        <v>11</v>
      </c>
      <c r="M591" t="s">
        <v>200</v>
      </c>
      <c r="O591" t="s">
        <v>197</v>
      </c>
      <c r="P591">
        <v>8</v>
      </c>
      <c r="Q591" t="s">
        <v>202</v>
      </c>
      <c r="R591" s="6">
        <v>0.51930677992041618</v>
      </c>
      <c r="S591" s="6">
        <v>11.646629755994624</v>
      </c>
      <c r="T591" s="6">
        <v>7.2896884632674865</v>
      </c>
      <c r="U591" s="6">
        <v>64.923948534765628</v>
      </c>
      <c r="V591" s="6">
        <v>0.21373340164456553</v>
      </c>
      <c r="W591" s="6">
        <v>7.1266470916237985</v>
      </c>
      <c r="X591" s="6">
        <v>3.3583951584101421</v>
      </c>
      <c r="Y591" s="6">
        <v>32.958936542828567</v>
      </c>
    </row>
    <row r="592" spans="1:25" x14ac:dyDescent="0.25">
      <c r="A592" t="str">
        <f t="shared" si="9"/>
        <v>RTD Ice TeaFranceDecemberEUR (€)Fully-AutomatedOldCan0.5Small-scaleLow</v>
      </c>
      <c r="B592" t="s">
        <v>130</v>
      </c>
      <c r="C592" t="s">
        <v>130</v>
      </c>
      <c r="D592" t="s">
        <v>15</v>
      </c>
      <c r="E592" s="12" t="s">
        <v>182</v>
      </c>
      <c r="F592" t="s">
        <v>187</v>
      </c>
      <c r="G592" t="s">
        <v>12</v>
      </c>
      <c r="H592" t="s">
        <v>72</v>
      </c>
      <c r="I592" t="s">
        <v>125</v>
      </c>
      <c r="J592" s="12">
        <v>0.5</v>
      </c>
      <c r="K592" t="s">
        <v>60</v>
      </c>
      <c r="L592" t="s">
        <v>13</v>
      </c>
      <c r="M592" t="s">
        <v>200</v>
      </c>
      <c r="O592" t="s">
        <v>197</v>
      </c>
      <c r="P592">
        <v>8</v>
      </c>
      <c r="Q592" t="s">
        <v>202</v>
      </c>
      <c r="R592" s="6">
        <v>0.48274598963824539</v>
      </c>
      <c r="S592" s="6">
        <v>10.821647501209734</v>
      </c>
      <c r="T592" s="6">
        <v>6.7752003272128798</v>
      </c>
      <c r="U592" s="6">
        <v>60.341971078522313</v>
      </c>
      <c r="V592" s="6">
        <v>0.19964208532371858</v>
      </c>
      <c r="W592" s="6">
        <v>6.6649940346337946</v>
      </c>
      <c r="X592" s="6">
        <v>3.1414125765847842</v>
      </c>
      <c r="Y592" s="6">
        <v>30.828524043517163</v>
      </c>
    </row>
    <row r="593" spans="1:25" x14ac:dyDescent="0.25">
      <c r="A593" t="str">
        <f t="shared" si="9"/>
        <v>RTD Ice TeaFranceDecemberEUR (€)Fully-AutomatedOldCan0.5Small-scaleMedium</v>
      </c>
      <c r="B593" t="s">
        <v>130</v>
      </c>
      <c r="C593" t="s">
        <v>130</v>
      </c>
      <c r="D593" t="s">
        <v>15</v>
      </c>
      <c r="E593" s="12" t="s">
        <v>182</v>
      </c>
      <c r="F593" t="s">
        <v>187</v>
      </c>
      <c r="G593" t="s">
        <v>12</v>
      </c>
      <c r="H593" t="s">
        <v>72</v>
      </c>
      <c r="I593" t="s">
        <v>125</v>
      </c>
      <c r="J593" s="12">
        <v>0.5</v>
      </c>
      <c r="K593" t="s">
        <v>60</v>
      </c>
      <c r="L593" t="s">
        <v>63</v>
      </c>
      <c r="M593" t="s">
        <v>200</v>
      </c>
      <c r="O593" t="s">
        <v>197</v>
      </c>
      <c r="P593">
        <v>8</v>
      </c>
      <c r="Q593" t="s">
        <v>202</v>
      </c>
      <c r="R593" s="6">
        <v>0.50107317934590667</v>
      </c>
      <c r="S593" s="6">
        <v>11.233115348539258</v>
      </c>
      <c r="T593" s="6">
        <v>7.0325765763804586</v>
      </c>
      <c r="U593" s="6">
        <v>62.634217025593884</v>
      </c>
      <c r="V593" s="6">
        <v>0.20709157371288517</v>
      </c>
      <c r="W593" s="6">
        <v>6.9123973938525651</v>
      </c>
      <c r="X593" s="6">
        <v>3.2577961925592955</v>
      </c>
      <c r="Y593" s="6">
        <v>31.971009601900974</v>
      </c>
    </row>
    <row r="594" spans="1:25" x14ac:dyDescent="0.25">
      <c r="A594" t="str">
        <f t="shared" si="9"/>
        <v>RTD Ice TeaFranceDecemberEUR (€)Fully-AutomatedOldCan0.5Small-scaleHigh</v>
      </c>
      <c r="B594" t="s">
        <v>130</v>
      </c>
      <c r="C594" t="s">
        <v>130</v>
      </c>
      <c r="D594" t="s">
        <v>15</v>
      </c>
      <c r="E594" s="12" t="s">
        <v>182</v>
      </c>
      <c r="F594" t="s">
        <v>187</v>
      </c>
      <c r="G594" t="s">
        <v>12</v>
      </c>
      <c r="H594" t="s">
        <v>72</v>
      </c>
      <c r="I594" t="s">
        <v>125</v>
      </c>
      <c r="J594" s="12">
        <v>0.5</v>
      </c>
      <c r="K594" t="s">
        <v>60</v>
      </c>
      <c r="L594" t="s">
        <v>11</v>
      </c>
      <c r="M594" t="s">
        <v>200</v>
      </c>
      <c r="O594" t="s">
        <v>197</v>
      </c>
      <c r="P594">
        <v>8</v>
      </c>
      <c r="Q594" t="s">
        <v>202</v>
      </c>
      <c r="R594" s="6">
        <v>0.52086654423018053</v>
      </c>
      <c r="S594" s="6">
        <v>11.677500623655146</v>
      </c>
      <c r="T594" s="6">
        <v>7.3105429254814434</v>
      </c>
      <c r="U594" s="6">
        <v>65.10984264843114</v>
      </c>
      <c r="V594" s="6">
        <v>0.21513702117318509</v>
      </c>
      <c r="W594" s="6">
        <v>7.1795930218088388</v>
      </c>
      <c r="X594" s="6">
        <v>3.3834904978117684</v>
      </c>
      <c r="Y594" s="6">
        <v>33.204894004955484</v>
      </c>
    </row>
    <row r="595" spans="1:25" x14ac:dyDescent="0.25">
      <c r="A595" t="str">
        <f t="shared" si="9"/>
        <v>RTD Ice TeaFranceDecemberEUR (€)Fully-AutomatedOldCan0.5High-scaleLow</v>
      </c>
      <c r="B595" t="s">
        <v>130</v>
      </c>
      <c r="C595" t="s">
        <v>130</v>
      </c>
      <c r="D595" t="s">
        <v>15</v>
      </c>
      <c r="E595" s="12" t="s">
        <v>182</v>
      </c>
      <c r="F595" t="s">
        <v>187</v>
      </c>
      <c r="G595" t="s">
        <v>12</v>
      </c>
      <c r="H595" t="s">
        <v>72</v>
      </c>
      <c r="I595" t="s">
        <v>125</v>
      </c>
      <c r="J595" s="12">
        <v>0.5</v>
      </c>
      <c r="K595" t="s">
        <v>107</v>
      </c>
      <c r="L595" t="s">
        <v>13</v>
      </c>
      <c r="M595" t="s">
        <v>199</v>
      </c>
      <c r="O595" t="s">
        <v>197</v>
      </c>
      <c r="P595">
        <v>12</v>
      </c>
      <c r="Q595" t="s">
        <v>203</v>
      </c>
      <c r="R595" s="6">
        <v>0.48025036674262261</v>
      </c>
      <c r="S595" s="6">
        <v>10.772254112952902</v>
      </c>
      <c r="T595" s="6">
        <v>6.7418331876705491</v>
      </c>
      <c r="U595" s="6">
        <v>60.044540496657511</v>
      </c>
      <c r="V595" s="6">
        <v>0.18381871065264521</v>
      </c>
      <c r="W595" s="6">
        <v>6.2179568817368214</v>
      </c>
      <c r="X595" s="6">
        <v>2.9107696484118839</v>
      </c>
      <c r="Y595" s="6">
        <v>28.591831996588631</v>
      </c>
    </row>
    <row r="596" spans="1:25" x14ac:dyDescent="0.25">
      <c r="A596" t="str">
        <f t="shared" si="9"/>
        <v>RTD Ice TeaFranceDecemberEUR (€)Fully-AutomatedOldCan0.5High-scaleMedium</v>
      </c>
      <c r="B596" t="s">
        <v>130</v>
      </c>
      <c r="C596" t="s">
        <v>130</v>
      </c>
      <c r="D596" t="s">
        <v>15</v>
      </c>
      <c r="E596" s="12" t="s">
        <v>182</v>
      </c>
      <c r="F596" t="s">
        <v>187</v>
      </c>
      <c r="G596" t="s">
        <v>12</v>
      </c>
      <c r="H596" t="s">
        <v>72</v>
      </c>
      <c r="I596" t="s">
        <v>125</v>
      </c>
      <c r="J596" s="12">
        <v>0.5</v>
      </c>
      <c r="K596" t="s">
        <v>107</v>
      </c>
      <c r="L596" t="s">
        <v>63</v>
      </c>
      <c r="M596" t="s">
        <v>199</v>
      </c>
      <c r="O596" t="s">
        <v>197</v>
      </c>
      <c r="P596">
        <v>12</v>
      </c>
      <c r="Q596" t="s">
        <v>203</v>
      </c>
      <c r="R596" s="6">
        <v>0.49857755645028368</v>
      </c>
      <c r="S596" s="6">
        <v>11.183721960282426</v>
      </c>
      <c r="T596" s="6">
        <v>6.9992094368381288</v>
      </c>
      <c r="U596" s="6">
        <v>62.336786443729054</v>
      </c>
      <c r="V596" s="6">
        <v>0.19074598429468559</v>
      </c>
      <c r="W596" s="6">
        <v>6.451424715394019</v>
      </c>
      <c r="X596" s="6">
        <v>3.0198267111121537</v>
      </c>
      <c r="Y596" s="6">
        <v>29.663426781606066</v>
      </c>
    </row>
    <row r="597" spans="1:25" x14ac:dyDescent="0.25">
      <c r="A597" t="str">
        <f t="shared" si="9"/>
        <v>RTD Ice TeaFranceDecemberEUR (€)Fully-AutomatedOldCan0.5High-scaleHigh</v>
      </c>
      <c r="B597" t="s">
        <v>130</v>
      </c>
      <c r="C597" t="s">
        <v>130</v>
      </c>
      <c r="D597" t="s">
        <v>15</v>
      </c>
      <c r="E597" s="12" t="s">
        <v>182</v>
      </c>
      <c r="F597" t="s">
        <v>187</v>
      </c>
      <c r="G597" t="s">
        <v>12</v>
      </c>
      <c r="H597" t="s">
        <v>72</v>
      </c>
      <c r="I597" t="s">
        <v>125</v>
      </c>
      <c r="J597" s="12">
        <v>0.5</v>
      </c>
      <c r="K597" t="s">
        <v>107</v>
      </c>
      <c r="L597" t="s">
        <v>11</v>
      </c>
      <c r="M597" t="s">
        <v>199</v>
      </c>
      <c r="O597" t="s">
        <v>197</v>
      </c>
      <c r="P597">
        <v>12</v>
      </c>
      <c r="Q597" t="s">
        <v>203</v>
      </c>
      <c r="R597" s="6">
        <v>0.51837092133455764</v>
      </c>
      <c r="S597" s="6">
        <v>11.628107235398311</v>
      </c>
      <c r="T597" s="6">
        <v>7.2771757859391144</v>
      </c>
      <c r="U597" s="6">
        <v>64.812412066566324</v>
      </c>
      <c r="V597" s="6">
        <v>0.19822743982808921</v>
      </c>
      <c r="W597" s="6">
        <v>6.7035699757437923</v>
      </c>
      <c r="X597" s="6">
        <v>3.1376083388284441</v>
      </c>
      <c r="Y597" s="6">
        <v>30.820749149424909</v>
      </c>
    </row>
    <row r="598" spans="1:25" x14ac:dyDescent="0.25">
      <c r="A598" t="str">
        <f t="shared" si="9"/>
        <v>RTD Ice TeaFranceDecemberEUR (€)Fully-AutomatedOldCan0.5Medium-scaleLow</v>
      </c>
      <c r="B598" t="s">
        <v>130</v>
      </c>
      <c r="C598" t="s">
        <v>130</v>
      </c>
      <c r="D598" t="s">
        <v>15</v>
      </c>
      <c r="E598" s="12" t="s">
        <v>182</v>
      </c>
      <c r="F598" t="s">
        <v>187</v>
      </c>
      <c r="G598" t="s">
        <v>12</v>
      </c>
      <c r="H598" t="s">
        <v>72</v>
      </c>
      <c r="I598" t="s">
        <v>125</v>
      </c>
      <c r="J598" s="12">
        <v>0.5</v>
      </c>
      <c r="K598" t="s">
        <v>62</v>
      </c>
      <c r="L598" t="s">
        <v>13</v>
      </c>
      <c r="M598" t="s">
        <v>199</v>
      </c>
      <c r="O598" t="s">
        <v>197</v>
      </c>
      <c r="P598">
        <v>12</v>
      </c>
      <c r="Q598" t="s">
        <v>203</v>
      </c>
      <c r="R598" s="6">
        <v>0.48118622532848115</v>
      </c>
      <c r="S598" s="6">
        <v>10.790776633549212</v>
      </c>
      <c r="T598" s="6">
        <v>6.754345864998923</v>
      </c>
      <c r="U598" s="6">
        <v>60.156076964856823</v>
      </c>
      <c r="V598" s="6">
        <v>0.18466088236981698</v>
      </c>
      <c r="W598" s="6">
        <v>6.2497244398478449</v>
      </c>
      <c r="X598" s="6">
        <v>2.9258268520528601</v>
      </c>
      <c r="Y598" s="6">
        <v>28.739406473864776</v>
      </c>
    </row>
    <row r="599" spans="1:25" x14ac:dyDescent="0.25">
      <c r="A599" t="str">
        <f t="shared" si="9"/>
        <v>RTD Ice TeaFranceDecemberEUR (€)Fully-AutomatedOldCan0.5Medium-scaleMedium</v>
      </c>
      <c r="B599" t="s">
        <v>130</v>
      </c>
      <c r="C599" t="s">
        <v>130</v>
      </c>
      <c r="D599" t="s">
        <v>15</v>
      </c>
      <c r="E599" s="12" t="s">
        <v>182</v>
      </c>
      <c r="F599" t="s">
        <v>187</v>
      </c>
      <c r="G599" t="s">
        <v>12</v>
      </c>
      <c r="H599" t="s">
        <v>72</v>
      </c>
      <c r="I599" t="s">
        <v>125</v>
      </c>
      <c r="J599" s="12">
        <v>0.5</v>
      </c>
      <c r="K599" t="s">
        <v>62</v>
      </c>
      <c r="L599" t="s">
        <v>63</v>
      </c>
      <c r="M599" t="s">
        <v>199</v>
      </c>
      <c r="O599" t="s">
        <v>197</v>
      </c>
      <c r="P599">
        <v>12</v>
      </c>
      <c r="Q599" t="s">
        <v>203</v>
      </c>
      <c r="R599" s="6">
        <v>0.49951341503614233</v>
      </c>
      <c r="S599" s="6">
        <v>11.202244480878738</v>
      </c>
      <c r="T599" s="6">
        <v>7.0117221141665027</v>
      </c>
      <c r="U599" s="6">
        <v>62.448322911928379</v>
      </c>
      <c r="V599" s="6">
        <v>0.1915881560118573</v>
      </c>
      <c r="W599" s="6">
        <v>6.4831922735050433</v>
      </c>
      <c r="X599" s="6">
        <v>3.0348839147531295</v>
      </c>
      <c r="Y599" s="6">
        <v>29.811001258882222</v>
      </c>
    </row>
    <row r="600" spans="1:25" x14ac:dyDescent="0.25">
      <c r="A600" t="str">
        <f t="shared" si="9"/>
        <v>RTD Ice TeaFranceDecemberEUR (€)Fully-AutomatedOldCan0.5Medium-scaleHigh</v>
      </c>
      <c r="B600" t="s">
        <v>130</v>
      </c>
      <c r="C600" t="s">
        <v>130</v>
      </c>
      <c r="D600" t="s">
        <v>15</v>
      </c>
      <c r="E600" s="12" t="s">
        <v>182</v>
      </c>
      <c r="F600" t="s">
        <v>187</v>
      </c>
      <c r="G600" t="s">
        <v>12</v>
      </c>
      <c r="H600" t="s">
        <v>72</v>
      </c>
      <c r="I600" t="s">
        <v>125</v>
      </c>
      <c r="J600" s="12">
        <v>0.5</v>
      </c>
      <c r="K600" t="s">
        <v>62</v>
      </c>
      <c r="L600" t="s">
        <v>11</v>
      </c>
      <c r="M600" t="s">
        <v>199</v>
      </c>
      <c r="O600" t="s">
        <v>197</v>
      </c>
      <c r="P600">
        <v>12</v>
      </c>
      <c r="Q600" t="s">
        <v>203</v>
      </c>
      <c r="R600" s="6">
        <v>0.51930677992041618</v>
      </c>
      <c r="S600" s="6">
        <v>11.646629755994624</v>
      </c>
      <c r="T600" s="6">
        <v>7.2896884632674865</v>
      </c>
      <c r="U600" s="6">
        <v>64.923948534765628</v>
      </c>
      <c r="V600" s="6">
        <v>0.19906961154526087</v>
      </c>
      <c r="W600" s="6">
        <v>6.7353375338548176</v>
      </c>
      <c r="X600" s="6">
        <v>3.1526655424694199</v>
      </c>
      <c r="Y600" s="6">
        <v>30.968323626701054</v>
      </c>
    </row>
    <row r="601" spans="1:25" x14ac:dyDescent="0.25">
      <c r="A601" t="str">
        <f t="shared" si="9"/>
        <v>RTD Ice TeaFranceDecemberEUR (€)Fully-AutomatedOldCan0.5Small-scaleLow</v>
      </c>
      <c r="B601" t="s">
        <v>130</v>
      </c>
      <c r="C601" t="s">
        <v>130</v>
      </c>
      <c r="D601" t="s">
        <v>15</v>
      </c>
      <c r="E601" s="12" t="s">
        <v>182</v>
      </c>
      <c r="F601" t="s">
        <v>187</v>
      </c>
      <c r="G601" t="s">
        <v>12</v>
      </c>
      <c r="H601" t="s">
        <v>72</v>
      </c>
      <c r="I601" t="s">
        <v>125</v>
      </c>
      <c r="J601" s="12">
        <v>0.5</v>
      </c>
      <c r="K601" t="s">
        <v>60</v>
      </c>
      <c r="L601" t="s">
        <v>13</v>
      </c>
      <c r="M601" t="s">
        <v>199</v>
      </c>
      <c r="O601" t="s">
        <v>197</v>
      </c>
      <c r="P601">
        <v>12</v>
      </c>
      <c r="Q601" t="s">
        <v>203</v>
      </c>
      <c r="R601" s="6">
        <v>0.48274598963824539</v>
      </c>
      <c r="S601" s="6">
        <v>10.821647501209734</v>
      </c>
      <c r="T601" s="6">
        <v>6.7752003272128798</v>
      </c>
      <c r="U601" s="6">
        <v>60.341971078522313</v>
      </c>
      <c r="V601" s="6">
        <v>0.18606450189843649</v>
      </c>
      <c r="W601" s="6">
        <v>6.3026703700328852</v>
      </c>
      <c r="X601" s="6">
        <v>2.9509221914544863</v>
      </c>
      <c r="Y601" s="6">
        <v>28.985363935991685</v>
      </c>
    </row>
    <row r="602" spans="1:25" x14ac:dyDescent="0.25">
      <c r="A602" t="str">
        <f t="shared" si="9"/>
        <v>RTD Ice TeaFranceDecemberEUR (€)Fully-AutomatedOldCan0.5Small-scaleMedium</v>
      </c>
      <c r="B602" t="s">
        <v>130</v>
      </c>
      <c r="C602" t="s">
        <v>130</v>
      </c>
      <c r="D602" t="s">
        <v>15</v>
      </c>
      <c r="E602" s="12" t="s">
        <v>182</v>
      </c>
      <c r="F602" t="s">
        <v>187</v>
      </c>
      <c r="G602" t="s">
        <v>12</v>
      </c>
      <c r="H602" t="s">
        <v>72</v>
      </c>
      <c r="I602" t="s">
        <v>125</v>
      </c>
      <c r="J602" s="12">
        <v>0.5</v>
      </c>
      <c r="K602" t="s">
        <v>60</v>
      </c>
      <c r="L602" t="s">
        <v>63</v>
      </c>
      <c r="M602" t="s">
        <v>199</v>
      </c>
      <c r="O602" t="s">
        <v>197</v>
      </c>
      <c r="P602">
        <v>12</v>
      </c>
      <c r="Q602" t="s">
        <v>203</v>
      </c>
      <c r="R602" s="6">
        <v>0.50107317934590667</v>
      </c>
      <c r="S602" s="6">
        <v>11.233115348539258</v>
      </c>
      <c r="T602" s="6">
        <v>7.0325765763804586</v>
      </c>
      <c r="U602" s="6">
        <v>62.634217025593884</v>
      </c>
      <c r="V602" s="6">
        <v>0.19299177554047683</v>
      </c>
      <c r="W602" s="6">
        <v>6.5361382036900828</v>
      </c>
      <c r="X602" s="6">
        <v>3.0599792541547552</v>
      </c>
      <c r="Y602" s="6">
        <v>30.056958721009128</v>
      </c>
    </row>
    <row r="603" spans="1:25" x14ac:dyDescent="0.25">
      <c r="A603" t="str">
        <f t="shared" si="9"/>
        <v>RTD Ice TeaFranceDecemberEUR (€)Fully-AutomatedOldCan0.5Small-scaleHigh</v>
      </c>
      <c r="B603" t="s">
        <v>130</v>
      </c>
      <c r="C603" t="s">
        <v>130</v>
      </c>
      <c r="D603" t="s">
        <v>15</v>
      </c>
      <c r="E603" s="12" t="s">
        <v>182</v>
      </c>
      <c r="F603" t="s">
        <v>187</v>
      </c>
      <c r="G603" t="s">
        <v>12</v>
      </c>
      <c r="H603" t="s">
        <v>72</v>
      </c>
      <c r="I603" t="s">
        <v>125</v>
      </c>
      <c r="J603" s="12">
        <v>0.5</v>
      </c>
      <c r="K603" t="s">
        <v>60</v>
      </c>
      <c r="L603" t="s">
        <v>11</v>
      </c>
      <c r="M603" t="s">
        <v>199</v>
      </c>
      <c r="O603" t="s">
        <v>197</v>
      </c>
      <c r="P603">
        <v>12</v>
      </c>
      <c r="Q603" t="s">
        <v>203</v>
      </c>
      <c r="R603" s="6">
        <v>0.52086654423018053</v>
      </c>
      <c r="S603" s="6">
        <v>11.677500623655146</v>
      </c>
      <c r="T603" s="6">
        <v>7.3105429254814434</v>
      </c>
      <c r="U603" s="6">
        <v>65.10984264843114</v>
      </c>
      <c r="V603" s="6">
        <v>0.20047323107388043</v>
      </c>
      <c r="W603" s="6">
        <v>6.7882834640398562</v>
      </c>
      <c r="X603" s="6">
        <v>3.1777608818710461</v>
      </c>
      <c r="Y603" s="6">
        <v>31.214281088827956</v>
      </c>
    </row>
    <row r="604" spans="1:25" x14ac:dyDescent="0.25">
      <c r="A604" t="str">
        <f t="shared" si="9"/>
        <v>RTD Ice TeaFranceDecemberEUR (€)Fully-AutomatedOldCan0.5High-scaleLow</v>
      </c>
      <c r="B604" t="s">
        <v>130</v>
      </c>
      <c r="C604" t="s">
        <v>130</v>
      </c>
      <c r="D604" t="s">
        <v>15</v>
      </c>
      <c r="E604" s="12" t="s">
        <v>182</v>
      </c>
      <c r="F604" t="s">
        <v>187</v>
      </c>
      <c r="G604" t="s">
        <v>12</v>
      </c>
      <c r="H604" t="s">
        <v>72</v>
      </c>
      <c r="I604" t="s">
        <v>125</v>
      </c>
      <c r="J604" s="12">
        <v>0.5</v>
      </c>
      <c r="K604" t="s">
        <v>107</v>
      </c>
      <c r="L604" t="s">
        <v>13</v>
      </c>
      <c r="M604" t="s">
        <v>200</v>
      </c>
      <c r="O604" t="s">
        <v>197</v>
      </c>
      <c r="P604">
        <v>12</v>
      </c>
      <c r="Q604" t="s">
        <v>203</v>
      </c>
      <c r="R604" s="6">
        <v>0.48025036674262261</v>
      </c>
      <c r="S604" s="6">
        <v>10.772254112952902</v>
      </c>
      <c r="T604" s="6">
        <v>6.7418331876705491</v>
      </c>
      <c r="U604" s="6">
        <v>60.044540496657511</v>
      </c>
      <c r="V604" s="6">
        <v>0.18381871065264521</v>
      </c>
      <c r="W604" s="6">
        <v>6.2179568817368214</v>
      </c>
      <c r="X604" s="6">
        <v>2.9107696484118839</v>
      </c>
      <c r="Y604" s="6">
        <v>28.591831996588631</v>
      </c>
    </row>
    <row r="605" spans="1:25" x14ac:dyDescent="0.25">
      <c r="A605" t="str">
        <f t="shared" si="9"/>
        <v>RTD Ice TeaFranceDecemberEUR (€)Fully-AutomatedOldCan0.5High-scaleMedium</v>
      </c>
      <c r="B605" t="s">
        <v>130</v>
      </c>
      <c r="C605" t="s">
        <v>130</v>
      </c>
      <c r="D605" t="s">
        <v>15</v>
      </c>
      <c r="E605" s="12" t="s">
        <v>182</v>
      </c>
      <c r="F605" t="s">
        <v>187</v>
      </c>
      <c r="G605" t="s">
        <v>12</v>
      </c>
      <c r="H605" t="s">
        <v>72</v>
      </c>
      <c r="I605" t="s">
        <v>125</v>
      </c>
      <c r="J605" s="12">
        <v>0.5</v>
      </c>
      <c r="K605" t="s">
        <v>107</v>
      </c>
      <c r="L605" t="s">
        <v>63</v>
      </c>
      <c r="M605" t="s">
        <v>200</v>
      </c>
      <c r="O605" t="s">
        <v>197</v>
      </c>
      <c r="P605">
        <v>12</v>
      </c>
      <c r="Q605" t="s">
        <v>203</v>
      </c>
      <c r="R605" s="6">
        <v>0.49857755645028368</v>
      </c>
      <c r="S605" s="6">
        <v>11.183721960282426</v>
      </c>
      <c r="T605" s="6">
        <v>6.9992094368381288</v>
      </c>
      <c r="U605" s="6">
        <v>62.336786443729054</v>
      </c>
      <c r="V605" s="6">
        <v>0.19074598429468559</v>
      </c>
      <c r="W605" s="6">
        <v>6.451424715394019</v>
      </c>
      <c r="X605" s="6">
        <v>3.0198267111121537</v>
      </c>
      <c r="Y605" s="6">
        <v>29.663426781606066</v>
      </c>
    </row>
    <row r="606" spans="1:25" x14ac:dyDescent="0.25">
      <c r="A606" t="str">
        <f t="shared" si="9"/>
        <v>RTD Ice TeaFranceDecemberEUR (€)Fully-AutomatedOldCan0.5High-scaleHigh</v>
      </c>
      <c r="B606" t="s">
        <v>130</v>
      </c>
      <c r="C606" t="s">
        <v>130</v>
      </c>
      <c r="D606" t="s">
        <v>15</v>
      </c>
      <c r="E606" s="12" t="s">
        <v>182</v>
      </c>
      <c r="F606" t="s">
        <v>187</v>
      </c>
      <c r="G606" t="s">
        <v>12</v>
      </c>
      <c r="H606" t="s">
        <v>72</v>
      </c>
      <c r="I606" t="s">
        <v>125</v>
      </c>
      <c r="J606" s="12">
        <v>0.5</v>
      </c>
      <c r="K606" t="s">
        <v>107</v>
      </c>
      <c r="L606" t="s">
        <v>11</v>
      </c>
      <c r="M606" t="s">
        <v>200</v>
      </c>
      <c r="O606" t="s">
        <v>197</v>
      </c>
      <c r="P606">
        <v>12</v>
      </c>
      <c r="Q606" t="s">
        <v>203</v>
      </c>
      <c r="R606" s="6">
        <v>0.51837092133455764</v>
      </c>
      <c r="S606" s="6">
        <v>11.628107235398311</v>
      </c>
      <c r="T606" s="6">
        <v>7.2771757859391144</v>
      </c>
      <c r="U606" s="6">
        <v>64.812412066566324</v>
      </c>
      <c r="V606" s="6">
        <v>0.19822743982808921</v>
      </c>
      <c r="W606" s="6">
        <v>6.7035699757437923</v>
      </c>
      <c r="X606" s="6">
        <v>3.1376083388284441</v>
      </c>
      <c r="Y606" s="6">
        <v>30.820749149424909</v>
      </c>
    </row>
    <row r="607" spans="1:25" x14ac:dyDescent="0.25">
      <c r="A607" t="str">
        <f t="shared" si="9"/>
        <v>RTD Ice TeaFranceDecemberEUR (€)Fully-AutomatedOldCan0.5Medium-scaleLow</v>
      </c>
      <c r="B607" t="s">
        <v>130</v>
      </c>
      <c r="C607" t="s">
        <v>130</v>
      </c>
      <c r="D607" t="s">
        <v>15</v>
      </c>
      <c r="E607" s="12" t="s">
        <v>182</v>
      </c>
      <c r="F607" t="s">
        <v>187</v>
      </c>
      <c r="G607" t="s">
        <v>12</v>
      </c>
      <c r="H607" t="s">
        <v>72</v>
      </c>
      <c r="I607" t="s">
        <v>125</v>
      </c>
      <c r="J607" s="12">
        <v>0.5</v>
      </c>
      <c r="K607" t="s">
        <v>62</v>
      </c>
      <c r="L607" t="s">
        <v>13</v>
      </c>
      <c r="M607" t="s">
        <v>200</v>
      </c>
      <c r="O607" t="s">
        <v>197</v>
      </c>
      <c r="P607">
        <v>12</v>
      </c>
      <c r="Q607" t="s">
        <v>203</v>
      </c>
      <c r="R607" s="6">
        <v>0.48118622532848115</v>
      </c>
      <c r="S607" s="6">
        <v>10.790776633549212</v>
      </c>
      <c r="T607" s="6">
        <v>6.754345864998923</v>
      </c>
      <c r="U607" s="6">
        <v>60.156076964856823</v>
      </c>
      <c r="V607" s="6">
        <v>0.18466088236981698</v>
      </c>
      <c r="W607" s="6">
        <v>6.2497244398478449</v>
      </c>
      <c r="X607" s="6">
        <v>2.9258268520528601</v>
      </c>
      <c r="Y607" s="6">
        <v>28.739406473864776</v>
      </c>
    </row>
    <row r="608" spans="1:25" x14ac:dyDescent="0.25">
      <c r="A608" t="str">
        <f t="shared" si="9"/>
        <v>RTD Ice TeaFranceDecemberEUR (€)Fully-AutomatedOldCan0.5Medium-scaleMedium</v>
      </c>
      <c r="B608" t="s">
        <v>130</v>
      </c>
      <c r="C608" t="s">
        <v>130</v>
      </c>
      <c r="D608" t="s">
        <v>15</v>
      </c>
      <c r="E608" s="12" t="s">
        <v>182</v>
      </c>
      <c r="F608" t="s">
        <v>187</v>
      </c>
      <c r="G608" t="s">
        <v>12</v>
      </c>
      <c r="H608" t="s">
        <v>72</v>
      </c>
      <c r="I608" t="s">
        <v>125</v>
      </c>
      <c r="J608" s="12">
        <v>0.5</v>
      </c>
      <c r="K608" t="s">
        <v>62</v>
      </c>
      <c r="L608" t="s">
        <v>63</v>
      </c>
      <c r="M608" t="s">
        <v>200</v>
      </c>
      <c r="O608" t="s">
        <v>197</v>
      </c>
      <c r="P608">
        <v>12</v>
      </c>
      <c r="Q608" t="s">
        <v>203</v>
      </c>
      <c r="R608" s="6">
        <v>0.49951341503614233</v>
      </c>
      <c r="S608" s="6">
        <v>11.202244480878738</v>
      </c>
      <c r="T608" s="6">
        <v>7.0117221141665027</v>
      </c>
      <c r="U608" s="6">
        <v>62.448322911928379</v>
      </c>
      <c r="V608" s="6">
        <v>0.1915881560118573</v>
      </c>
      <c r="W608" s="6">
        <v>6.4831922735050433</v>
      </c>
      <c r="X608" s="6">
        <v>3.0348839147531295</v>
      </c>
      <c r="Y608" s="6">
        <v>29.811001258882222</v>
      </c>
    </row>
    <row r="609" spans="1:25" x14ac:dyDescent="0.25">
      <c r="A609" t="str">
        <f t="shared" si="9"/>
        <v>RTD Ice TeaFranceDecemberEUR (€)Fully-AutomatedOldCan0.5Medium-scaleHigh</v>
      </c>
      <c r="B609" t="s">
        <v>130</v>
      </c>
      <c r="C609" t="s">
        <v>130</v>
      </c>
      <c r="D609" t="s">
        <v>15</v>
      </c>
      <c r="E609" s="12" t="s">
        <v>182</v>
      </c>
      <c r="F609" t="s">
        <v>187</v>
      </c>
      <c r="G609" t="s">
        <v>12</v>
      </c>
      <c r="H609" t="s">
        <v>72</v>
      </c>
      <c r="I609" t="s">
        <v>125</v>
      </c>
      <c r="J609" s="12">
        <v>0.5</v>
      </c>
      <c r="K609" t="s">
        <v>62</v>
      </c>
      <c r="L609" t="s">
        <v>11</v>
      </c>
      <c r="M609" t="s">
        <v>200</v>
      </c>
      <c r="O609" t="s">
        <v>197</v>
      </c>
      <c r="P609">
        <v>12</v>
      </c>
      <c r="Q609" t="s">
        <v>203</v>
      </c>
      <c r="R609" s="6">
        <v>0.51930677992041618</v>
      </c>
      <c r="S609" s="6">
        <v>11.646629755994624</v>
      </c>
      <c r="T609" s="6">
        <v>7.2896884632674865</v>
      </c>
      <c r="U609" s="6">
        <v>64.923948534765628</v>
      </c>
      <c r="V609" s="6">
        <v>0.19906961154526087</v>
      </c>
      <c r="W609" s="6">
        <v>6.7353375338548176</v>
      </c>
      <c r="X609" s="6">
        <v>3.1526655424694199</v>
      </c>
      <c r="Y609" s="6">
        <v>30.968323626701054</v>
      </c>
    </row>
    <row r="610" spans="1:25" x14ac:dyDescent="0.25">
      <c r="A610" t="str">
        <f t="shared" si="9"/>
        <v>RTD Ice TeaFranceDecemberEUR (€)Fully-AutomatedOldCan0.5Small-scaleLow</v>
      </c>
      <c r="B610" t="s">
        <v>130</v>
      </c>
      <c r="C610" t="s">
        <v>130</v>
      </c>
      <c r="D610" t="s">
        <v>15</v>
      </c>
      <c r="E610" s="12" t="s">
        <v>182</v>
      </c>
      <c r="F610" t="s">
        <v>187</v>
      </c>
      <c r="G610" t="s">
        <v>12</v>
      </c>
      <c r="H610" t="s">
        <v>72</v>
      </c>
      <c r="I610" t="s">
        <v>125</v>
      </c>
      <c r="J610" s="12">
        <v>0.5</v>
      </c>
      <c r="K610" t="s">
        <v>60</v>
      </c>
      <c r="L610" t="s">
        <v>13</v>
      </c>
      <c r="M610" t="s">
        <v>200</v>
      </c>
      <c r="O610" t="s">
        <v>197</v>
      </c>
      <c r="P610">
        <v>12</v>
      </c>
      <c r="Q610" t="s">
        <v>203</v>
      </c>
      <c r="R610" s="6">
        <v>0.48274598963824539</v>
      </c>
      <c r="S610" s="6">
        <v>10.821647501209734</v>
      </c>
      <c r="T610" s="6">
        <v>6.7752003272128798</v>
      </c>
      <c r="U610" s="6">
        <v>60.341971078522313</v>
      </c>
      <c r="V610" s="6">
        <v>0.18606450189843649</v>
      </c>
      <c r="W610" s="6">
        <v>6.3026703700328852</v>
      </c>
      <c r="X610" s="6">
        <v>2.9509221914544863</v>
      </c>
      <c r="Y610" s="6">
        <v>28.985363935991685</v>
      </c>
    </row>
    <row r="611" spans="1:25" x14ac:dyDescent="0.25">
      <c r="A611" t="str">
        <f t="shared" si="9"/>
        <v>RTD Ice TeaFranceDecemberEUR (€)Fully-AutomatedOldCan0.5Small-scaleMedium</v>
      </c>
      <c r="B611" t="s">
        <v>130</v>
      </c>
      <c r="C611" t="s">
        <v>130</v>
      </c>
      <c r="D611" t="s">
        <v>15</v>
      </c>
      <c r="E611" s="12" t="s">
        <v>182</v>
      </c>
      <c r="F611" t="s">
        <v>187</v>
      </c>
      <c r="G611" t="s">
        <v>12</v>
      </c>
      <c r="H611" t="s">
        <v>72</v>
      </c>
      <c r="I611" t="s">
        <v>125</v>
      </c>
      <c r="J611" s="12">
        <v>0.5</v>
      </c>
      <c r="K611" t="s">
        <v>60</v>
      </c>
      <c r="L611" t="s">
        <v>63</v>
      </c>
      <c r="M611" t="s">
        <v>200</v>
      </c>
      <c r="O611" t="s">
        <v>197</v>
      </c>
      <c r="P611">
        <v>12</v>
      </c>
      <c r="Q611" t="s">
        <v>203</v>
      </c>
      <c r="R611" s="6">
        <v>0.50107317934590667</v>
      </c>
      <c r="S611" s="6">
        <v>11.233115348539258</v>
      </c>
      <c r="T611" s="6">
        <v>7.0325765763804586</v>
      </c>
      <c r="U611" s="6">
        <v>62.634217025593884</v>
      </c>
      <c r="V611" s="6">
        <v>0.19299177554047683</v>
      </c>
      <c r="W611" s="6">
        <v>6.5361382036900828</v>
      </c>
      <c r="X611" s="6">
        <v>3.0599792541547552</v>
      </c>
      <c r="Y611" s="6">
        <v>30.056958721009128</v>
      </c>
    </row>
    <row r="612" spans="1:25" x14ac:dyDescent="0.25">
      <c r="A612" t="str">
        <f t="shared" si="9"/>
        <v>RTD Ice TeaFranceDecemberEUR (€)Fully-AutomatedOldCan0.5Small-scaleHigh</v>
      </c>
      <c r="B612" t="s">
        <v>130</v>
      </c>
      <c r="C612" t="s">
        <v>130</v>
      </c>
      <c r="D612" t="s">
        <v>15</v>
      </c>
      <c r="E612" s="12" t="s">
        <v>182</v>
      </c>
      <c r="F612" t="s">
        <v>187</v>
      </c>
      <c r="G612" t="s">
        <v>12</v>
      </c>
      <c r="H612" t="s">
        <v>72</v>
      </c>
      <c r="I612" t="s">
        <v>125</v>
      </c>
      <c r="J612" s="12">
        <v>0.5</v>
      </c>
      <c r="K612" t="s">
        <v>60</v>
      </c>
      <c r="L612" t="s">
        <v>11</v>
      </c>
      <c r="M612" t="s">
        <v>200</v>
      </c>
      <c r="O612" t="s">
        <v>197</v>
      </c>
      <c r="P612">
        <v>12</v>
      </c>
      <c r="Q612" t="s">
        <v>203</v>
      </c>
      <c r="R612" s="6">
        <v>0.52086654423018053</v>
      </c>
      <c r="S612" s="6">
        <v>11.677500623655146</v>
      </c>
      <c r="T612" s="6">
        <v>7.3105429254814434</v>
      </c>
      <c r="U612" s="6">
        <v>65.10984264843114</v>
      </c>
      <c r="V612" s="6">
        <v>0.20047323107388043</v>
      </c>
      <c r="W612" s="6">
        <v>6.7882834640398562</v>
      </c>
      <c r="X612" s="6">
        <v>3.1777608818710461</v>
      </c>
      <c r="Y612" s="6">
        <v>31.214281088827956</v>
      </c>
    </row>
    <row r="613" spans="1:25" x14ac:dyDescent="0.25">
      <c r="A613" t="str">
        <f t="shared" si="9"/>
        <v>RTD Ice TeaFranceDecemberEUR (€)Fully-AutomatedOldCan0.5High-scaleLow</v>
      </c>
      <c r="B613" t="s">
        <v>130</v>
      </c>
      <c r="C613" t="s">
        <v>130</v>
      </c>
      <c r="D613" t="s">
        <v>15</v>
      </c>
      <c r="E613" s="12" t="s">
        <v>182</v>
      </c>
      <c r="F613" t="s">
        <v>187</v>
      </c>
      <c r="G613" t="s">
        <v>12</v>
      </c>
      <c r="H613" t="s">
        <v>72</v>
      </c>
      <c r="I613" t="s">
        <v>125</v>
      </c>
      <c r="J613" s="12">
        <v>0.5</v>
      </c>
      <c r="K613" t="s">
        <v>107</v>
      </c>
      <c r="L613" t="s">
        <v>13</v>
      </c>
      <c r="M613" t="s">
        <v>199</v>
      </c>
      <c r="O613" t="s">
        <v>197</v>
      </c>
      <c r="P613">
        <v>24</v>
      </c>
      <c r="Q613" t="s">
        <v>204</v>
      </c>
      <c r="R613" s="6">
        <v>0.48025036674262261</v>
      </c>
      <c r="S613" s="6">
        <v>10.772254112952902</v>
      </c>
      <c r="T613" s="6">
        <v>6.7418331876705491</v>
      </c>
      <c r="U613" s="6">
        <v>60.044540496657511</v>
      </c>
      <c r="V613" s="6">
        <v>0.13636414042528536</v>
      </c>
      <c r="W613" s="6">
        <v>4.8839555103777244</v>
      </c>
      <c r="X613" s="6">
        <v>2.1852013286253289</v>
      </c>
      <c r="Y613" s="6">
        <v>21.604044105217504</v>
      </c>
    </row>
    <row r="614" spans="1:25" x14ac:dyDescent="0.25">
      <c r="A614" t="str">
        <f t="shared" si="9"/>
        <v>RTD Ice TeaFranceDecemberEUR (€)Fully-AutomatedOldCan0.5High-scaleMedium</v>
      </c>
      <c r="B614" t="s">
        <v>130</v>
      </c>
      <c r="C614" t="s">
        <v>130</v>
      </c>
      <c r="D614" t="s">
        <v>15</v>
      </c>
      <c r="E614" s="12" t="s">
        <v>182</v>
      </c>
      <c r="F614" t="s">
        <v>187</v>
      </c>
      <c r="G614" t="s">
        <v>12</v>
      </c>
      <c r="H614" t="s">
        <v>72</v>
      </c>
      <c r="I614" t="s">
        <v>125</v>
      </c>
      <c r="J614" s="12">
        <v>0.5</v>
      </c>
      <c r="K614" t="s">
        <v>107</v>
      </c>
      <c r="L614" t="s">
        <v>63</v>
      </c>
      <c r="M614" t="s">
        <v>199</v>
      </c>
      <c r="O614" t="s">
        <v>197</v>
      </c>
      <c r="P614">
        <v>24</v>
      </c>
      <c r="Q614" t="s">
        <v>204</v>
      </c>
      <c r="R614" s="6">
        <v>0.49857755645028368</v>
      </c>
      <c r="S614" s="6">
        <v>11.183721960282426</v>
      </c>
      <c r="T614" s="6">
        <v>6.9992094368381288</v>
      </c>
      <c r="U614" s="6">
        <v>62.336786443729054</v>
      </c>
      <c r="V614" s="6">
        <v>0.14149926082237291</v>
      </c>
      <c r="W614" s="6">
        <v>5.0669968195065351</v>
      </c>
      <c r="X614" s="6">
        <v>2.2668152160612229</v>
      </c>
      <c r="Y614" s="6">
        <v>22.411360634027282</v>
      </c>
    </row>
    <row r="615" spans="1:25" x14ac:dyDescent="0.25">
      <c r="A615" t="str">
        <f t="shared" si="9"/>
        <v>RTD Ice TeaFranceDecemberEUR (€)Fully-AutomatedOldCan0.5High-scaleHigh</v>
      </c>
      <c r="B615" t="s">
        <v>130</v>
      </c>
      <c r="C615" t="s">
        <v>130</v>
      </c>
      <c r="D615" t="s">
        <v>15</v>
      </c>
      <c r="E615" s="12" t="s">
        <v>182</v>
      </c>
      <c r="F615" t="s">
        <v>187</v>
      </c>
      <c r="G615" t="s">
        <v>12</v>
      </c>
      <c r="H615" t="s">
        <v>72</v>
      </c>
      <c r="I615" t="s">
        <v>125</v>
      </c>
      <c r="J615" s="12">
        <v>0.5</v>
      </c>
      <c r="K615" t="s">
        <v>107</v>
      </c>
      <c r="L615" t="s">
        <v>11</v>
      </c>
      <c r="M615" t="s">
        <v>199</v>
      </c>
      <c r="O615" t="s">
        <v>197</v>
      </c>
      <c r="P615">
        <v>24</v>
      </c>
      <c r="Q615" t="s">
        <v>204</v>
      </c>
      <c r="R615" s="6">
        <v>0.51837092133455764</v>
      </c>
      <c r="S615" s="6">
        <v>11.628107235398311</v>
      </c>
      <c r="T615" s="6">
        <v>7.2771757859391144</v>
      </c>
      <c r="U615" s="6">
        <v>64.812412066566324</v>
      </c>
      <c r="V615" s="6">
        <v>0.14704519085122741</v>
      </c>
      <c r="W615" s="6">
        <v>5.2646814333656495</v>
      </c>
      <c r="X615" s="6">
        <v>2.3549582144919876</v>
      </c>
      <c r="Y615" s="6">
        <v>23.283262485141851</v>
      </c>
    </row>
    <row r="616" spans="1:25" x14ac:dyDescent="0.25">
      <c r="A616" t="str">
        <f t="shared" si="9"/>
        <v>RTD Ice TeaFranceDecemberEUR (€)Fully-AutomatedOldCan0.5Medium-scaleLow</v>
      </c>
      <c r="B616" t="s">
        <v>130</v>
      </c>
      <c r="C616" t="s">
        <v>130</v>
      </c>
      <c r="D616" t="s">
        <v>15</v>
      </c>
      <c r="E616" s="12" t="s">
        <v>182</v>
      </c>
      <c r="F616" t="s">
        <v>187</v>
      </c>
      <c r="G616" t="s">
        <v>12</v>
      </c>
      <c r="H616" t="s">
        <v>72</v>
      </c>
      <c r="I616" t="s">
        <v>125</v>
      </c>
      <c r="J616" s="12">
        <v>0.5</v>
      </c>
      <c r="K616" t="s">
        <v>62</v>
      </c>
      <c r="L616" t="s">
        <v>13</v>
      </c>
      <c r="M616" t="s">
        <v>199</v>
      </c>
      <c r="O616" t="s">
        <v>197</v>
      </c>
      <c r="P616">
        <v>24</v>
      </c>
      <c r="Q616" t="s">
        <v>204</v>
      </c>
      <c r="R616" s="6">
        <v>0.48118622532848115</v>
      </c>
      <c r="S616" s="6">
        <v>10.790776633549212</v>
      </c>
      <c r="T616" s="6">
        <v>6.754345864998923</v>
      </c>
      <c r="U616" s="6">
        <v>60.156076964856823</v>
      </c>
      <c r="V616" s="6">
        <v>0.13699166567781063</v>
      </c>
      <c r="W616" s="6">
        <v>4.9099951350834905</v>
      </c>
      <c r="X616" s="6">
        <v>2.1972470915381099</v>
      </c>
      <c r="Y616" s="6">
        <v>21.722480275000642</v>
      </c>
    </row>
    <row r="617" spans="1:25" x14ac:dyDescent="0.25">
      <c r="A617" t="str">
        <f t="shared" si="9"/>
        <v>RTD Ice TeaFranceDecemberEUR (€)Fully-AutomatedOldCan0.5Medium-scaleMedium</v>
      </c>
      <c r="B617" t="s">
        <v>130</v>
      </c>
      <c r="C617" t="s">
        <v>130</v>
      </c>
      <c r="D617" t="s">
        <v>15</v>
      </c>
      <c r="E617" s="12" t="s">
        <v>182</v>
      </c>
      <c r="F617" t="s">
        <v>187</v>
      </c>
      <c r="G617" t="s">
        <v>12</v>
      </c>
      <c r="H617" t="s">
        <v>72</v>
      </c>
      <c r="I617" t="s">
        <v>125</v>
      </c>
      <c r="J617" s="12">
        <v>0.5</v>
      </c>
      <c r="K617" t="s">
        <v>62</v>
      </c>
      <c r="L617" t="s">
        <v>63</v>
      </c>
      <c r="M617" t="s">
        <v>199</v>
      </c>
      <c r="O617" t="s">
        <v>197</v>
      </c>
      <c r="P617">
        <v>24</v>
      </c>
      <c r="Q617" t="s">
        <v>204</v>
      </c>
      <c r="R617" s="6">
        <v>0.49951341503614233</v>
      </c>
      <c r="S617" s="6">
        <v>11.202244480878738</v>
      </c>
      <c r="T617" s="6">
        <v>7.0117221141665027</v>
      </c>
      <c r="U617" s="6">
        <v>62.448322911928379</v>
      </c>
      <c r="V617" s="6">
        <v>0.14212678607489815</v>
      </c>
      <c r="W617" s="6">
        <v>5.0930364442123013</v>
      </c>
      <c r="X617" s="6">
        <v>2.2788609789740035</v>
      </c>
      <c r="Y617" s="6">
        <v>22.529796803810434</v>
      </c>
    </row>
    <row r="618" spans="1:25" x14ac:dyDescent="0.25">
      <c r="A618" t="str">
        <f t="shared" si="9"/>
        <v>RTD Ice TeaFranceDecemberEUR (€)Fully-AutomatedOldCan0.5Medium-scaleHigh</v>
      </c>
      <c r="B618" t="s">
        <v>130</v>
      </c>
      <c r="C618" t="s">
        <v>130</v>
      </c>
      <c r="D618" t="s">
        <v>15</v>
      </c>
      <c r="E618" s="12" t="s">
        <v>182</v>
      </c>
      <c r="F618" t="s">
        <v>187</v>
      </c>
      <c r="G618" t="s">
        <v>12</v>
      </c>
      <c r="H618" t="s">
        <v>72</v>
      </c>
      <c r="I618" t="s">
        <v>125</v>
      </c>
      <c r="J618" s="12">
        <v>0.5</v>
      </c>
      <c r="K618" t="s">
        <v>62</v>
      </c>
      <c r="L618" t="s">
        <v>11</v>
      </c>
      <c r="M618" t="s">
        <v>199</v>
      </c>
      <c r="O618" t="s">
        <v>197</v>
      </c>
      <c r="P618">
        <v>24</v>
      </c>
      <c r="Q618" t="s">
        <v>204</v>
      </c>
      <c r="R618" s="6">
        <v>0.51930677992041618</v>
      </c>
      <c r="S618" s="6">
        <v>11.646629755994624</v>
      </c>
      <c r="T618" s="6">
        <v>7.2896884632674865</v>
      </c>
      <c r="U618" s="6">
        <v>64.923948534765628</v>
      </c>
      <c r="V618" s="6">
        <v>0.14767271610375265</v>
      </c>
      <c r="W618" s="6">
        <v>5.2907210580714166</v>
      </c>
      <c r="X618" s="6">
        <v>2.3670039774047682</v>
      </c>
      <c r="Y618" s="6">
        <v>23.401698654924992</v>
      </c>
    </row>
    <row r="619" spans="1:25" x14ac:dyDescent="0.25">
      <c r="A619" t="str">
        <f t="shared" si="9"/>
        <v>RTD Ice TeaFranceDecemberEUR (€)Fully-AutomatedOldCan0.5Small-scaleLow</v>
      </c>
      <c r="B619" t="s">
        <v>130</v>
      </c>
      <c r="C619" t="s">
        <v>130</v>
      </c>
      <c r="D619" t="s">
        <v>15</v>
      </c>
      <c r="E619" s="12" t="s">
        <v>182</v>
      </c>
      <c r="F619" t="s">
        <v>187</v>
      </c>
      <c r="G619" t="s">
        <v>12</v>
      </c>
      <c r="H619" t="s">
        <v>72</v>
      </c>
      <c r="I619" t="s">
        <v>125</v>
      </c>
      <c r="J619" s="12">
        <v>0.5</v>
      </c>
      <c r="K619" t="s">
        <v>60</v>
      </c>
      <c r="L619" t="s">
        <v>13</v>
      </c>
      <c r="M619" t="s">
        <v>199</v>
      </c>
      <c r="O619" t="s">
        <v>197</v>
      </c>
      <c r="P619">
        <v>24</v>
      </c>
      <c r="Q619" t="s">
        <v>204</v>
      </c>
      <c r="R619" s="6">
        <v>0.48274598963824539</v>
      </c>
      <c r="S619" s="6">
        <v>10.821647501209734</v>
      </c>
      <c r="T619" s="6">
        <v>6.7752003272128798</v>
      </c>
      <c r="U619" s="6">
        <v>60.341971078522313</v>
      </c>
      <c r="V619" s="6">
        <v>0.13803754109868605</v>
      </c>
      <c r="W619" s="6">
        <v>4.9533945095931022</v>
      </c>
      <c r="X619" s="6">
        <v>2.2173233630594109</v>
      </c>
      <c r="Y619" s="6">
        <v>21.91987389130589</v>
      </c>
    </row>
    <row r="620" spans="1:25" x14ac:dyDescent="0.25">
      <c r="A620" t="str">
        <f t="shared" si="9"/>
        <v>RTD Ice TeaFranceDecemberEUR (€)Fully-AutomatedOldCan0.5Small-scaleMedium</v>
      </c>
      <c r="B620" t="s">
        <v>130</v>
      </c>
      <c r="C620" t="s">
        <v>130</v>
      </c>
      <c r="D620" t="s">
        <v>15</v>
      </c>
      <c r="E620" s="12" t="s">
        <v>182</v>
      </c>
      <c r="F620" t="s">
        <v>187</v>
      </c>
      <c r="G620" t="s">
        <v>12</v>
      </c>
      <c r="H620" t="s">
        <v>72</v>
      </c>
      <c r="I620" t="s">
        <v>125</v>
      </c>
      <c r="J620" s="12">
        <v>0.5</v>
      </c>
      <c r="K620" t="s">
        <v>60</v>
      </c>
      <c r="L620" t="s">
        <v>63</v>
      </c>
      <c r="M620" t="s">
        <v>199</v>
      </c>
      <c r="O620" t="s">
        <v>197</v>
      </c>
      <c r="P620">
        <v>24</v>
      </c>
      <c r="Q620" t="s">
        <v>204</v>
      </c>
      <c r="R620" s="6">
        <v>0.50107317934590667</v>
      </c>
      <c r="S620" s="6">
        <v>11.233115348539258</v>
      </c>
      <c r="T620" s="6">
        <v>7.0325765763804586</v>
      </c>
      <c r="U620" s="6">
        <v>62.634217025593884</v>
      </c>
      <c r="V620" s="6">
        <v>0.1431726614957736</v>
      </c>
      <c r="W620" s="6">
        <v>5.1364358187219139</v>
      </c>
      <c r="X620" s="6">
        <v>2.2989372504953041</v>
      </c>
      <c r="Y620" s="6">
        <v>22.727190420115672</v>
      </c>
    </row>
    <row r="621" spans="1:25" x14ac:dyDescent="0.25">
      <c r="A621" t="str">
        <f t="shared" si="9"/>
        <v>RTD Ice TeaFranceDecemberEUR (€)Fully-AutomatedOldCan0.5Small-scaleHigh</v>
      </c>
      <c r="B621" t="s">
        <v>130</v>
      </c>
      <c r="C621" t="s">
        <v>130</v>
      </c>
      <c r="D621" t="s">
        <v>15</v>
      </c>
      <c r="E621" s="12" t="s">
        <v>182</v>
      </c>
      <c r="F621" t="s">
        <v>187</v>
      </c>
      <c r="G621" t="s">
        <v>12</v>
      </c>
      <c r="H621" t="s">
        <v>72</v>
      </c>
      <c r="I621" t="s">
        <v>125</v>
      </c>
      <c r="J621" s="12">
        <v>0.5</v>
      </c>
      <c r="K621" t="s">
        <v>60</v>
      </c>
      <c r="L621" t="s">
        <v>11</v>
      </c>
      <c r="M621" t="s">
        <v>199</v>
      </c>
      <c r="O621" t="s">
        <v>197</v>
      </c>
      <c r="P621">
        <v>24</v>
      </c>
      <c r="Q621" t="s">
        <v>204</v>
      </c>
      <c r="R621" s="6">
        <v>0.52086654423018053</v>
      </c>
      <c r="S621" s="6">
        <v>11.677500623655146</v>
      </c>
      <c r="T621" s="6">
        <v>7.3105429254814434</v>
      </c>
      <c r="U621" s="6">
        <v>65.10984264843114</v>
      </c>
      <c r="V621" s="6">
        <v>0.14871859152462805</v>
      </c>
      <c r="W621" s="6">
        <v>5.3341204325810292</v>
      </c>
      <c r="X621" s="6">
        <v>2.3870802489260692</v>
      </c>
      <c r="Y621" s="6">
        <v>23.599092271230237</v>
      </c>
    </row>
    <row r="622" spans="1:25" x14ac:dyDescent="0.25">
      <c r="A622" t="str">
        <f t="shared" si="9"/>
        <v>RTD Ice TeaFranceDecemberEUR (€)Fully-AutomatedOldCan0.5High-scaleLow</v>
      </c>
      <c r="B622" t="s">
        <v>130</v>
      </c>
      <c r="C622" t="s">
        <v>130</v>
      </c>
      <c r="D622" t="s">
        <v>15</v>
      </c>
      <c r="E622" s="12" t="s">
        <v>182</v>
      </c>
      <c r="F622" t="s">
        <v>187</v>
      </c>
      <c r="G622" t="s">
        <v>12</v>
      </c>
      <c r="H622" t="s">
        <v>72</v>
      </c>
      <c r="I622" t="s">
        <v>125</v>
      </c>
      <c r="J622" s="12">
        <v>0.5</v>
      </c>
      <c r="K622" t="s">
        <v>107</v>
      </c>
      <c r="L622" t="s">
        <v>13</v>
      </c>
      <c r="M622" t="s">
        <v>200</v>
      </c>
      <c r="O622" t="s">
        <v>197</v>
      </c>
      <c r="P622">
        <v>24</v>
      </c>
      <c r="Q622" t="s">
        <v>204</v>
      </c>
      <c r="R622" s="6">
        <v>0.48025036674262261</v>
      </c>
      <c r="S622" s="6">
        <v>10.772254112952902</v>
      </c>
      <c r="T622" s="6">
        <v>6.7418331876705491</v>
      </c>
      <c r="U622" s="6">
        <v>60.044540496657511</v>
      </c>
      <c r="V622" s="6">
        <v>0.13636414042528536</v>
      </c>
      <c r="W622" s="6">
        <v>4.8839555103777244</v>
      </c>
      <c r="X622" s="6">
        <v>2.1852013286253289</v>
      </c>
      <c r="Y622" s="6">
        <v>21.604044105217504</v>
      </c>
    </row>
    <row r="623" spans="1:25" x14ac:dyDescent="0.25">
      <c r="A623" t="str">
        <f t="shared" si="9"/>
        <v>RTD Ice TeaFranceDecemberEUR (€)Fully-AutomatedOldCan0.5High-scaleMedium</v>
      </c>
      <c r="B623" t="s">
        <v>130</v>
      </c>
      <c r="C623" t="s">
        <v>130</v>
      </c>
      <c r="D623" t="s">
        <v>15</v>
      </c>
      <c r="E623" s="12" t="s">
        <v>182</v>
      </c>
      <c r="F623" t="s">
        <v>187</v>
      </c>
      <c r="G623" t="s">
        <v>12</v>
      </c>
      <c r="H623" t="s">
        <v>72</v>
      </c>
      <c r="I623" t="s">
        <v>125</v>
      </c>
      <c r="J623" s="12">
        <v>0.5</v>
      </c>
      <c r="K623" t="s">
        <v>107</v>
      </c>
      <c r="L623" t="s">
        <v>63</v>
      </c>
      <c r="M623" t="s">
        <v>200</v>
      </c>
      <c r="O623" t="s">
        <v>197</v>
      </c>
      <c r="P623">
        <v>24</v>
      </c>
      <c r="Q623" t="s">
        <v>204</v>
      </c>
      <c r="R623" s="6">
        <v>0.49857755645028368</v>
      </c>
      <c r="S623" s="6">
        <v>11.183721960282426</v>
      </c>
      <c r="T623" s="6">
        <v>6.9992094368381288</v>
      </c>
      <c r="U623" s="6">
        <v>62.336786443729054</v>
      </c>
      <c r="V623" s="6">
        <v>0.14149926082237291</v>
      </c>
      <c r="W623" s="6">
        <v>5.0669968195065351</v>
      </c>
      <c r="X623" s="6">
        <v>2.2668152160612229</v>
      </c>
      <c r="Y623" s="6">
        <v>22.411360634027282</v>
      </c>
    </row>
    <row r="624" spans="1:25" x14ac:dyDescent="0.25">
      <c r="A624" t="str">
        <f t="shared" si="9"/>
        <v>RTD Ice TeaFranceDecemberEUR (€)Fully-AutomatedOldCan0.5High-scaleHigh</v>
      </c>
      <c r="B624" t="s">
        <v>130</v>
      </c>
      <c r="C624" t="s">
        <v>130</v>
      </c>
      <c r="D624" t="s">
        <v>15</v>
      </c>
      <c r="E624" s="12" t="s">
        <v>182</v>
      </c>
      <c r="F624" t="s">
        <v>187</v>
      </c>
      <c r="G624" t="s">
        <v>12</v>
      </c>
      <c r="H624" t="s">
        <v>72</v>
      </c>
      <c r="I624" t="s">
        <v>125</v>
      </c>
      <c r="J624" s="12">
        <v>0.5</v>
      </c>
      <c r="K624" t="s">
        <v>107</v>
      </c>
      <c r="L624" t="s">
        <v>11</v>
      </c>
      <c r="M624" t="s">
        <v>200</v>
      </c>
      <c r="O624" t="s">
        <v>197</v>
      </c>
      <c r="P624">
        <v>24</v>
      </c>
      <c r="Q624" t="s">
        <v>204</v>
      </c>
      <c r="R624" s="6">
        <v>0.51837092133455764</v>
      </c>
      <c r="S624" s="6">
        <v>11.628107235398311</v>
      </c>
      <c r="T624" s="6">
        <v>7.2771757859391144</v>
      </c>
      <c r="U624" s="6">
        <v>64.812412066566324</v>
      </c>
      <c r="V624" s="6">
        <v>0.14704519085122741</v>
      </c>
      <c r="W624" s="6">
        <v>5.2646814333656495</v>
      </c>
      <c r="X624" s="6">
        <v>2.3549582144919876</v>
      </c>
      <c r="Y624" s="6">
        <v>23.283262485141851</v>
      </c>
    </row>
    <row r="625" spans="1:25" x14ac:dyDescent="0.25">
      <c r="A625" t="str">
        <f t="shared" si="9"/>
        <v>RTD Ice TeaFranceDecemberEUR (€)Fully-AutomatedOldCan0.5Medium-scaleLow</v>
      </c>
      <c r="B625" t="s">
        <v>130</v>
      </c>
      <c r="C625" t="s">
        <v>130</v>
      </c>
      <c r="D625" t="s">
        <v>15</v>
      </c>
      <c r="E625" s="12" t="s">
        <v>182</v>
      </c>
      <c r="F625" t="s">
        <v>187</v>
      </c>
      <c r="G625" t="s">
        <v>12</v>
      </c>
      <c r="H625" t="s">
        <v>72</v>
      </c>
      <c r="I625" t="s">
        <v>125</v>
      </c>
      <c r="J625" s="12">
        <v>0.5</v>
      </c>
      <c r="K625" t="s">
        <v>62</v>
      </c>
      <c r="L625" t="s">
        <v>13</v>
      </c>
      <c r="M625" t="s">
        <v>200</v>
      </c>
      <c r="O625" t="s">
        <v>197</v>
      </c>
      <c r="P625">
        <v>24</v>
      </c>
      <c r="Q625" t="s">
        <v>204</v>
      </c>
      <c r="R625" s="6">
        <v>0.48118622532848115</v>
      </c>
      <c r="S625" s="6">
        <v>10.790776633549212</v>
      </c>
      <c r="T625" s="6">
        <v>6.754345864998923</v>
      </c>
      <c r="U625" s="6">
        <v>60.156076964856823</v>
      </c>
      <c r="V625" s="6">
        <v>0.13699166567781063</v>
      </c>
      <c r="W625" s="6">
        <v>4.9099951350834905</v>
      </c>
      <c r="X625" s="6">
        <v>2.1972470915381099</v>
      </c>
      <c r="Y625" s="6">
        <v>21.722480275000642</v>
      </c>
    </row>
    <row r="626" spans="1:25" x14ac:dyDescent="0.25">
      <c r="A626" t="str">
        <f t="shared" si="9"/>
        <v>RTD Ice TeaFranceDecemberEUR (€)Fully-AutomatedOldCan0.5Medium-scaleMedium</v>
      </c>
      <c r="B626" t="s">
        <v>130</v>
      </c>
      <c r="C626" t="s">
        <v>130</v>
      </c>
      <c r="D626" t="s">
        <v>15</v>
      </c>
      <c r="E626" s="12" t="s">
        <v>182</v>
      </c>
      <c r="F626" t="s">
        <v>187</v>
      </c>
      <c r="G626" t="s">
        <v>12</v>
      </c>
      <c r="H626" t="s">
        <v>72</v>
      </c>
      <c r="I626" t="s">
        <v>125</v>
      </c>
      <c r="J626" s="12">
        <v>0.5</v>
      </c>
      <c r="K626" t="s">
        <v>62</v>
      </c>
      <c r="L626" t="s">
        <v>63</v>
      </c>
      <c r="M626" t="s">
        <v>200</v>
      </c>
      <c r="O626" t="s">
        <v>197</v>
      </c>
      <c r="P626">
        <v>24</v>
      </c>
      <c r="Q626" t="s">
        <v>204</v>
      </c>
      <c r="R626" s="6">
        <v>0.49951341503614233</v>
      </c>
      <c r="S626" s="6">
        <v>11.202244480878738</v>
      </c>
      <c r="T626" s="6">
        <v>7.0117221141665027</v>
      </c>
      <c r="U626" s="6">
        <v>62.448322911928379</v>
      </c>
      <c r="V626" s="6">
        <v>0.14212678607489815</v>
      </c>
      <c r="W626" s="6">
        <v>5.0930364442123013</v>
      </c>
      <c r="X626" s="6">
        <v>2.2788609789740035</v>
      </c>
      <c r="Y626" s="6">
        <v>22.529796803810434</v>
      </c>
    </row>
    <row r="627" spans="1:25" x14ac:dyDescent="0.25">
      <c r="A627" t="str">
        <f t="shared" si="9"/>
        <v>RTD Ice TeaFranceDecemberEUR (€)Fully-AutomatedOldCan0.5Medium-scaleHigh</v>
      </c>
      <c r="B627" t="s">
        <v>130</v>
      </c>
      <c r="C627" t="s">
        <v>130</v>
      </c>
      <c r="D627" t="s">
        <v>15</v>
      </c>
      <c r="E627" s="12" t="s">
        <v>182</v>
      </c>
      <c r="F627" t="s">
        <v>187</v>
      </c>
      <c r="G627" t="s">
        <v>12</v>
      </c>
      <c r="H627" t="s">
        <v>72</v>
      </c>
      <c r="I627" t="s">
        <v>125</v>
      </c>
      <c r="J627" s="12">
        <v>0.5</v>
      </c>
      <c r="K627" t="s">
        <v>62</v>
      </c>
      <c r="L627" t="s">
        <v>11</v>
      </c>
      <c r="M627" t="s">
        <v>200</v>
      </c>
      <c r="O627" t="s">
        <v>197</v>
      </c>
      <c r="P627">
        <v>24</v>
      </c>
      <c r="Q627" t="s">
        <v>204</v>
      </c>
      <c r="R627" s="6">
        <v>0.51930677992041618</v>
      </c>
      <c r="S627" s="6">
        <v>11.646629755994624</v>
      </c>
      <c r="T627" s="6">
        <v>7.2896884632674865</v>
      </c>
      <c r="U627" s="6">
        <v>64.923948534765628</v>
      </c>
      <c r="V627" s="6">
        <v>0.14767271610375265</v>
      </c>
      <c r="W627" s="6">
        <v>5.2907210580714166</v>
      </c>
      <c r="X627" s="6">
        <v>2.3670039774047682</v>
      </c>
      <c r="Y627" s="6">
        <v>23.401698654924992</v>
      </c>
    </row>
    <row r="628" spans="1:25" x14ac:dyDescent="0.25">
      <c r="A628" t="str">
        <f t="shared" si="9"/>
        <v>RTD Ice TeaFranceDecemberEUR (€)Fully-AutomatedOldCan0.5Small-scaleLow</v>
      </c>
      <c r="B628" t="s">
        <v>130</v>
      </c>
      <c r="C628" t="s">
        <v>130</v>
      </c>
      <c r="D628" t="s">
        <v>15</v>
      </c>
      <c r="E628" s="12" t="s">
        <v>182</v>
      </c>
      <c r="F628" t="s">
        <v>187</v>
      </c>
      <c r="G628" t="s">
        <v>12</v>
      </c>
      <c r="H628" t="s">
        <v>72</v>
      </c>
      <c r="I628" t="s">
        <v>125</v>
      </c>
      <c r="J628" s="12">
        <v>0.5</v>
      </c>
      <c r="K628" t="s">
        <v>60</v>
      </c>
      <c r="L628" t="s">
        <v>13</v>
      </c>
      <c r="M628" t="s">
        <v>200</v>
      </c>
      <c r="O628" t="s">
        <v>197</v>
      </c>
      <c r="P628">
        <v>24</v>
      </c>
      <c r="Q628" t="s">
        <v>204</v>
      </c>
      <c r="R628" s="6">
        <v>0.48274598963824539</v>
      </c>
      <c r="S628" s="6">
        <v>10.821647501209734</v>
      </c>
      <c r="T628" s="6">
        <v>6.7752003272128798</v>
      </c>
      <c r="U628" s="6">
        <v>60.341971078522313</v>
      </c>
      <c r="V628" s="6">
        <v>0.13803754109868605</v>
      </c>
      <c r="W628" s="6">
        <v>4.9533945095931022</v>
      </c>
      <c r="X628" s="6">
        <v>2.2173233630594109</v>
      </c>
      <c r="Y628" s="6">
        <v>21.91987389130589</v>
      </c>
    </row>
    <row r="629" spans="1:25" x14ac:dyDescent="0.25">
      <c r="A629" t="str">
        <f t="shared" si="9"/>
        <v>RTD Ice TeaFranceDecemberEUR (€)Fully-AutomatedOldCan0.5Small-scaleMedium</v>
      </c>
      <c r="B629" t="s">
        <v>130</v>
      </c>
      <c r="C629" t="s">
        <v>130</v>
      </c>
      <c r="D629" t="s">
        <v>15</v>
      </c>
      <c r="E629" s="12" t="s">
        <v>182</v>
      </c>
      <c r="F629" t="s">
        <v>187</v>
      </c>
      <c r="G629" t="s">
        <v>12</v>
      </c>
      <c r="H629" t="s">
        <v>72</v>
      </c>
      <c r="I629" t="s">
        <v>125</v>
      </c>
      <c r="J629" s="12">
        <v>0.5</v>
      </c>
      <c r="K629" t="s">
        <v>60</v>
      </c>
      <c r="L629" t="s">
        <v>63</v>
      </c>
      <c r="M629" t="s">
        <v>200</v>
      </c>
      <c r="O629" t="s">
        <v>197</v>
      </c>
      <c r="P629">
        <v>24</v>
      </c>
      <c r="Q629" t="s">
        <v>204</v>
      </c>
      <c r="R629" s="6">
        <v>0.50107317934590667</v>
      </c>
      <c r="S629" s="6">
        <v>11.233115348539258</v>
      </c>
      <c r="T629" s="6">
        <v>7.0325765763804586</v>
      </c>
      <c r="U629" s="6">
        <v>62.634217025593884</v>
      </c>
      <c r="V629" s="6">
        <v>0.1431726614957736</v>
      </c>
      <c r="W629" s="6">
        <v>5.1364358187219139</v>
      </c>
      <c r="X629" s="6">
        <v>2.2989372504953041</v>
      </c>
      <c r="Y629" s="6">
        <v>22.727190420115672</v>
      </c>
    </row>
    <row r="630" spans="1:25" x14ac:dyDescent="0.25">
      <c r="A630" t="str">
        <f t="shared" si="9"/>
        <v>RTD Ice TeaFranceDecemberEUR (€)Fully-AutomatedOldCan0.5Small-scaleHigh</v>
      </c>
      <c r="B630" t="s">
        <v>130</v>
      </c>
      <c r="C630" t="s">
        <v>130</v>
      </c>
      <c r="D630" t="s">
        <v>15</v>
      </c>
      <c r="E630" s="12" t="s">
        <v>182</v>
      </c>
      <c r="F630" t="s">
        <v>187</v>
      </c>
      <c r="G630" t="s">
        <v>12</v>
      </c>
      <c r="H630" t="s">
        <v>72</v>
      </c>
      <c r="I630" t="s">
        <v>125</v>
      </c>
      <c r="J630" s="12">
        <v>0.5</v>
      </c>
      <c r="K630" t="s">
        <v>60</v>
      </c>
      <c r="L630" t="s">
        <v>11</v>
      </c>
      <c r="M630" t="s">
        <v>200</v>
      </c>
      <c r="O630" t="s">
        <v>197</v>
      </c>
      <c r="P630">
        <v>24</v>
      </c>
      <c r="Q630" t="s">
        <v>204</v>
      </c>
      <c r="R630" s="6">
        <v>0.52086654423018053</v>
      </c>
      <c r="S630" s="6">
        <v>11.677500623655146</v>
      </c>
      <c r="T630" s="6">
        <v>7.3105429254814434</v>
      </c>
      <c r="U630" s="6">
        <v>65.10984264843114</v>
      </c>
      <c r="V630" s="6">
        <v>0.14871859152462805</v>
      </c>
      <c r="W630" s="6">
        <v>5.3341204325810292</v>
      </c>
      <c r="X630" s="6">
        <v>2.3870802489260692</v>
      </c>
      <c r="Y630" s="6">
        <v>23.599092271230237</v>
      </c>
    </row>
    <row r="631" spans="1:25" x14ac:dyDescent="0.25">
      <c r="A631" t="str">
        <f t="shared" si="9"/>
        <v>RTD Ice TeaFranceDecemberEUR (€)Fully-AutomatedOldCan1High-scaleLow</v>
      </c>
      <c r="B631" t="s">
        <v>130</v>
      </c>
      <c r="C631" t="s">
        <v>130</v>
      </c>
      <c r="D631" t="s">
        <v>15</v>
      </c>
      <c r="E631" s="12" t="s">
        <v>182</v>
      </c>
      <c r="F631" t="s">
        <v>187</v>
      </c>
      <c r="G631" t="s">
        <v>12</v>
      </c>
      <c r="H631" t="s">
        <v>72</v>
      </c>
      <c r="I631" t="s">
        <v>125</v>
      </c>
      <c r="J631" s="12">
        <v>1</v>
      </c>
      <c r="K631" t="s">
        <v>107</v>
      </c>
      <c r="L631" t="s">
        <v>13</v>
      </c>
      <c r="M631" t="s">
        <v>199</v>
      </c>
      <c r="O631" t="s">
        <v>197</v>
      </c>
      <c r="P631">
        <v>4</v>
      </c>
      <c r="Q631" t="s">
        <v>198</v>
      </c>
      <c r="R631" s="6">
        <v>0.48025036674262261</v>
      </c>
      <c r="S631" s="6">
        <v>10.772254112952902</v>
      </c>
      <c r="T631" s="6">
        <v>6.7418331876705491</v>
      </c>
      <c r="U631" s="6">
        <v>60.044540496657511</v>
      </c>
      <c r="V631" s="6">
        <v>0.11925675892093598</v>
      </c>
      <c r="W631" s="6">
        <v>3.863156210382706</v>
      </c>
      <c r="X631" s="6">
        <v>1.8506832502877169</v>
      </c>
      <c r="Y631" s="6">
        <v>18.121726932021957</v>
      </c>
    </row>
    <row r="632" spans="1:25" x14ac:dyDescent="0.25">
      <c r="A632" t="str">
        <f t="shared" si="9"/>
        <v>RTD Ice TeaFranceDecemberEUR (€)Fully-AutomatedOldCan1High-scaleMedium</v>
      </c>
      <c r="B632" t="s">
        <v>130</v>
      </c>
      <c r="C632" t="s">
        <v>130</v>
      </c>
      <c r="D632" t="s">
        <v>15</v>
      </c>
      <c r="E632" s="12" t="s">
        <v>182</v>
      </c>
      <c r="F632" t="s">
        <v>187</v>
      </c>
      <c r="G632" t="s">
        <v>12</v>
      </c>
      <c r="H632" t="s">
        <v>72</v>
      </c>
      <c r="I632" t="s">
        <v>125</v>
      </c>
      <c r="J632" s="12">
        <v>1</v>
      </c>
      <c r="K632" t="s">
        <v>107</v>
      </c>
      <c r="L632" t="s">
        <v>63</v>
      </c>
      <c r="M632" t="s">
        <v>199</v>
      </c>
      <c r="O632" t="s">
        <v>197</v>
      </c>
      <c r="P632">
        <v>4</v>
      </c>
      <c r="Q632" t="s">
        <v>198</v>
      </c>
      <c r="R632" s="6">
        <v>0.49857755645028368</v>
      </c>
      <c r="S632" s="6">
        <v>11.183721960282426</v>
      </c>
      <c r="T632" s="6">
        <v>6.9992094368381288</v>
      </c>
      <c r="U632" s="6">
        <v>62.336786443729054</v>
      </c>
      <c r="V632" s="6">
        <v>0.1237008805732952</v>
      </c>
      <c r="W632" s="6">
        <v>4.0060547874493615</v>
      </c>
      <c r="X632" s="6">
        <v>1.91896775921398</v>
      </c>
      <c r="Y632" s="6">
        <v>18.790625368402218</v>
      </c>
    </row>
    <row r="633" spans="1:25" x14ac:dyDescent="0.25">
      <c r="A633" t="str">
        <f t="shared" si="9"/>
        <v>RTD Ice TeaFranceDecemberEUR (€)Fully-AutomatedOldCan1High-scaleHigh</v>
      </c>
      <c r="B633" t="s">
        <v>130</v>
      </c>
      <c r="C633" t="s">
        <v>130</v>
      </c>
      <c r="D633" t="s">
        <v>15</v>
      </c>
      <c r="E633" s="12" t="s">
        <v>182</v>
      </c>
      <c r="F633" t="s">
        <v>187</v>
      </c>
      <c r="G633" t="s">
        <v>12</v>
      </c>
      <c r="H633" t="s">
        <v>72</v>
      </c>
      <c r="I633" t="s">
        <v>125</v>
      </c>
      <c r="J633" s="12">
        <v>1</v>
      </c>
      <c r="K633" t="s">
        <v>107</v>
      </c>
      <c r="L633" t="s">
        <v>11</v>
      </c>
      <c r="M633" t="s">
        <v>199</v>
      </c>
      <c r="O633" t="s">
        <v>197</v>
      </c>
      <c r="P633">
        <v>4</v>
      </c>
      <c r="Q633" t="s">
        <v>198</v>
      </c>
      <c r="R633" s="6">
        <v>0.51837092133455764</v>
      </c>
      <c r="S633" s="6">
        <v>11.628107235398311</v>
      </c>
      <c r="T633" s="6">
        <v>7.2771757859391144</v>
      </c>
      <c r="U633" s="6">
        <v>64.812412066566324</v>
      </c>
      <c r="V633" s="6">
        <v>0.12850053195784317</v>
      </c>
      <c r="W633" s="6">
        <v>4.1603852506813492</v>
      </c>
      <c r="X633" s="6">
        <v>1.9927150288543438</v>
      </c>
      <c r="Y633" s="6">
        <v>19.513035679692898</v>
      </c>
    </row>
    <row r="634" spans="1:25" x14ac:dyDescent="0.25">
      <c r="A634" t="str">
        <f t="shared" si="9"/>
        <v>RTD Ice TeaFranceDecemberEUR (€)Fully-AutomatedOldCan1Medium-scaleLow</v>
      </c>
      <c r="B634" t="s">
        <v>130</v>
      </c>
      <c r="C634" t="s">
        <v>130</v>
      </c>
      <c r="D634" t="s">
        <v>15</v>
      </c>
      <c r="E634" s="12" t="s">
        <v>182</v>
      </c>
      <c r="F634" t="s">
        <v>187</v>
      </c>
      <c r="G634" t="s">
        <v>12</v>
      </c>
      <c r="H634" t="s">
        <v>72</v>
      </c>
      <c r="I634" t="s">
        <v>125</v>
      </c>
      <c r="J634" s="12">
        <v>1</v>
      </c>
      <c r="K634" t="s">
        <v>62</v>
      </c>
      <c r="L634" t="s">
        <v>13</v>
      </c>
      <c r="M634" t="s">
        <v>199</v>
      </c>
      <c r="O634" t="s">
        <v>197</v>
      </c>
      <c r="P634">
        <v>4</v>
      </c>
      <c r="Q634" t="s">
        <v>198</v>
      </c>
      <c r="R634" s="6">
        <v>0.48118622532848115</v>
      </c>
      <c r="S634" s="6">
        <v>10.790776633549212</v>
      </c>
      <c r="T634" s="6">
        <v>6.754345864998923</v>
      </c>
      <c r="U634" s="6">
        <v>60.156076964856823</v>
      </c>
      <c r="V634" s="6">
        <v>0.12009893063810768</v>
      </c>
      <c r="W634" s="6">
        <v>3.8949237684937299</v>
      </c>
      <c r="X634" s="6">
        <v>1.8657404539286926</v>
      </c>
      <c r="Y634" s="6">
        <v>18.269301409298102</v>
      </c>
    </row>
    <row r="635" spans="1:25" x14ac:dyDescent="0.25">
      <c r="A635" t="str">
        <f t="shared" si="9"/>
        <v>RTD Ice TeaFranceDecemberEUR (€)Fully-AutomatedOldCan1Medium-scaleMedium</v>
      </c>
      <c r="B635" t="s">
        <v>130</v>
      </c>
      <c r="C635" t="s">
        <v>130</v>
      </c>
      <c r="D635" t="s">
        <v>15</v>
      </c>
      <c r="E635" s="12" t="s">
        <v>182</v>
      </c>
      <c r="F635" t="s">
        <v>187</v>
      </c>
      <c r="G635" t="s">
        <v>12</v>
      </c>
      <c r="H635" t="s">
        <v>72</v>
      </c>
      <c r="I635" t="s">
        <v>125</v>
      </c>
      <c r="J635" s="12">
        <v>1</v>
      </c>
      <c r="K635" t="s">
        <v>62</v>
      </c>
      <c r="L635" t="s">
        <v>63</v>
      </c>
      <c r="M635" t="s">
        <v>199</v>
      </c>
      <c r="O635" t="s">
        <v>197</v>
      </c>
      <c r="P635">
        <v>4</v>
      </c>
      <c r="Q635" t="s">
        <v>198</v>
      </c>
      <c r="R635" s="6">
        <v>0.49951341503614233</v>
      </c>
      <c r="S635" s="6">
        <v>11.202244480878738</v>
      </c>
      <c r="T635" s="6">
        <v>7.0117221141665027</v>
      </c>
      <c r="U635" s="6">
        <v>62.448322911928379</v>
      </c>
      <c r="V635" s="6">
        <v>0.12454305229046693</v>
      </c>
      <c r="W635" s="6">
        <v>4.0378223455603859</v>
      </c>
      <c r="X635" s="6">
        <v>1.9340249628549557</v>
      </c>
      <c r="Y635" s="6">
        <v>18.938199845678369</v>
      </c>
    </row>
    <row r="636" spans="1:25" x14ac:dyDescent="0.25">
      <c r="A636" t="str">
        <f t="shared" si="9"/>
        <v>RTD Ice TeaFranceDecemberEUR (€)Fully-AutomatedOldCan1Medium-scaleHigh</v>
      </c>
      <c r="B636" t="s">
        <v>130</v>
      </c>
      <c r="C636" t="s">
        <v>130</v>
      </c>
      <c r="D636" t="s">
        <v>15</v>
      </c>
      <c r="E636" s="12" t="s">
        <v>182</v>
      </c>
      <c r="F636" t="s">
        <v>187</v>
      </c>
      <c r="G636" t="s">
        <v>12</v>
      </c>
      <c r="H636" t="s">
        <v>72</v>
      </c>
      <c r="I636" t="s">
        <v>125</v>
      </c>
      <c r="J636" s="12">
        <v>1</v>
      </c>
      <c r="K636" t="s">
        <v>62</v>
      </c>
      <c r="L636" t="s">
        <v>11</v>
      </c>
      <c r="M636" t="s">
        <v>199</v>
      </c>
      <c r="O636" t="s">
        <v>197</v>
      </c>
      <c r="P636">
        <v>4</v>
      </c>
      <c r="Q636" t="s">
        <v>198</v>
      </c>
      <c r="R636" s="6">
        <v>0.51930677992041618</v>
      </c>
      <c r="S636" s="6">
        <v>11.646629755994624</v>
      </c>
      <c r="T636" s="6">
        <v>7.2896884632674865</v>
      </c>
      <c r="U636" s="6">
        <v>64.923948534765628</v>
      </c>
      <c r="V636" s="6">
        <v>0.12934270367501488</v>
      </c>
      <c r="W636" s="6">
        <v>4.1921528087923727</v>
      </c>
      <c r="X636" s="6">
        <v>2.0077722324953196</v>
      </c>
      <c r="Y636" s="6">
        <v>19.660610156969046</v>
      </c>
    </row>
    <row r="637" spans="1:25" x14ac:dyDescent="0.25">
      <c r="A637" t="str">
        <f t="shared" si="9"/>
        <v>RTD Ice TeaFranceDecemberEUR (€)Fully-AutomatedOldCan1Small-scaleLow</v>
      </c>
      <c r="B637" t="s">
        <v>130</v>
      </c>
      <c r="C637" t="s">
        <v>130</v>
      </c>
      <c r="D637" t="s">
        <v>15</v>
      </c>
      <c r="E637" s="12" t="s">
        <v>182</v>
      </c>
      <c r="F637" t="s">
        <v>187</v>
      </c>
      <c r="G637" t="s">
        <v>12</v>
      </c>
      <c r="H637" t="s">
        <v>72</v>
      </c>
      <c r="I637" t="s">
        <v>125</v>
      </c>
      <c r="J637" s="12">
        <v>1</v>
      </c>
      <c r="K637" t="s">
        <v>60</v>
      </c>
      <c r="L637" t="s">
        <v>13</v>
      </c>
      <c r="M637" t="s">
        <v>199</v>
      </c>
      <c r="O637" t="s">
        <v>197</v>
      </c>
      <c r="P637">
        <v>4</v>
      </c>
      <c r="Q637" t="s">
        <v>198</v>
      </c>
      <c r="R637" s="6">
        <v>0.48274598963824539</v>
      </c>
      <c r="S637" s="6">
        <v>10.821647501209734</v>
      </c>
      <c r="T637" s="6">
        <v>6.7752003272128798</v>
      </c>
      <c r="U637" s="6">
        <v>60.341971078522313</v>
      </c>
      <c r="V637" s="6">
        <v>0.12150255016672722</v>
      </c>
      <c r="W637" s="6">
        <v>3.9478696986787702</v>
      </c>
      <c r="X637" s="6">
        <v>1.890835793330319</v>
      </c>
      <c r="Y637" s="6">
        <v>18.515258871425011</v>
      </c>
    </row>
    <row r="638" spans="1:25" x14ac:dyDescent="0.25">
      <c r="A638" t="str">
        <f t="shared" si="9"/>
        <v>RTD Ice TeaFranceDecemberEUR (€)Fully-AutomatedOldCan1Small-scaleMedium</v>
      </c>
      <c r="B638" t="s">
        <v>130</v>
      </c>
      <c r="C638" t="s">
        <v>130</v>
      </c>
      <c r="D638" t="s">
        <v>15</v>
      </c>
      <c r="E638" s="12" t="s">
        <v>182</v>
      </c>
      <c r="F638" t="s">
        <v>187</v>
      </c>
      <c r="G638" t="s">
        <v>12</v>
      </c>
      <c r="H638" t="s">
        <v>72</v>
      </c>
      <c r="I638" t="s">
        <v>125</v>
      </c>
      <c r="J638" s="12">
        <v>1</v>
      </c>
      <c r="K638" t="s">
        <v>60</v>
      </c>
      <c r="L638" t="s">
        <v>63</v>
      </c>
      <c r="M638" t="s">
        <v>199</v>
      </c>
      <c r="O638" t="s">
        <v>197</v>
      </c>
      <c r="P638">
        <v>4</v>
      </c>
      <c r="Q638" t="s">
        <v>198</v>
      </c>
      <c r="R638" s="6">
        <v>0.50107317934590667</v>
      </c>
      <c r="S638" s="6">
        <v>11.233115348539258</v>
      </c>
      <c r="T638" s="6">
        <v>7.0325765763804586</v>
      </c>
      <c r="U638" s="6">
        <v>62.634217025593884</v>
      </c>
      <c r="V638" s="6">
        <v>0.12594667181908645</v>
      </c>
      <c r="W638" s="6">
        <v>4.0907682757454253</v>
      </c>
      <c r="X638" s="6">
        <v>1.959120302256582</v>
      </c>
      <c r="Y638" s="6">
        <v>19.184157307805272</v>
      </c>
    </row>
    <row r="639" spans="1:25" x14ac:dyDescent="0.25">
      <c r="A639" t="str">
        <f t="shared" si="9"/>
        <v>RTD Ice TeaFranceDecemberEUR (€)Fully-AutomatedOldCan1Small-scaleHigh</v>
      </c>
      <c r="B639" t="s">
        <v>130</v>
      </c>
      <c r="C639" t="s">
        <v>130</v>
      </c>
      <c r="D639" t="s">
        <v>15</v>
      </c>
      <c r="E639" s="12" t="s">
        <v>182</v>
      </c>
      <c r="F639" t="s">
        <v>187</v>
      </c>
      <c r="G639" t="s">
        <v>12</v>
      </c>
      <c r="H639" t="s">
        <v>72</v>
      </c>
      <c r="I639" t="s">
        <v>125</v>
      </c>
      <c r="J639" s="12">
        <v>1</v>
      </c>
      <c r="K639" t="s">
        <v>60</v>
      </c>
      <c r="L639" t="s">
        <v>11</v>
      </c>
      <c r="M639" t="s">
        <v>199</v>
      </c>
      <c r="O639" t="s">
        <v>197</v>
      </c>
      <c r="P639">
        <v>4</v>
      </c>
      <c r="Q639" t="s">
        <v>198</v>
      </c>
      <c r="R639" s="6">
        <v>0.52086654423018053</v>
      </c>
      <c r="S639" s="6">
        <v>11.677500623655146</v>
      </c>
      <c r="T639" s="6">
        <v>7.3105429254814434</v>
      </c>
      <c r="U639" s="6">
        <v>65.10984264843114</v>
      </c>
      <c r="V639" s="6">
        <v>0.13074632320363441</v>
      </c>
      <c r="W639" s="6">
        <v>4.2450987389774131</v>
      </c>
      <c r="X639" s="6">
        <v>2.0328675718969462</v>
      </c>
      <c r="Y639" s="6">
        <v>19.906567619095959</v>
      </c>
    </row>
    <row r="640" spans="1:25" x14ac:dyDescent="0.25">
      <c r="A640" t="str">
        <f t="shared" si="9"/>
        <v>RTD Ice TeaFranceDecemberEUR (€)Fully-AutomatedOldCan1High-scaleLow</v>
      </c>
      <c r="B640" t="s">
        <v>130</v>
      </c>
      <c r="C640" t="s">
        <v>130</v>
      </c>
      <c r="D640" t="s">
        <v>15</v>
      </c>
      <c r="E640" s="12" t="s">
        <v>182</v>
      </c>
      <c r="F640" t="s">
        <v>187</v>
      </c>
      <c r="G640" t="s">
        <v>12</v>
      </c>
      <c r="H640" t="s">
        <v>72</v>
      </c>
      <c r="I640" t="s">
        <v>125</v>
      </c>
      <c r="J640" s="12">
        <v>1</v>
      </c>
      <c r="K640" t="s">
        <v>107</v>
      </c>
      <c r="L640" t="s">
        <v>13</v>
      </c>
      <c r="M640" t="s">
        <v>200</v>
      </c>
      <c r="O640" t="s">
        <v>197</v>
      </c>
      <c r="P640">
        <v>4</v>
      </c>
      <c r="Q640" t="s">
        <v>198</v>
      </c>
      <c r="R640" s="6">
        <v>0.48025036674262261</v>
      </c>
      <c r="S640" s="6">
        <v>10.772254112952902</v>
      </c>
      <c r="T640" s="6">
        <v>6.7418331876705491</v>
      </c>
      <c r="U640" s="6">
        <v>60.044540496657511</v>
      </c>
      <c r="V640" s="6">
        <v>0.11925675892093598</v>
      </c>
      <c r="W640" s="6">
        <v>3.863156210382706</v>
      </c>
      <c r="X640" s="6">
        <v>1.8506832502877169</v>
      </c>
      <c r="Y640" s="6">
        <v>18.121726932021957</v>
      </c>
    </row>
    <row r="641" spans="1:25" x14ac:dyDescent="0.25">
      <c r="A641" t="str">
        <f t="shared" si="9"/>
        <v>RTD Ice TeaFranceDecemberEUR (€)Fully-AutomatedOldCan1High-scaleMedium</v>
      </c>
      <c r="B641" t="s">
        <v>130</v>
      </c>
      <c r="C641" t="s">
        <v>130</v>
      </c>
      <c r="D641" t="s">
        <v>15</v>
      </c>
      <c r="E641" s="12" t="s">
        <v>182</v>
      </c>
      <c r="F641" t="s">
        <v>187</v>
      </c>
      <c r="G641" t="s">
        <v>12</v>
      </c>
      <c r="H641" t="s">
        <v>72</v>
      </c>
      <c r="I641" t="s">
        <v>125</v>
      </c>
      <c r="J641" s="12">
        <v>1</v>
      </c>
      <c r="K641" t="s">
        <v>107</v>
      </c>
      <c r="L641" t="s">
        <v>63</v>
      </c>
      <c r="M641" t="s">
        <v>200</v>
      </c>
      <c r="O641" t="s">
        <v>197</v>
      </c>
      <c r="P641">
        <v>4</v>
      </c>
      <c r="Q641" t="s">
        <v>198</v>
      </c>
      <c r="R641" s="6">
        <v>0.49857755645028368</v>
      </c>
      <c r="S641" s="6">
        <v>11.183721960282426</v>
      </c>
      <c r="T641" s="6">
        <v>6.9992094368381288</v>
      </c>
      <c r="U641" s="6">
        <v>62.336786443729054</v>
      </c>
      <c r="V641" s="6">
        <v>0.1237008805732952</v>
      </c>
      <c r="W641" s="6">
        <v>4.0060547874493615</v>
      </c>
      <c r="X641" s="6">
        <v>1.91896775921398</v>
      </c>
      <c r="Y641" s="6">
        <v>18.790625368402218</v>
      </c>
    </row>
    <row r="642" spans="1:25" x14ac:dyDescent="0.25">
      <c r="A642" t="str">
        <f t="shared" ref="A642:A705" si="10">C642&amp;D642&amp;E642&amp;F642&amp;G642&amp;H642&amp;I642&amp;J642&amp;K642&amp;L642</f>
        <v>RTD Ice TeaFranceDecemberEUR (€)Fully-AutomatedOldCan1High-scaleHigh</v>
      </c>
      <c r="B642" t="s">
        <v>130</v>
      </c>
      <c r="C642" t="s">
        <v>130</v>
      </c>
      <c r="D642" t="s">
        <v>15</v>
      </c>
      <c r="E642" s="12" t="s">
        <v>182</v>
      </c>
      <c r="F642" t="s">
        <v>187</v>
      </c>
      <c r="G642" t="s">
        <v>12</v>
      </c>
      <c r="H642" t="s">
        <v>72</v>
      </c>
      <c r="I642" t="s">
        <v>125</v>
      </c>
      <c r="J642" s="12">
        <v>1</v>
      </c>
      <c r="K642" t="s">
        <v>107</v>
      </c>
      <c r="L642" t="s">
        <v>11</v>
      </c>
      <c r="M642" t="s">
        <v>200</v>
      </c>
      <c r="O642" t="s">
        <v>197</v>
      </c>
      <c r="P642">
        <v>4</v>
      </c>
      <c r="Q642" t="s">
        <v>198</v>
      </c>
      <c r="R642" s="6">
        <v>0.51837092133455764</v>
      </c>
      <c r="S642" s="6">
        <v>11.628107235398311</v>
      </c>
      <c r="T642" s="6">
        <v>7.2771757859391144</v>
      </c>
      <c r="U642" s="6">
        <v>64.812412066566324</v>
      </c>
      <c r="V642" s="6">
        <v>0.12850053195784317</v>
      </c>
      <c r="W642" s="6">
        <v>4.1603852506813492</v>
      </c>
      <c r="X642" s="6">
        <v>1.9927150288543438</v>
      </c>
      <c r="Y642" s="6">
        <v>19.513035679692898</v>
      </c>
    </row>
    <row r="643" spans="1:25" x14ac:dyDescent="0.25">
      <c r="A643" t="str">
        <f t="shared" si="10"/>
        <v>RTD Ice TeaFranceDecemberEUR (€)Fully-AutomatedOldCan1Medium-scaleLow</v>
      </c>
      <c r="B643" t="s">
        <v>130</v>
      </c>
      <c r="C643" t="s">
        <v>130</v>
      </c>
      <c r="D643" t="s">
        <v>15</v>
      </c>
      <c r="E643" s="12" t="s">
        <v>182</v>
      </c>
      <c r="F643" t="s">
        <v>187</v>
      </c>
      <c r="G643" t="s">
        <v>12</v>
      </c>
      <c r="H643" t="s">
        <v>72</v>
      </c>
      <c r="I643" t="s">
        <v>125</v>
      </c>
      <c r="J643" s="12">
        <v>1</v>
      </c>
      <c r="K643" t="s">
        <v>62</v>
      </c>
      <c r="L643" t="s">
        <v>13</v>
      </c>
      <c r="M643" t="s">
        <v>200</v>
      </c>
      <c r="O643" t="s">
        <v>197</v>
      </c>
      <c r="P643">
        <v>4</v>
      </c>
      <c r="Q643" t="s">
        <v>198</v>
      </c>
      <c r="R643" s="6">
        <v>0.48118622532848115</v>
      </c>
      <c r="S643" s="6">
        <v>10.790776633549212</v>
      </c>
      <c r="T643" s="6">
        <v>6.754345864998923</v>
      </c>
      <c r="U643" s="6">
        <v>60.156076964856823</v>
      </c>
      <c r="V643" s="6">
        <v>0.12009893063810768</v>
      </c>
      <c r="W643" s="6">
        <v>3.8949237684937299</v>
      </c>
      <c r="X643" s="6">
        <v>1.8657404539286926</v>
      </c>
      <c r="Y643" s="6">
        <v>18.269301409298102</v>
      </c>
    </row>
    <row r="644" spans="1:25" x14ac:dyDescent="0.25">
      <c r="A644" t="str">
        <f t="shared" si="10"/>
        <v>RTD Ice TeaFranceDecemberEUR (€)Fully-AutomatedOldCan1Medium-scaleMedium</v>
      </c>
      <c r="B644" t="s">
        <v>130</v>
      </c>
      <c r="C644" t="s">
        <v>130</v>
      </c>
      <c r="D644" t="s">
        <v>15</v>
      </c>
      <c r="E644" s="12" t="s">
        <v>182</v>
      </c>
      <c r="F644" t="s">
        <v>187</v>
      </c>
      <c r="G644" t="s">
        <v>12</v>
      </c>
      <c r="H644" t="s">
        <v>72</v>
      </c>
      <c r="I644" t="s">
        <v>125</v>
      </c>
      <c r="J644" s="12">
        <v>1</v>
      </c>
      <c r="K644" t="s">
        <v>62</v>
      </c>
      <c r="L644" t="s">
        <v>63</v>
      </c>
      <c r="M644" t="s">
        <v>200</v>
      </c>
      <c r="O644" t="s">
        <v>197</v>
      </c>
      <c r="P644">
        <v>4</v>
      </c>
      <c r="Q644" t="s">
        <v>198</v>
      </c>
      <c r="R644" s="6">
        <v>0.49951341503614233</v>
      </c>
      <c r="S644" s="6">
        <v>11.202244480878738</v>
      </c>
      <c r="T644" s="6">
        <v>7.0117221141665027</v>
      </c>
      <c r="U644" s="6">
        <v>62.448322911928379</v>
      </c>
      <c r="V644" s="6">
        <v>0.12454305229046693</v>
      </c>
      <c r="W644" s="6">
        <v>4.0378223455603859</v>
      </c>
      <c r="X644" s="6">
        <v>1.9340249628549557</v>
      </c>
      <c r="Y644" s="6">
        <v>18.938199845678369</v>
      </c>
    </row>
    <row r="645" spans="1:25" x14ac:dyDescent="0.25">
      <c r="A645" t="str">
        <f t="shared" si="10"/>
        <v>RTD Ice TeaFranceDecemberEUR (€)Fully-AutomatedOldCan1Medium-scaleHigh</v>
      </c>
      <c r="B645" t="s">
        <v>130</v>
      </c>
      <c r="C645" t="s">
        <v>130</v>
      </c>
      <c r="D645" t="s">
        <v>15</v>
      </c>
      <c r="E645" s="12" t="s">
        <v>182</v>
      </c>
      <c r="F645" t="s">
        <v>187</v>
      </c>
      <c r="G645" t="s">
        <v>12</v>
      </c>
      <c r="H645" t="s">
        <v>72</v>
      </c>
      <c r="I645" t="s">
        <v>125</v>
      </c>
      <c r="J645" s="12">
        <v>1</v>
      </c>
      <c r="K645" t="s">
        <v>62</v>
      </c>
      <c r="L645" t="s">
        <v>11</v>
      </c>
      <c r="M645" t="s">
        <v>200</v>
      </c>
      <c r="O645" t="s">
        <v>197</v>
      </c>
      <c r="P645">
        <v>4</v>
      </c>
      <c r="Q645" t="s">
        <v>198</v>
      </c>
      <c r="R645" s="6">
        <v>0.51930677992041618</v>
      </c>
      <c r="S645" s="6">
        <v>11.646629755994624</v>
      </c>
      <c r="T645" s="6">
        <v>7.2896884632674865</v>
      </c>
      <c r="U645" s="6">
        <v>64.923948534765628</v>
      </c>
      <c r="V645" s="6">
        <v>0.12934270367501488</v>
      </c>
      <c r="W645" s="6">
        <v>4.1921528087923727</v>
      </c>
      <c r="X645" s="6">
        <v>2.0077722324953196</v>
      </c>
      <c r="Y645" s="6">
        <v>19.660610156969046</v>
      </c>
    </row>
    <row r="646" spans="1:25" x14ac:dyDescent="0.25">
      <c r="A646" t="str">
        <f t="shared" si="10"/>
        <v>RTD Ice TeaFranceDecemberEUR (€)Fully-AutomatedOldCan1Small-scaleLow</v>
      </c>
      <c r="B646" t="s">
        <v>130</v>
      </c>
      <c r="C646" t="s">
        <v>130</v>
      </c>
      <c r="D646" t="s">
        <v>15</v>
      </c>
      <c r="E646" s="12" t="s">
        <v>182</v>
      </c>
      <c r="F646" t="s">
        <v>187</v>
      </c>
      <c r="G646" t="s">
        <v>12</v>
      </c>
      <c r="H646" t="s">
        <v>72</v>
      </c>
      <c r="I646" t="s">
        <v>125</v>
      </c>
      <c r="J646" s="12">
        <v>1</v>
      </c>
      <c r="K646" t="s">
        <v>60</v>
      </c>
      <c r="L646" t="s">
        <v>13</v>
      </c>
      <c r="M646" t="s">
        <v>200</v>
      </c>
      <c r="O646" t="s">
        <v>197</v>
      </c>
      <c r="P646">
        <v>4</v>
      </c>
      <c r="Q646" t="s">
        <v>198</v>
      </c>
      <c r="R646" s="6">
        <v>0.48274598963824539</v>
      </c>
      <c r="S646" s="6">
        <v>10.821647501209734</v>
      </c>
      <c r="T646" s="6">
        <v>6.7752003272128798</v>
      </c>
      <c r="U646" s="6">
        <v>60.341971078522313</v>
      </c>
      <c r="V646" s="6">
        <v>0.12150255016672722</v>
      </c>
      <c r="W646" s="6">
        <v>3.9478696986787702</v>
      </c>
      <c r="X646" s="6">
        <v>1.890835793330319</v>
      </c>
      <c r="Y646" s="6">
        <v>18.515258871425011</v>
      </c>
    </row>
    <row r="647" spans="1:25" x14ac:dyDescent="0.25">
      <c r="A647" t="str">
        <f t="shared" si="10"/>
        <v>RTD Ice TeaFranceDecemberEUR (€)Fully-AutomatedOldCan1Small-scaleMedium</v>
      </c>
      <c r="B647" t="s">
        <v>130</v>
      </c>
      <c r="C647" t="s">
        <v>130</v>
      </c>
      <c r="D647" t="s">
        <v>15</v>
      </c>
      <c r="E647" s="12" t="s">
        <v>182</v>
      </c>
      <c r="F647" t="s">
        <v>187</v>
      </c>
      <c r="G647" t="s">
        <v>12</v>
      </c>
      <c r="H647" t="s">
        <v>72</v>
      </c>
      <c r="I647" t="s">
        <v>125</v>
      </c>
      <c r="J647" s="12">
        <v>1</v>
      </c>
      <c r="K647" t="s">
        <v>60</v>
      </c>
      <c r="L647" t="s">
        <v>63</v>
      </c>
      <c r="M647" t="s">
        <v>200</v>
      </c>
      <c r="O647" t="s">
        <v>197</v>
      </c>
      <c r="P647">
        <v>4</v>
      </c>
      <c r="Q647" t="s">
        <v>198</v>
      </c>
      <c r="R647" s="6">
        <v>0.50107317934590667</v>
      </c>
      <c r="S647" s="6">
        <v>11.233115348539258</v>
      </c>
      <c r="T647" s="6">
        <v>7.0325765763804586</v>
      </c>
      <c r="U647" s="6">
        <v>62.634217025593884</v>
      </c>
      <c r="V647" s="6">
        <v>0.12594667181908645</v>
      </c>
      <c r="W647" s="6">
        <v>4.0907682757454253</v>
      </c>
      <c r="X647" s="6">
        <v>1.959120302256582</v>
      </c>
      <c r="Y647" s="6">
        <v>19.184157307805272</v>
      </c>
    </row>
    <row r="648" spans="1:25" x14ac:dyDescent="0.25">
      <c r="A648" t="str">
        <f t="shared" si="10"/>
        <v>RTD Ice TeaFranceDecemberEUR (€)Fully-AutomatedOldCan1Small-scaleHigh</v>
      </c>
      <c r="B648" t="s">
        <v>130</v>
      </c>
      <c r="C648" t="s">
        <v>130</v>
      </c>
      <c r="D648" t="s">
        <v>15</v>
      </c>
      <c r="E648" s="12" t="s">
        <v>182</v>
      </c>
      <c r="F648" t="s">
        <v>187</v>
      </c>
      <c r="G648" t="s">
        <v>12</v>
      </c>
      <c r="H648" t="s">
        <v>72</v>
      </c>
      <c r="I648" t="s">
        <v>125</v>
      </c>
      <c r="J648" s="12">
        <v>1</v>
      </c>
      <c r="K648" t="s">
        <v>60</v>
      </c>
      <c r="L648" t="s">
        <v>11</v>
      </c>
      <c r="M648" t="s">
        <v>200</v>
      </c>
      <c r="O648" t="s">
        <v>197</v>
      </c>
      <c r="P648">
        <v>4</v>
      </c>
      <c r="Q648" t="s">
        <v>198</v>
      </c>
      <c r="R648" s="6">
        <v>0.52086654423018053</v>
      </c>
      <c r="S648" s="6">
        <v>11.677500623655146</v>
      </c>
      <c r="T648" s="6">
        <v>7.3105429254814434</v>
      </c>
      <c r="U648" s="6">
        <v>65.10984264843114</v>
      </c>
      <c r="V648" s="6">
        <v>0.13074632320363441</v>
      </c>
      <c r="W648" s="6">
        <v>4.2450987389774131</v>
      </c>
      <c r="X648" s="6">
        <v>2.0328675718969462</v>
      </c>
      <c r="Y648" s="6">
        <v>19.906567619095959</v>
      </c>
    </row>
    <row r="649" spans="1:25" x14ac:dyDescent="0.25">
      <c r="A649" t="str">
        <f t="shared" si="10"/>
        <v>RTD Ice TeaFranceDecemberEUR (€)Fully-AutomatedOldCan1High-scaleLow</v>
      </c>
      <c r="B649" t="s">
        <v>130</v>
      </c>
      <c r="C649" t="s">
        <v>130</v>
      </c>
      <c r="D649" t="s">
        <v>15</v>
      </c>
      <c r="E649" s="12" t="s">
        <v>182</v>
      </c>
      <c r="F649" t="s">
        <v>187</v>
      </c>
      <c r="G649" t="s">
        <v>12</v>
      </c>
      <c r="H649" t="s">
        <v>72</v>
      </c>
      <c r="I649" t="s">
        <v>125</v>
      </c>
      <c r="J649" s="12">
        <v>1</v>
      </c>
      <c r="K649" t="s">
        <v>107</v>
      </c>
      <c r="L649" t="s">
        <v>13</v>
      </c>
      <c r="M649" t="s">
        <v>199</v>
      </c>
      <c r="O649" t="s">
        <v>197</v>
      </c>
      <c r="P649">
        <v>6</v>
      </c>
      <c r="Q649" t="s">
        <v>201</v>
      </c>
      <c r="R649" s="6">
        <v>0.48025036674262261</v>
      </c>
      <c r="S649" s="6">
        <v>10.772254112952902</v>
      </c>
      <c r="T649" s="6">
        <v>6.7418331876705491</v>
      </c>
      <c r="U649" s="6">
        <v>60.044540496657511</v>
      </c>
      <c r="V649" s="6">
        <v>0.10714777125389867</v>
      </c>
      <c r="W649" s="6">
        <v>3.5400226564427113</v>
      </c>
      <c r="X649" s="6">
        <v>1.6807969272225323</v>
      </c>
      <c r="Y649" s="6">
        <v>16.477929040208416</v>
      </c>
    </row>
    <row r="650" spans="1:25" x14ac:dyDescent="0.25">
      <c r="A650" t="str">
        <f t="shared" si="10"/>
        <v>RTD Ice TeaFranceDecemberEUR (€)Fully-AutomatedOldCan1High-scaleMedium</v>
      </c>
      <c r="B650" t="s">
        <v>130</v>
      </c>
      <c r="C650" t="s">
        <v>130</v>
      </c>
      <c r="D650" t="s">
        <v>15</v>
      </c>
      <c r="E650" s="12" t="s">
        <v>182</v>
      </c>
      <c r="F650" t="s">
        <v>187</v>
      </c>
      <c r="G650" t="s">
        <v>12</v>
      </c>
      <c r="H650" t="s">
        <v>72</v>
      </c>
      <c r="I650" t="s">
        <v>125</v>
      </c>
      <c r="J650" s="12">
        <v>1</v>
      </c>
      <c r="K650" t="s">
        <v>107</v>
      </c>
      <c r="L650" t="s">
        <v>63</v>
      </c>
      <c r="M650" t="s">
        <v>199</v>
      </c>
      <c r="O650" t="s">
        <v>197</v>
      </c>
      <c r="P650">
        <v>6</v>
      </c>
      <c r="Q650" t="s">
        <v>201</v>
      </c>
      <c r="R650" s="6">
        <v>0.49857755645028368</v>
      </c>
      <c r="S650" s="6">
        <v>11.183721960282426</v>
      </c>
      <c r="T650" s="6">
        <v>6.9992094368381288</v>
      </c>
      <c r="U650" s="6">
        <v>62.336786443729054</v>
      </c>
      <c r="V650" s="6">
        <v>0.11112616261137184</v>
      </c>
      <c r="W650" s="6">
        <v>3.67049301989629</v>
      </c>
      <c r="X650" s="6">
        <v>1.7425473468001345</v>
      </c>
      <c r="Y650" s="6">
        <v>17.083604480749695</v>
      </c>
    </row>
    <row r="651" spans="1:25" x14ac:dyDescent="0.25">
      <c r="A651" t="str">
        <f t="shared" si="10"/>
        <v>RTD Ice TeaFranceDecemberEUR (€)Fully-AutomatedOldCan1High-scaleHigh</v>
      </c>
      <c r="B651" t="s">
        <v>130</v>
      </c>
      <c r="C651" t="s">
        <v>130</v>
      </c>
      <c r="D651" t="s">
        <v>15</v>
      </c>
      <c r="E651" s="12" t="s">
        <v>182</v>
      </c>
      <c r="F651" t="s">
        <v>187</v>
      </c>
      <c r="G651" t="s">
        <v>12</v>
      </c>
      <c r="H651" t="s">
        <v>72</v>
      </c>
      <c r="I651" t="s">
        <v>125</v>
      </c>
      <c r="J651" s="12">
        <v>1</v>
      </c>
      <c r="K651" t="s">
        <v>107</v>
      </c>
      <c r="L651" t="s">
        <v>11</v>
      </c>
      <c r="M651" t="s">
        <v>199</v>
      </c>
      <c r="O651" t="s">
        <v>197</v>
      </c>
      <c r="P651">
        <v>6</v>
      </c>
      <c r="Q651" t="s">
        <v>201</v>
      </c>
      <c r="R651" s="6">
        <v>0.51837092133455764</v>
      </c>
      <c r="S651" s="6">
        <v>11.628107235398311</v>
      </c>
      <c r="T651" s="6">
        <v>7.2771757859391144</v>
      </c>
      <c r="U651" s="6">
        <v>64.812412066566324</v>
      </c>
      <c r="V651" s="6">
        <v>0.11542282527744289</v>
      </c>
      <c r="W651" s="6">
        <v>3.8114010124261548</v>
      </c>
      <c r="X651" s="6">
        <v>1.8092377999439448</v>
      </c>
      <c r="Y651" s="6">
        <v>17.737733956534278</v>
      </c>
    </row>
    <row r="652" spans="1:25" x14ac:dyDescent="0.25">
      <c r="A652" t="str">
        <f t="shared" si="10"/>
        <v>RTD Ice TeaFranceDecemberEUR (€)Fully-AutomatedOldCan1Medium-scaleLow</v>
      </c>
      <c r="B652" t="s">
        <v>130</v>
      </c>
      <c r="C652" t="s">
        <v>130</v>
      </c>
      <c r="D652" t="s">
        <v>15</v>
      </c>
      <c r="E652" s="12" t="s">
        <v>182</v>
      </c>
      <c r="F652" t="s">
        <v>187</v>
      </c>
      <c r="G652" t="s">
        <v>12</v>
      </c>
      <c r="H652" t="s">
        <v>72</v>
      </c>
      <c r="I652" t="s">
        <v>125</v>
      </c>
      <c r="J652" s="12">
        <v>1</v>
      </c>
      <c r="K652" t="s">
        <v>62</v>
      </c>
      <c r="L652" t="s">
        <v>13</v>
      </c>
      <c r="M652" t="s">
        <v>199</v>
      </c>
      <c r="O652" t="s">
        <v>197</v>
      </c>
      <c r="P652">
        <v>6</v>
      </c>
      <c r="Q652" t="s">
        <v>201</v>
      </c>
      <c r="R652" s="6">
        <v>0.48118622532848115</v>
      </c>
      <c r="S652" s="6">
        <v>10.790776633549212</v>
      </c>
      <c r="T652" s="6">
        <v>6.754345864998923</v>
      </c>
      <c r="U652" s="6">
        <v>60.156076964856823</v>
      </c>
      <c r="V652" s="6">
        <v>0.10798994297107038</v>
      </c>
      <c r="W652" s="6">
        <v>3.5717902145537352</v>
      </c>
      <c r="X652" s="6">
        <v>1.6958541308635082</v>
      </c>
      <c r="Y652" s="6">
        <v>16.62550351748456</v>
      </c>
    </row>
    <row r="653" spans="1:25" x14ac:dyDescent="0.25">
      <c r="A653" t="str">
        <f t="shared" si="10"/>
        <v>RTD Ice TeaFranceDecemberEUR (€)Fully-AutomatedOldCan1Medium-scaleMedium</v>
      </c>
      <c r="B653" t="s">
        <v>130</v>
      </c>
      <c r="C653" t="s">
        <v>130</v>
      </c>
      <c r="D653" t="s">
        <v>15</v>
      </c>
      <c r="E653" s="12" t="s">
        <v>182</v>
      </c>
      <c r="F653" t="s">
        <v>187</v>
      </c>
      <c r="G653" t="s">
        <v>12</v>
      </c>
      <c r="H653" t="s">
        <v>72</v>
      </c>
      <c r="I653" t="s">
        <v>125</v>
      </c>
      <c r="J653" s="12">
        <v>1</v>
      </c>
      <c r="K653" t="s">
        <v>62</v>
      </c>
      <c r="L653" t="s">
        <v>63</v>
      </c>
      <c r="M653" t="s">
        <v>199</v>
      </c>
      <c r="O653" t="s">
        <v>197</v>
      </c>
      <c r="P653">
        <v>6</v>
      </c>
      <c r="Q653" t="s">
        <v>201</v>
      </c>
      <c r="R653" s="6">
        <v>0.49951341503614233</v>
      </c>
      <c r="S653" s="6">
        <v>11.202244480878738</v>
      </c>
      <c r="T653" s="6">
        <v>7.0117221141665027</v>
      </c>
      <c r="U653" s="6">
        <v>62.448322911928379</v>
      </c>
      <c r="V653" s="6">
        <v>0.11196833432854358</v>
      </c>
      <c r="W653" s="6">
        <v>3.7022605780073148</v>
      </c>
      <c r="X653" s="6">
        <v>1.7576045504411104</v>
      </c>
      <c r="Y653" s="6">
        <v>17.231178958025843</v>
      </c>
    </row>
    <row r="654" spans="1:25" x14ac:dyDescent="0.25">
      <c r="A654" t="str">
        <f t="shared" si="10"/>
        <v>RTD Ice TeaFranceDecemberEUR (€)Fully-AutomatedOldCan1Medium-scaleHigh</v>
      </c>
      <c r="B654" t="s">
        <v>130</v>
      </c>
      <c r="C654" t="s">
        <v>130</v>
      </c>
      <c r="D654" t="s">
        <v>15</v>
      </c>
      <c r="E654" s="12" t="s">
        <v>182</v>
      </c>
      <c r="F654" t="s">
        <v>187</v>
      </c>
      <c r="G654" t="s">
        <v>12</v>
      </c>
      <c r="H654" t="s">
        <v>72</v>
      </c>
      <c r="I654" t="s">
        <v>125</v>
      </c>
      <c r="J654" s="12">
        <v>1</v>
      </c>
      <c r="K654" t="s">
        <v>62</v>
      </c>
      <c r="L654" t="s">
        <v>11</v>
      </c>
      <c r="M654" t="s">
        <v>199</v>
      </c>
      <c r="O654" t="s">
        <v>197</v>
      </c>
      <c r="P654">
        <v>6</v>
      </c>
      <c r="Q654" t="s">
        <v>201</v>
      </c>
      <c r="R654" s="6">
        <v>0.51930677992041618</v>
      </c>
      <c r="S654" s="6">
        <v>11.646629755994624</v>
      </c>
      <c r="T654" s="6">
        <v>7.2896884632674865</v>
      </c>
      <c r="U654" s="6">
        <v>64.923948534765628</v>
      </c>
      <c r="V654" s="6">
        <v>0.11626499699461461</v>
      </c>
      <c r="W654" s="6">
        <v>3.8431685705371779</v>
      </c>
      <c r="X654" s="6">
        <v>1.8242950035849204</v>
      </c>
      <c r="Y654" s="6">
        <v>17.885308433810426</v>
      </c>
    </row>
    <row r="655" spans="1:25" x14ac:dyDescent="0.25">
      <c r="A655" t="str">
        <f t="shared" si="10"/>
        <v>RTD Ice TeaFranceDecemberEUR (€)Fully-AutomatedOldCan1Small-scaleLow</v>
      </c>
      <c r="B655" t="s">
        <v>130</v>
      </c>
      <c r="C655" t="s">
        <v>130</v>
      </c>
      <c r="D655" t="s">
        <v>15</v>
      </c>
      <c r="E655" s="12" t="s">
        <v>182</v>
      </c>
      <c r="F655" t="s">
        <v>187</v>
      </c>
      <c r="G655" t="s">
        <v>12</v>
      </c>
      <c r="H655" t="s">
        <v>72</v>
      </c>
      <c r="I655" t="s">
        <v>125</v>
      </c>
      <c r="J655" s="12">
        <v>1</v>
      </c>
      <c r="K655" t="s">
        <v>60</v>
      </c>
      <c r="L655" t="s">
        <v>13</v>
      </c>
      <c r="M655" t="s">
        <v>199</v>
      </c>
      <c r="O655" t="s">
        <v>197</v>
      </c>
      <c r="P655">
        <v>6</v>
      </c>
      <c r="Q655" t="s">
        <v>201</v>
      </c>
      <c r="R655" s="6">
        <v>0.48274598963824539</v>
      </c>
      <c r="S655" s="6">
        <v>10.821647501209734</v>
      </c>
      <c r="T655" s="6">
        <v>6.7752003272128798</v>
      </c>
      <c r="U655" s="6">
        <v>60.341971078522313</v>
      </c>
      <c r="V655" s="6">
        <v>0.10939356249968991</v>
      </c>
      <c r="W655" s="6">
        <v>3.6247361447387756</v>
      </c>
      <c r="X655" s="6">
        <v>1.7209494702651347</v>
      </c>
      <c r="Y655" s="6">
        <v>16.87146097961147</v>
      </c>
    </row>
    <row r="656" spans="1:25" x14ac:dyDescent="0.25">
      <c r="A656" t="str">
        <f t="shared" si="10"/>
        <v>RTD Ice TeaFranceDecemberEUR (€)Fully-AutomatedOldCan1Small-scaleMedium</v>
      </c>
      <c r="B656" t="s">
        <v>130</v>
      </c>
      <c r="C656" t="s">
        <v>130</v>
      </c>
      <c r="D656" t="s">
        <v>15</v>
      </c>
      <c r="E656" s="12" t="s">
        <v>182</v>
      </c>
      <c r="F656" t="s">
        <v>187</v>
      </c>
      <c r="G656" t="s">
        <v>12</v>
      </c>
      <c r="H656" t="s">
        <v>72</v>
      </c>
      <c r="I656" t="s">
        <v>125</v>
      </c>
      <c r="J656" s="12">
        <v>1</v>
      </c>
      <c r="K656" t="s">
        <v>60</v>
      </c>
      <c r="L656" t="s">
        <v>63</v>
      </c>
      <c r="M656" t="s">
        <v>199</v>
      </c>
      <c r="O656" t="s">
        <v>197</v>
      </c>
      <c r="P656">
        <v>6</v>
      </c>
      <c r="Q656" t="s">
        <v>201</v>
      </c>
      <c r="R656" s="6">
        <v>0.50107317934590667</v>
      </c>
      <c r="S656" s="6">
        <v>11.233115348539258</v>
      </c>
      <c r="T656" s="6">
        <v>7.0325765763804586</v>
      </c>
      <c r="U656" s="6">
        <v>62.634217025593884</v>
      </c>
      <c r="V656" s="6">
        <v>0.1133719538571631</v>
      </c>
      <c r="W656" s="6">
        <v>3.7552065081923542</v>
      </c>
      <c r="X656" s="6">
        <v>1.7826998898427364</v>
      </c>
      <c r="Y656" s="6">
        <v>17.477136420152753</v>
      </c>
    </row>
    <row r="657" spans="1:25" x14ac:dyDescent="0.25">
      <c r="A657" t="str">
        <f t="shared" si="10"/>
        <v>RTD Ice TeaFranceDecemberEUR (€)Fully-AutomatedOldCan1Small-scaleHigh</v>
      </c>
      <c r="B657" t="s">
        <v>130</v>
      </c>
      <c r="C657" t="s">
        <v>130</v>
      </c>
      <c r="D657" t="s">
        <v>15</v>
      </c>
      <c r="E657" s="12" t="s">
        <v>182</v>
      </c>
      <c r="F657" t="s">
        <v>187</v>
      </c>
      <c r="G657" t="s">
        <v>12</v>
      </c>
      <c r="H657" t="s">
        <v>72</v>
      </c>
      <c r="I657" t="s">
        <v>125</v>
      </c>
      <c r="J657" s="12">
        <v>1</v>
      </c>
      <c r="K657" t="s">
        <v>60</v>
      </c>
      <c r="L657" t="s">
        <v>11</v>
      </c>
      <c r="M657" t="s">
        <v>199</v>
      </c>
      <c r="O657" t="s">
        <v>197</v>
      </c>
      <c r="P657">
        <v>6</v>
      </c>
      <c r="Q657" t="s">
        <v>201</v>
      </c>
      <c r="R657" s="6">
        <v>0.52086654423018053</v>
      </c>
      <c r="S657" s="6">
        <v>11.677500623655146</v>
      </c>
      <c r="T657" s="6">
        <v>7.3105429254814434</v>
      </c>
      <c r="U657" s="6">
        <v>65.10984264843114</v>
      </c>
      <c r="V657" s="6">
        <v>0.11766861652323414</v>
      </c>
      <c r="W657" s="6">
        <v>3.8961145007222187</v>
      </c>
      <c r="X657" s="6">
        <v>1.8493903429865468</v>
      </c>
      <c r="Y657" s="6">
        <v>18.131265895937332</v>
      </c>
    </row>
    <row r="658" spans="1:25" x14ac:dyDescent="0.25">
      <c r="A658" t="str">
        <f t="shared" si="10"/>
        <v>RTD Ice TeaFranceDecemberEUR (€)Fully-AutomatedOldCan1High-scaleLow</v>
      </c>
      <c r="B658" t="s">
        <v>130</v>
      </c>
      <c r="C658" t="s">
        <v>130</v>
      </c>
      <c r="D658" t="s">
        <v>15</v>
      </c>
      <c r="E658" s="12" t="s">
        <v>182</v>
      </c>
      <c r="F658" t="s">
        <v>187</v>
      </c>
      <c r="G658" t="s">
        <v>12</v>
      </c>
      <c r="H658" t="s">
        <v>72</v>
      </c>
      <c r="I658" t="s">
        <v>125</v>
      </c>
      <c r="J658" s="12">
        <v>1</v>
      </c>
      <c r="K658" t="s">
        <v>107</v>
      </c>
      <c r="L658" t="s">
        <v>13</v>
      </c>
      <c r="M658" t="s">
        <v>200</v>
      </c>
      <c r="O658" t="s">
        <v>197</v>
      </c>
      <c r="P658">
        <v>6</v>
      </c>
      <c r="Q658" t="s">
        <v>201</v>
      </c>
      <c r="R658" s="6">
        <v>0.48025036674262261</v>
      </c>
      <c r="S658" s="6">
        <v>10.772254112952902</v>
      </c>
      <c r="T658" s="6">
        <v>6.7418331876705491</v>
      </c>
      <c r="U658" s="6">
        <v>60.044540496657511</v>
      </c>
      <c r="V658" s="6">
        <v>0.10714777125389867</v>
      </c>
      <c r="W658" s="6">
        <v>3.5400226564427113</v>
      </c>
      <c r="X658" s="6">
        <v>1.6807969272225323</v>
      </c>
      <c r="Y658" s="6">
        <v>16.477929040208416</v>
      </c>
    </row>
    <row r="659" spans="1:25" x14ac:dyDescent="0.25">
      <c r="A659" t="str">
        <f t="shared" si="10"/>
        <v>RTD Ice TeaFranceDecemberEUR (€)Fully-AutomatedOldCan1High-scaleMedium</v>
      </c>
      <c r="B659" t="s">
        <v>130</v>
      </c>
      <c r="C659" t="s">
        <v>130</v>
      </c>
      <c r="D659" t="s">
        <v>15</v>
      </c>
      <c r="E659" s="12" t="s">
        <v>182</v>
      </c>
      <c r="F659" t="s">
        <v>187</v>
      </c>
      <c r="G659" t="s">
        <v>12</v>
      </c>
      <c r="H659" t="s">
        <v>72</v>
      </c>
      <c r="I659" t="s">
        <v>125</v>
      </c>
      <c r="J659" s="12">
        <v>1</v>
      </c>
      <c r="K659" t="s">
        <v>107</v>
      </c>
      <c r="L659" t="s">
        <v>63</v>
      </c>
      <c r="M659" t="s">
        <v>200</v>
      </c>
      <c r="O659" t="s">
        <v>197</v>
      </c>
      <c r="P659">
        <v>6</v>
      </c>
      <c r="Q659" t="s">
        <v>201</v>
      </c>
      <c r="R659" s="6">
        <v>0.49857755645028368</v>
      </c>
      <c r="S659" s="6">
        <v>11.183721960282426</v>
      </c>
      <c r="T659" s="6">
        <v>6.9992094368381288</v>
      </c>
      <c r="U659" s="6">
        <v>62.336786443729054</v>
      </c>
      <c r="V659" s="6">
        <v>0.11112616261137184</v>
      </c>
      <c r="W659" s="6">
        <v>3.67049301989629</v>
      </c>
      <c r="X659" s="6">
        <v>1.7425473468001345</v>
      </c>
      <c r="Y659" s="6">
        <v>17.083604480749695</v>
      </c>
    </row>
    <row r="660" spans="1:25" x14ac:dyDescent="0.25">
      <c r="A660" t="str">
        <f t="shared" si="10"/>
        <v>RTD Ice TeaFranceDecemberEUR (€)Fully-AutomatedOldCan1High-scaleHigh</v>
      </c>
      <c r="B660" t="s">
        <v>130</v>
      </c>
      <c r="C660" t="s">
        <v>130</v>
      </c>
      <c r="D660" t="s">
        <v>15</v>
      </c>
      <c r="E660" s="12" t="s">
        <v>182</v>
      </c>
      <c r="F660" t="s">
        <v>187</v>
      </c>
      <c r="G660" t="s">
        <v>12</v>
      </c>
      <c r="H660" t="s">
        <v>72</v>
      </c>
      <c r="I660" t="s">
        <v>125</v>
      </c>
      <c r="J660" s="12">
        <v>1</v>
      </c>
      <c r="K660" t="s">
        <v>107</v>
      </c>
      <c r="L660" t="s">
        <v>11</v>
      </c>
      <c r="M660" t="s">
        <v>200</v>
      </c>
      <c r="O660" t="s">
        <v>197</v>
      </c>
      <c r="P660">
        <v>6</v>
      </c>
      <c r="Q660" t="s">
        <v>201</v>
      </c>
      <c r="R660" s="6">
        <v>0.51837092133455764</v>
      </c>
      <c r="S660" s="6">
        <v>11.628107235398311</v>
      </c>
      <c r="T660" s="6">
        <v>7.2771757859391144</v>
      </c>
      <c r="U660" s="6">
        <v>64.812412066566324</v>
      </c>
      <c r="V660" s="6">
        <v>0.11542282527744289</v>
      </c>
      <c r="W660" s="6">
        <v>3.8114010124261548</v>
      </c>
      <c r="X660" s="6">
        <v>1.8092377999439448</v>
      </c>
      <c r="Y660" s="6">
        <v>17.737733956534278</v>
      </c>
    </row>
    <row r="661" spans="1:25" x14ac:dyDescent="0.25">
      <c r="A661" t="str">
        <f t="shared" si="10"/>
        <v>RTD Ice TeaFranceDecemberEUR (€)Fully-AutomatedOldCan1Medium-scaleLow</v>
      </c>
      <c r="B661" t="s">
        <v>130</v>
      </c>
      <c r="C661" t="s">
        <v>130</v>
      </c>
      <c r="D661" t="s">
        <v>15</v>
      </c>
      <c r="E661" s="12" t="s">
        <v>182</v>
      </c>
      <c r="F661" t="s">
        <v>187</v>
      </c>
      <c r="G661" t="s">
        <v>12</v>
      </c>
      <c r="H661" t="s">
        <v>72</v>
      </c>
      <c r="I661" t="s">
        <v>125</v>
      </c>
      <c r="J661" s="12">
        <v>1</v>
      </c>
      <c r="K661" t="s">
        <v>62</v>
      </c>
      <c r="L661" t="s">
        <v>13</v>
      </c>
      <c r="M661" t="s">
        <v>200</v>
      </c>
      <c r="O661" t="s">
        <v>197</v>
      </c>
      <c r="P661">
        <v>6</v>
      </c>
      <c r="Q661" t="s">
        <v>201</v>
      </c>
      <c r="R661" s="6">
        <v>0.48118622532848115</v>
      </c>
      <c r="S661" s="6">
        <v>10.790776633549212</v>
      </c>
      <c r="T661" s="6">
        <v>6.754345864998923</v>
      </c>
      <c r="U661" s="6">
        <v>60.156076964856823</v>
      </c>
      <c r="V661" s="6">
        <v>0.10798994297107038</v>
      </c>
      <c r="W661" s="6">
        <v>3.5717902145537352</v>
      </c>
      <c r="X661" s="6">
        <v>1.6958541308635082</v>
      </c>
      <c r="Y661" s="6">
        <v>16.62550351748456</v>
      </c>
    </row>
    <row r="662" spans="1:25" x14ac:dyDescent="0.25">
      <c r="A662" t="str">
        <f t="shared" si="10"/>
        <v>RTD Ice TeaFranceDecemberEUR (€)Fully-AutomatedOldCan1Medium-scaleMedium</v>
      </c>
      <c r="B662" t="s">
        <v>130</v>
      </c>
      <c r="C662" t="s">
        <v>130</v>
      </c>
      <c r="D662" t="s">
        <v>15</v>
      </c>
      <c r="E662" s="12" t="s">
        <v>182</v>
      </c>
      <c r="F662" t="s">
        <v>187</v>
      </c>
      <c r="G662" t="s">
        <v>12</v>
      </c>
      <c r="H662" t="s">
        <v>72</v>
      </c>
      <c r="I662" t="s">
        <v>125</v>
      </c>
      <c r="J662" s="12">
        <v>1</v>
      </c>
      <c r="K662" t="s">
        <v>62</v>
      </c>
      <c r="L662" t="s">
        <v>63</v>
      </c>
      <c r="M662" t="s">
        <v>200</v>
      </c>
      <c r="O662" t="s">
        <v>197</v>
      </c>
      <c r="P662">
        <v>6</v>
      </c>
      <c r="Q662" t="s">
        <v>201</v>
      </c>
      <c r="R662" s="6">
        <v>0.49951341503614233</v>
      </c>
      <c r="S662" s="6">
        <v>11.202244480878738</v>
      </c>
      <c r="T662" s="6">
        <v>7.0117221141665027</v>
      </c>
      <c r="U662" s="6">
        <v>62.448322911928379</v>
      </c>
      <c r="V662" s="6">
        <v>0.11196833432854358</v>
      </c>
      <c r="W662" s="6">
        <v>3.7022605780073148</v>
      </c>
      <c r="X662" s="6">
        <v>1.7576045504411104</v>
      </c>
      <c r="Y662" s="6">
        <v>17.231178958025843</v>
      </c>
    </row>
    <row r="663" spans="1:25" x14ac:dyDescent="0.25">
      <c r="A663" t="str">
        <f t="shared" si="10"/>
        <v>RTD Ice TeaFranceDecemberEUR (€)Fully-AutomatedOldCan1Medium-scaleHigh</v>
      </c>
      <c r="B663" t="s">
        <v>130</v>
      </c>
      <c r="C663" t="s">
        <v>130</v>
      </c>
      <c r="D663" t="s">
        <v>15</v>
      </c>
      <c r="E663" s="12" t="s">
        <v>182</v>
      </c>
      <c r="F663" t="s">
        <v>187</v>
      </c>
      <c r="G663" t="s">
        <v>12</v>
      </c>
      <c r="H663" t="s">
        <v>72</v>
      </c>
      <c r="I663" t="s">
        <v>125</v>
      </c>
      <c r="J663" s="12">
        <v>1</v>
      </c>
      <c r="K663" t="s">
        <v>62</v>
      </c>
      <c r="L663" t="s">
        <v>11</v>
      </c>
      <c r="M663" t="s">
        <v>200</v>
      </c>
      <c r="O663" t="s">
        <v>197</v>
      </c>
      <c r="P663">
        <v>6</v>
      </c>
      <c r="Q663" t="s">
        <v>201</v>
      </c>
      <c r="R663" s="6">
        <v>0.51930677992041618</v>
      </c>
      <c r="S663" s="6">
        <v>11.646629755994624</v>
      </c>
      <c r="T663" s="6">
        <v>7.2896884632674865</v>
      </c>
      <c r="U663" s="6">
        <v>64.923948534765628</v>
      </c>
      <c r="V663" s="6">
        <v>0.11626499699461461</v>
      </c>
      <c r="W663" s="6">
        <v>3.8431685705371779</v>
      </c>
      <c r="X663" s="6">
        <v>1.8242950035849204</v>
      </c>
      <c r="Y663" s="6">
        <v>17.885308433810426</v>
      </c>
    </row>
    <row r="664" spans="1:25" x14ac:dyDescent="0.25">
      <c r="A664" t="str">
        <f t="shared" si="10"/>
        <v>RTD Ice TeaFranceDecemberEUR (€)Fully-AutomatedOldCan1Small-scaleLow</v>
      </c>
      <c r="B664" t="s">
        <v>130</v>
      </c>
      <c r="C664" t="s">
        <v>130</v>
      </c>
      <c r="D664" t="s">
        <v>15</v>
      </c>
      <c r="E664" s="12" t="s">
        <v>182</v>
      </c>
      <c r="F664" t="s">
        <v>187</v>
      </c>
      <c r="G664" t="s">
        <v>12</v>
      </c>
      <c r="H664" t="s">
        <v>72</v>
      </c>
      <c r="I664" t="s">
        <v>125</v>
      </c>
      <c r="J664" s="12">
        <v>1</v>
      </c>
      <c r="K664" t="s">
        <v>60</v>
      </c>
      <c r="L664" t="s">
        <v>13</v>
      </c>
      <c r="M664" t="s">
        <v>200</v>
      </c>
      <c r="O664" t="s">
        <v>197</v>
      </c>
      <c r="P664">
        <v>6</v>
      </c>
      <c r="Q664" t="s">
        <v>201</v>
      </c>
      <c r="R664" s="6">
        <v>0.48274598963824539</v>
      </c>
      <c r="S664" s="6">
        <v>10.821647501209734</v>
      </c>
      <c r="T664" s="6">
        <v>6.7752003272128798</v>
      </c>
      <c r="U664" s="6">
        <v>60.341971078522313</v>
      </c>
      <c r="V664" s="6">
        <v>0.10939356249968991</v>
      </c>
      <c r="W664" s="6">
        <v>3.6247361447387756</v>
      </c>
      <c r="X664" s="6">
        <v>1.7209494702651347</v>
      </c>
      <c r="Y664" s="6">
        <v>16.87146097961147</v>
      </c>
    </row>
    <row r="665" spans="1:25" x14ac:dyDescent="0.25">
      <c r="A665" t="str">
        <f t="shared" si="10"/>
        <v>RTD Ice TeaFranceDecemberEUR (€)Fully-AutomatedOldCan1Small-scaleMedium</v>
      </c>
      <c r="B665" t="s">
        <v>130</v>
      </c>
      <c r="C665" t="s">
        <v>130</v>
      </c>
      <c r="D665" t="s">
        <v>15</v>
      </c>
      <c r="E665" s="12" t="s">
        <v>182</v>
      </c>
      <c r="F665" t="s">
        <v>187</v>
      </c>
      <c r="G665" t="s">
        <v>12</v>
      </c>
      <c r="H665" t="s">
        <v>72</v>
      </c>
      <c r="I665" t="s">
        <v>125</v>
      </c>
      <c r="J665" s="12">
        <v>1</v>
      </c>
      <c r="K665" t="s">
        <v>60</v>
      </c>
      <c r="L665" t="s">
        <v>63</v>
      </c>
      <c r="M665" t="s">
        <v>200</v>
      </c>
      <c r="O665" t="s">
        <v>197</v>
      </c>
      <c r="P665">
        <v>6</v>
      </c>
      <c r="Q665" t="s">
        <v>201</v>
      </c>
      <c r="R665" s="6">
        <v>0.50107317934590667</v>
      </c>
      <c r="S665" s="6">
        <v>11.233115348539258</v>
      </c>
      <c r="T665" s="6">
        <v>7.0325765763804586</v>
      </c>
      <c r="U665" s="6">
        <v>62.634217025593884</v>
      </c>
      <c r="V665" s="6">
        <v>0.1133719538571631</v>
      </c>
      <c r="W665" s="6">
        <v>3.7552065081923542</v>
      </c>
      <c r="X665" s="6">
        <v>1.7826998898427364</v>
      </c>
      <c r="Y665" s="6">
        <v>17.477136420152753</v>
      </c>
    </row>
    <row r="666" spans="1:25" x14ac:dyDescent="0.25">
      <c r="A666" t="str">
        <f t="shared" si="10"/>
        <v>RTD Ice TeaFranceDecemberEUR (€)Fully-AutomatedOldCan1Small-scaleHigh</v>
      </c>
      <c r="B666" t="s">
        <v>130</v>
      </c>
      <c r="C666" t="s">
        <v>130</v>
      </c>
      <c r="D666" t="s">
        <v>15</v>
      </c>
      <c r="E666" s="12" t="s">
        <v>182</v>
      </c>
      <c r="F666" t="s">
        <v>187</v>
      </c>
      <c r="G666" t="s">
        <v>12</v>
      </c>
      <c r="H666" t="s">
        <v>72</v>
      </c>
      <c r="I666" t="s">
        <v>125</v>
      </c>
      <c r="J666" s="12">
        <v>1</v>
      </c>
      <c r="K666" t="s">
        <v>60</v>
      </c>
      <c r="L666" t="s">
        <v>11</v>
      </c>
      <c r="M666" t="s">
        <v>200</v>
      </c>
      <c r="O666" t="s">
        <v>197</v>
      </c>
      <c r="P666">
        <v>6</v>
      </c>
      <c r="Q666" t="s">
        <v>201</v>
      </c>
      <c r="R666" s="6">
        <v>0.52086654423018053</v>
      </c>
      <c r="S666" s="6">
        <v>11.677500623655146</v>
      </c>
      <c r="T666" s="6">
        <v>7.3105429254814434</v>
      </c>
      <c r="U666" s="6">
        <v>65.10984264843114</v>
      </c>
      <c r="V666" s="6">
        <v>0.11766861652323414</v>
      </c>
      <c r="W666" s="6">
        <v>3.8961145007222187</v>
      </c>
      <c r="X666" s="6">
        <v>1.8493903429865468</v>
      </c>
      <c r="Y666" s="6">
        <v>18.131265895937332</v>
      </c>
    </row>
    <row r="667" spans="1:25" x14ac:dyDescent="0.25">
      <c r="A667" t="str">
        <f t="shared" si="10"/>
        <v>RTD Ice TeaFranceDecemberEUR (€)Fully-AutomatedOldCan1High-scaleLow</v>
      </c>
      <c r="B667" t="s">
        <v>130</v>
      </c>
      <c r="C667" t="s">
        <v>130</v>
      </c>
      <c r="D667" t="s">
        <v>15</v>
      </c>
      <c r="E667" s="12" t="s">
        <v>182</v>
      </c>
      <c r="F667" t="s">
        <v>187</v>
      </c>
      <c r="G667" t="s">
        <v>12</v>
      </c>
      <c r="H667" t="s">
        <v>72</v>
      </c>
      <c r="I667" t="s">
        <v>125</v>
      </c>
      <c r="J667" s="12">
        <v>1</v>
      </c>
      <c r="K667" t="s">
        <v>107</v>
      </c>
      <c r="L667" t="s">
        <v>13</v>
      </c>
      <c r="M667" t="s">
        <v>199</v>
      </c>
      <c r="O667" t="s">
        <v>197</v>
      </c>
      <c r="P667">
        <v>8</v>
      </c>
      <c r="Q667" t="s">
        <v>202</v>
      </c>
      <c r="R667" s="6">
        <v>0.48025036674262261</v>
      </c>
      <c r="S667" s="6">
        <v>10.772254112952902</v>
      </c>
      <c r="T667" s="6">
        <v>6.7418331876705491</v>
      </c>
      <c r="U667" s="6">
        <v>60.044540496657511</v>
      </c>
      <c r="V667" s="6">
        <v>0.10055294501876165</v>
      </c>
      <c r="W667" s="6">
        <v>3.3640368764936985</v>
      </c>
      <c r="X667" s="6">
        <v>1.5882730258735305</v>
      </c>
      <c r="Y667" s="6">
        <v>15.582679845124611</v>
      </c>
    </row>
    <row r="668" spans="1:25" x14ac:dyDescent="0.25">
      <c r="A668" t="str">
        <f t="shared" si="10"/>
        <v>RTD Ice TeaFranceDecemberEUR (€)Fully-AutomatedOldCan1High-scaleMedium</v>
      </c>
      <c r="B668" t="s">
        <v>130</v>
      </c>
      <c r="C668" t="s">
        <v>130</v>
      </c>
      <c r="D668" t="s">
        <v>15</v>
      </c>
      <c r="E668" s="12" t="s">
        <v>182</v>
      </c>
      <c r="F668" t="s">
        <v>187</v>
      </c>
      <c r="G668" t="s">
        <v>12</v>
      </c>
      <c r="H668" t="s">
        <v>72</v>
      </c>
      <c r="I668" t="s">
        <v>125</v>
      </c>
      <c r="J668" s="12">
        <v>1</v>
      </c>
      <c r="K668" t="s">
        <v>107</v>
      </c>
      <c r="L668" t="s">
        <v>63</v>
      </c>
      <c r="M668" t="s">
        <v>199</v>
      </c>
      <c r="O668" t="s">
        <v>197</v>
      </c>
      <c r="P668">
        <v>8</v>
      </c>
      <c r="Q668" t="s">
        <v>202</v>
      </c>
      <c r="R668" s="6">
        <v>0.49857755645028368</v>
      </c>
      <c r="S668" s="6">
        <v>11.183721960282426</v>
      </c>
      <c r="T668" s="6">
        <v>6.9992094368381288</v>
      </c>
      <c r="U668" s="6">
        <v>62.336786443729054</v>
      </c>
      <c r="V668" s="6">
        <v>0.10427768921334495</v>
      </c>
      <c r="W668" s="6">
        <v>3.4877385561030843</v>
      </c>
      <c r="X668" s="6">
        <v>1.6464648338607863</v>
      </c>
      <c r="Y668" s="6">
        <v>16.153922624316515</v>
      </c>
    </row>
    <row r="669" spans="1:25" x14ac:dyDescent="0.25">
      <c r="A669" t="str">
        <f t="shared" si="10"/>
        <v>RTD Ice TeaFranceDecemberEUR (€)Fully-AutomatedOldCan1High-scaleHigh</v>
      </c>
      <c r="B669" t="s">
        <v>130</v>
      </c>
      <c r="C669" t="s">
        <v>130</v>
      </c>
      <c r="D669" t="s">
        <v>15</v>
      </c>
      <c r="E669" s="12" t="s">
        <v>182</v>
      </c>
      <c r="F669" t="s">
        <v>187</v>
      </c>
      <c r="G669" t="s">
        <v>12</v>
      </c>
      <c r="H669" t="s">
        <v>72</v>
      </c>
      <c r="I669" t="s">
        <v>125</v>
      </c>
      <c r="J669" s="12">
        <v>1</v>
      </c>
      <c r="K669" t="s">
        <v>107</v>
      </c>
      <c r="L669" t="s">
        <v>11</v>
      </c>
      <c r="M669" t="s">
        <v>199</v>
      </c>
      <c r="O669" t="s">
        <v>197</v>
      </c>
      <c r="P669">
        <v>8</v>
      </c>
      <c r="Q669" t="s">
        <v>202</v>
      </c>
      <c r="R669" s="6">
        <v>0.51837092133455764</v>
      </c>
      <c r="S669" s="6">
        <v>11.628107235398311</v>
      </c>
      <c r="T669" s="6">
        <v>7.2771757859391144</v>
      </c>
      <c r="U669" s="6">
        <v>64.812412066566324</v>
      </c>
      <c r="V669" s="6">
        <v>0.10830041294349492</v>
      </c>
      <c r="W669" s="6">
        <v>3.6213363700812207</v>
      </c>
      <c r="X669" s="6">
        <v>1.7093119864870228</v>
      </c>
      <c r="Y669" s="6">
        <v>16.77086482584377</v>
      </c>
    </row>
    <row r="670" spans="1:25" x14ac:dyDescent="0.25">
      <c r="A670" t="str">
        <f t="shared" si="10"/>
        <v>RTD Ice TeaFranceDecemberEUR (€)Fully-AutomatedOldCan1Medium-scaleLow</v>
      </c>
      <c r="B670" t="s">
        <v>130</v>
      </c>
      <c r="C670" t="s">
        <v>130</v>
      </c>
      <c r="D670" t="s">
        <v>15</v>
      </c>
      <c r="E670" s="12" t="s">
        <v>182</v>
      </c>
      <c r="F670" t="s">
        <v>187</v>
      </c>
      <c r="G670" t="s">
        <v>12</v>
      </c>
      <c r="H670" t="s">
        <v>72</v>
      </c>
      <c r="I670" t="s">
        <v>125</v>
      </c>
      <c r="J670" s="12">
        <v>1</v>
      </c>
      <c r="K670" t="s">
        <v>62</v>
      </c>
      <c r="L670" t="s">
        <v>13</v>
      </c>
      <c r="M670" t="s">
        <v>199</v>
      </c>
      <c r="O670" t="s">
        <v>197</v>
      </c>
      <c r="P670">
        <v>8</v>
      </c>
      <c r="Q670" t="s">
        <v>202</v>
      </c>
      <c r="R670" s="6">
        <v>0.48118622532848115</v>
      </c>
      <c r="S670" s="6">
        <v>10.790776633549212</v>
      </c>
      <c r="T670" s="6">
        <v>6.754345864998923</v>
      </c>
      <c r="U670" s="6">
        <v>60.156076964856823</v>
      </c>
      <c r="V670" s="6">
        <v>0.10139511673593336</v>
      </c>
      <c r="W670" s="6">
        <v>3.3958044346047216</v>
      </c>
      <c r="X670" s="6">
        <v>1.6033302295145062</v>
      </c>
      <c r="Y670" s="6">
        <v>15.730254322400754</v>
      </c>
    </row>
    <row r="671" spans="1:25" x14ac:dyDescent="0.25">
      <c r="A671" t="str">
        <f t="shared" si="10"/>
        <v>RTD Ice TeaFranceDecemberEUR (€)Fully-AutomatedOldCan1Medium-scaleMedium</v>
      </c>
      <c r="B671" t="s">
        <v>130</v>
      </c>
      <c r="C671" t="s">
        <v>130</v>
      </c>
      <c r="D671" t="s">
        <v>15</v>
      </c>
      <c r="E671" s="12" t="s">
        <v>182</v>
      </c>
      <c r="F671" t="s">
        <v>187</v>
      </c>
      <c r="G671" t="s">
        <v>12</v>
      </c>
      <c r="H671" t="s">
        <v>72</v>
      </c>
      <c r="I671" t="s">
        <v>125</v>
      </c>
      <c r="J671" s="12">
        <v>1</v>
      </c>
      <c r="K671" t="s">
        <v>62</v>
      </c>
      <c r="L671" t="s">
        <v>63</v>
      </c>
      <c r="M671" t="s">
        <v>199</v>
      </c>
      <c r="O671" t="s">
        <v>197</v>
      </c>
      <c r="P671">
        <v>8</v>
      </c>
      <c r="Q671" t="s">
        <v>202</v>
      </c>
      <c r="R671" s="6">
        <v>0.49951341503614233</v>
      </c>
      <c r="S671" s="6">
        <v>11.202244480878738</v>
      </c>
      <c r="T671" s="6">
        <v>7.0117221141665027</v>
      </c>
      <c r="U671" s="6">
        <v>62.448322911928379</v>
      </c>
      <c r="V671" s="6">
        <v>0.10511986093051667</v>
      </c>
      <c r="W671" s="6">
        <v>3.5195061142141086</v>
      </c>
      <c r="X671" s="6">
        <v>1.6615220375017621</v>
      </c>
      <c r="Y671" s="6">
        <v>16.301497101592659</v>
      </c>
    </row>
    <row r="672" spans="1:25" x14ac:dyDescent="0.25">
      <c r="A672" t="str">
        <f t="shared" si="10"/>
        <v>RTD Ice TeaFranceDecemberEUR (€)Fully-AutomatedOldCan1Medium-scaleHigh</v>
      </c>
      <c r="B672" t="s">
        <v>130</v>
      </c>
      <c r="C672" t="s">
        <v>130</v>
      </c>
      <c r="D672" t="s">
        <v>15</v>
      </c>
      <c r="E672" s="12" t="s">
        <v>182</v>
      </c>
      <c r="F672" t="s">
        <v>187</v>
      </c>
      <c r="G672" t="s">
        <v>12</v>
      </c>
      <c r="H672" t="s">
        <v>72</v>
      </c>
      <c r="I672" t="s">
        <v>125</v>
      </c>
      <c r="J672" s="12">
        <v>1</v>
      </c>
      <c r="K672" t="s">
        <v>62</v>
      </c>
      <c r="L672" t="s">
        <v>11</v>
      </c>
      <c r="M672" t="s">
        <v>199</v>
      </c>
      <c r="O672" t="s">
        <v>197</v>
      </c>
      <c r="P672">
        <v>8</v>
      </c>
      <c r="Q672" t="s">
        <v>202</v>
      </c>
      <c r="R672" s="6">
        <v>0.51930677992041618</v>
      </c>
      <c r="S672" s="6">
        <v>11.646629755994624</v>
      </c>
      <c r="T672" s="6">
        <v>7.2896884632674865</v>
      </c>
      <c r="U672" s="6">
        <v>64.923948534765628</v>
      </c>
      <c r="V672" s="6">
        <v>0.10914258466066662</v>
      </c>
      <c r="W672" s="6">
        <v>3.6531039281922446</v>
      </c>
      <c r="X672" s="6">
        <v>1.7243691901279983</v>
      </c>
      <c r="Y672" s="6">
        <v>16.918439303119914</v>
      </c>
    </row>
    <row r="673" spans="1:25" x14ac:dyDescent="0.25">
      <c r="A673" t="str">
        <f t="shared" si="10"/>
        <v>RTD Ice TeaFranceDecemberEUR (€)Fully-AutomatedOldCan1Small-scaleLow</v>
      </c>
      <c r="B673" t="s">
        <v>130</v>
      </c>
      <c r="C673" t="s">
        <v>130</v>
      </c>
      <c r="D673" t="s">
        <v>15</v>
      </c>
      <c r="E673" s="12" t="s">
        <v>182</v>
      </c>
      <c r="F673" t="s">
        <v>187</v>
      </c>
      <c r="G673" t="s">
        <v>12</v>
      </c>
      <c r="H673" t="s">
        <v>72</v>
      </c>
      <c r="I673" t="s">
        <v>125</v>
      </c>
      <c r="J673" s="12">
        <v>1</v>
      </c>
      <c r="K673" t="s">
        <v>60</v>
      </c>
      <c r="L673" t="s">
        <v>13</v>
      </c>
      <c r="M673" t="s">
        <v>199</v>
      </c>
      <c r="O673" t="s">
        <v>197</v>
      </c>
      <c r="P673">
        <v>8</v>
      </c>
      <c r="Q673" t="s">
        <v>202</v>
      </c>
      <c r="R673" s="6">
        <v>0.48274598963824539</v>
      </c>
      <c r="S673" s="6">
        <v>10.821647501209734</v>
      </c>
      <c r="T673" s="6">
        <v>6.7752003272128798</v>
      </c>
      <c r="U673" s="6">
        <v>60.341971078522313</v>
      </c>
      <c r="V673" s="6">
        <v>0.1027987362645529</v>
      </c>
      <c r="W673" s="6">
        <v>3.4487503647897619</v>
      </c>
      <c r="X673" s="6">
        <v>1.6284255689161327</v>
      </c>
      <c r="Y673" s="6">
        <v>15.976211784527667</v>
      </c>
    </row>
    <row r="674" spans="1:25" x14ac:dyDescent="0.25">
      <c r="A674" t="str">
        <f t="shared" si="10"/>
        <v>RTD Ice TeaFranceDecemberEUR (€)Fully-AutomatedOldCan1Small-scaleMedium</v>
      </c>
      <c r="B674" t="s">
        <v>130</v>
      </c>
      <c r="C674" t="s">
        <v>130</v>
      </c>
      <c r="D674" t="s">
        <v>15</v>
      </c>
      <c r="E674" s="12" t="s">
        <v>182</v>
      </c>
      <c r="F674" t="s">
        <v>187</v>
      </c>
      <c r="G674" t="s">
        <v>12</v>
      </c>
      <c r="H674" t="s">
        <v>72</v>
      </c>
      <c r="I674" t="s">
        <v>125</v>
      </c>
      <c r="J674" s="12">
        <v>1</v>
      </c>
      <c r="K674" t="s">
        <v>60</v>
      </c>
      <c r="L674" t="s">
        <v>63</v>
      </c>
      <c r="M674" t="s">
        <v>199</v>
      </c>
      <c r="O674" t="s">
        <v>197</v>
      </c>
      <c r="P674">
        <v>8</v>
      </c>
      <c r="Q674" t="s">
        <v>202</v>
      </c>
      <c r="R674" s="6">
        <v>0.50107317934590667</v>
      </c>
      <c r="S674" s="6">
        <v>11.233115348539258</v>
      </c>
      <c r="T674" s="6">
        <v>7.0325765763804586</v>
      </c>
      <c r="U674" s="6">
        <v>62.634217025593884</v>
      </c>
      <c r="V674" s="6">
        <v>0.10652348045913619</v>
      </c>
      <c r="W674" s="6">
        <v>3.5724520443991485</v>
      </c>
      <c r="X674" s="6">
        <v>1.6866173769033883</v>
      </c>
      <c r="Y674" s="6">
        <v>16.547454563719569</v>
      </c>
    </row>
    <row r="675" spans="1:25" x14ac:dyDescent="0.25">
      <c r="A675" t="str">
        <f t="shared" si="10"/>
        <v>RTD Ice TeaFranceDecemberEUR (€)Fully-AutomatedOldCan1Small-scaleHigh</v>
      </c>
      <c r="B675" t="s">
        <v>130</v>
      </c>
      <c r="C675" t="s">
        <v>130</v>
      </c>
      <c r="D675" t="s">
        <v>15</v>
      </c>
      <c r="E675" s="12" t="s">
        <v>182</v>
      </c>
      <c r="F675" t="s">
        <v>187</v>
      </c>
      <c r="G675" t="s">
        <v>12</v>
      </c>
      <c r="H675" t="s">
        <v>72</v>
      </c>
      <c r="I675" t="s">
        <v>125</v>
      </c>
      <c r="J675" s="12">
        <v>1</v>
      </c>
      <c r="K675" t="s">
        <v>60</v>
      </c>
      <c r="L675" t="s">
        <v>11</v>
      </c>
      <c r="M675" t="s">
        <v>199</v>
      </c>
      <c r="O675" t="s">
        <v>197</v>
      </c>
      <c r="P675">
        <v>8</v>
      </c>
      <c r="Q675" t="s">
        <v>202</v>
      </c>
      <c r="R675" s="6">
        <v>0.52086654423018053</v>
      </c>
      <c r="S675" s="6">
        <v>11.677500623655146</v>
      </c>
      <c r="T675" s="6">
        <v>7.3105429254814434</v>
      </c>
      <c r="U675" s="6">
        <v>65.10984264843114</v>
      </c>
      <c r="V675" s="6">
        <v>0.11054620418928614</v>
      </c>
      <c r="W675" s="6">
        <v>3.7060498583772845</v>
      </c>
      <c r="X675" s="6">
        <v>1.7494645295296247</v>
      </c>
      <c r="Y675" s="6">
        <v>17.164396765246828</v>
      </c>
    </row>
    <row r="676" spans="1:25" x14ac:dyDescent="0.25">
      <c r="A676" t="str">
        <f t="shared" si="10"/>
        <v>RTD Ice TeaFranceDecemberEUR (€)Fully-AutomatedOldCan1High-scaleLow</v>
      </c>
      <c r="B676" t="s">
        <v>130</v>
      </c>
      <c r="C676" t="s">
        <v>130</v>
      </c>
      <c r="D676" t="s">
        <v>15</v>
      </c>
      <c r="E676" s="12" t="s">
        <v>182</v>
      </c>
      <c r="F676" t="s">
        <v>187</v>
      </c>
      <c r="G676" t="s">
        <v>12</v>
      </c>
      <c r="H676" t="s">
        <v>72</v>
      </c>
      <c r="I676" t="s">
        <v>125</v>
      </c>
      <c r="J676" s="12">
        <v>1</v>
      </c>
      <c r="K676" t="s">
        <v>107</v>
      </c>
      <c r="L676" t="s">
        <v>13</v>
      </c>
      <c r="M676" t="s">
        <v>200</v>
      </c>
      <c r="O676" t="s">
        <v>197</v>
      </c>
      <c r="P676">
        <v>8</v>
      </c>
      <c r="Q676" t="s">
        <v>202</v>
      </c>
      <c r="R676" s="6">
        <v>0.48025036674262261</v>
      </c>
      <c r="S676" s="6">
        <v>10.772254112952902</v>
      </c>
      <c r="T676" s="6">
        <v>6.7418331876705491</v>
      </c>
      <c r="U676" s="6">
        <v>60.044540496657511</v>
      </c>
      <c r="V676" s="6">
        <v>0.10055294501876165</v>
      </c>
      <c r="W676" s="6">
        <v>3.3640368764936985</v>
      </c>
      <c r="X676" s="6">
        <v>1.5882730258735305</v>
      </c>
      <c r="Y676" s="6">
        <v>15.582679845124611</v>
      </c>
    </row>
    <row r="677" spans="1:25" x14ac:dyDescent="0.25">
      <c r="A677" t="str">
        <f t="shared" si="10"/>
        <v>RTD Ice TeaFranceDecemberEUR (€)Fully-AutomatedOldCan1High-scaleMedium</v>
      </c>
      <c r="B677" t="s">
        <v>130</v>
      </c>
      <c r="C677" t="s">
        <v>130</v>
      </c>
      <c r="D677" t="s">
        <v>15</v>
      </c>
      <c r="E677" s="12" t="s">
        <v>182</v>
      </c>
      <c r="F677" t="s">
        <v>187</v>
      </c>
      <c r="G677" t="s">
        <v>12</v>
      </c>
      <c r="H677" t="s">
        <v>72</v>
      </c>
      <c r="I677" t="s">
        <v>125</v>
      </c>
      <c r="J677" s="12">
        <v>1</v>
      </c>
      <c r="K677" t="s">
        <v>107</v>
      </c>
      <c r="L677" t="s">
        <v>63</v>
      </c>
      <c r="M677" t="s">
        <v>200</v>
      </c>
      <c r="O677" t="s">
        <v>197</v>
      </c>
      <c r="P677">
        <v>8</v>
      </c>
      <c r="Q677" t="s">
        <v>202</v>
      </c>
      <c r="R677" s="6">
        <v>0.49857755645028368</v>
      </c>
      <c r="S677" s="6">
        <v>11.183721960282426</v>
      </c>
      <c r="T677" s="6">
        <v>6.9992094368381288</v>
      </c>
      <c r="U677" s="6">
        <v>62.336786443729054</v>
      </c>
      <c r="V677" s="6">
        <v>0.10427768921334495</v>
      </c>
      <c r="W677" s="6">
        <v>3.4877385561030843</v>
      </c>
      <c r="X677" s="6">
        <v>1.6464648338607863</v>
      </c>
      <c r="Y677" s="6">
        <v>16.153922624316515</v>
      </c>
    </row>
    <row r="678" spans="1:25" x14ac:dyDescent="0.25">
      <c r="A678" t="str">
        <f t="shared" si="10"/>
        <v>RTD Ice TeaFranceDecemberEUR (€)Fully-AutomatedOldCan1High-scaleHigh</v>
      </c>
      <c r="B678" t="s">
        <v>130</v>
      </c>
      <c r="C678" t="s">
        <v>130</v>
      </c>
      <c r="D678" t="s">
        <v>15</v>
      </c>
      <c r="E678" s="12" t="s">
        <v>182</v>
      </c>
      <c r="F678" t="s">
        <v>187</v>
      </c>
      <c r="G678" t="s">
        <v>12</v>
      </c>
      <c r="H678" t="s">
        <v>72</v>
      </c>
      <c r="I678" t="s">
        <v>125</v>
      </c>
      <c r="J678" s="12">
        <v>1</v>
      </c>
      <c r="K678" t="s">
        <v>107</v>
      </c>
      <c r="L678" t="s">
        <v>11</v>
      </c>
      <c r="M678" t="s">
        <v>200</v>
      </c>
      <c r="O678" t="s">
        <v>197</v>
      </c>
      <c r="P678">
        <v>8</v>
      </c>
      <c r="Q678" t="s">
        <v>202</v>
      </c>
      <c r="R678" s="6">
        <v>0.51837092133455764</v>
      </c>
      <c r="S678" s="6">
        <v>11.628107235398311</v>
      </c>
      <c r="T678" s="6">
        <v>7.2771757859391144</v>
      </c>
      <c r="U678" s="6">
        <v>64.812412066566324</v>
      </c>
      <c r="V678" s="6">
        <v>0.10830041294349492</v>
      </c>
      <c r="W678" s="6">
        <v>3.6213363700812207</v>
      </c>
      <c r="X678" s="6">
        <v>1.7093119864870228</v>
      </c>
      <c r="Y678" s="6">
        <v>16.77086482584377</v>
      </c>
    </row>
    <row r="679" spans="1:25" x14ac:dyDescent="0.25">
      <c r="A679" t="str">
        <f t="shared" si="10"/>
        <v>RTD Ice TeaFranceDecemberEUR (€)Fully-AutomatedOldCan1Medium-scaleLow</v>
      </c>
      <c r="B679" t="s">
        <v>130</v>
      </c>
      <c r="C679" t="s">
        <v>130</v>
      </c>
      <c r="D679" t="s">
        <v>15</v>
      </c>
      <c r="E679" s="12" t="s">
        <v>182</v>
      </c>
      <c r="F679" t="s">
        <v>187</v>
      </c>
      <c r="G679" t="s">
        <v>12</v>
      </c>
      <c r="H679" t="s">
        <v>72</v>
      </c>
      <c r="I679" t="s">
        <v>125</v>
      </c>
      <c r="J679" s="12">
        <v>1</v>
      </c>
      <c r="K679" t="s">
        <v>62</v>
      </c>
      <c r="L679" t="s">
        <v>13</v>
      </c>
      <c r="M679" t="s">
        <v>200</v>
      </c>
      <c r="O679" t="s">
        <v>197</v>
      </c>
      <c r="P679">
        <v>8</v>
      </c>
      <c r="Q679" t="s">
        <v>202</v>
      </c>
      <c r="R679" s="6">
        <v>0.48118622532848115</v>
      </c>
      <c r="S679" s="6">
        <v>10.790776633549212</v>
      </c>
      <c r="T679" s="6">
        <v>6.754345864998923</v>
      </c>
      <c r="U679" s="6">
        <v>60.156076964856823</v>
      </c>
      <c r="V679" s="6">
        <v>0.10139511673593336</v>
      </c>
      <c r="W679" s="6">
        <v>3.3958044346047216</v>
      </c>
      <c r="X679" s="6">
        <v>1.6033302295145062</v>
      </c>
      <c r="Y679" s="6">
        <v>15.730254322400754</v>
      </c>
    </row>
    <row r="680" spans="1:25" x14ac:dyDescent="0.25">
      <c r="A680" t="str">
        <f t="shared" si="10"/>
        <v>RTD Ice TeaFranceDecemberEUR (€)Fully-AutomatedOldCan1Medium-scaleMedium</v>
      </c>
      <c r="B680" t="s">
        <v>130</v>
      </c>
      <c r="C680" t="s">
        <v>130</v>
      </c>
      <c r="D680" t="s">
        <v>15</v>
      </c>
      <c r="E680" s="12" t="s">
        <v>182</v>
      </c>
      <c r="F680" t="s">
        <v>187</v>
      </c>
      <c r="G680" t="s">
        <v>12</v>
      </c>
      <c r="H680" t="s">
        <v>72</v>
      </c>
      <c r="I680" t="s">
        <v>125</v>
      </c>
      <c r="J680" s="12">
        <v>1</v>
      </c>
      <c r="K680" t="s">
        <v>62</v>
      </c>
      <c r="L680" t="s">
        <v>63</v>
      </c>
      <c r="M680" t="s">
        <v>200</v>
      </c>
      <c r="O680" t="s">
        <v>197</v>
      </c>
      <c r="P680">
        <v>8</v>
      </c>
      <c r="Q680" t="s">
        <v>202</v>
      </c>
      <c r="R680" s="6">
        <v>0.49951341503614233</v>
      </c>
      <c r="S680" s="6">
        <v>11.202244480878738</v>
      </c>
      <c r="T680" s="6">
        <v>7.0117221141665027</v>
      </c>
      <c r="U680" s="6">
        <v>62.448322911928379</v>
      </c>
      <c r="V680" s="6">
        <v>0.10511986093051667</v>
      </c>
      <c r="W680" s="6">
        <v>3.5195061142141086</v>
      </c>
      <c r="X680" s="6">
        <v>1.6615220375017621</v>
      </c>
      <c r="Y680" s="6">
        <v>16.301497101592659</v>
      </c>
    </row>
    <row r="681" spans="1:25" x14ac:dyDescent="0.25">
      <c r="A681" t="str">
        <f t="shared" si="10"/>
        <v>RTD Ice TeaFranceDecemberEUR (€)Fully-AutomatedOldCan1Medium-scaleHigh</v>
      </c>
      <c r="B681" t="s">
        <v>130</v>
      </c>
      <c r="C681" t="s">
        <v>130</v>
      </c>
      <c r="D681" t="s">
        <v>15</v>
      </c>
      <c r="E681" s="12" t="s">
        <v>182</v>
      </c>
      <c r="F681" t="s">
        <v>187</v>
      </c>
      <c r="G681" t="s">
        <v>12</v>
      </c>
      <c r="H681" t="s">
        <v>72</v>
      </c>
      <c r="I681" t="s">
        <v>125</v>
      </c>
      <c r="J681" s="12">
        <v>1</v>
      </c>
      <c r="K681" t="s">
        <v>62</v>
      </c>
      <c r="L681" t="s">
        <v>11</v>
      </c>
      <c r="M681" t="s">
        <v>200</v>
      </c>
      <c r="O681" t="s">
        <v>197</v>
      </c>
      <c r="P681">
        <v>8</v>
      </c>
      <c r="Q681" t="s">
        <v>202</v>
      </c>
      <c r="R681" s="6">
        <v>0.51930677992041618</v>
      </c>
      <c r="S681" s="6">
        <v>11.646629755994624</v>
      </c>
      <c r="T681" s="6">
        <v>7.2896884632674865</v>
      </c>
      <c r="U681" s="6">
        <v>64.923948534765628</v>
      </c>
      <c r="V681" s="6">
        <v>0.10914258466066662</v>
      </c>
      <c r="W681" s="6">
        <v>3.6531039281922446</v>
      </c>
      <c r="X681" s="6">
        <v>1.7243691901279983</v>
      </c>
      <c r="Y681" s="6">
        <v>16.918439303119914</v>
      </c>
    </row>
    <row r="682" spans="1:25" x14ac:dyDescent="0.25">
      <c r="A682" t="str">
        <f t="shared" si="10"/>
        <v>RTD Ice TeaFranceDecemberEUR (€)Fully-AutomatedOldCan1Small-scaleLow</v>
      </c>
      <c r="B682" t="s">
        <v>130</v>
      </c>
      <c r="C682" t="s">
        <v>130</v>
      </c>
      <c r="D682" t="s">
        <v>15</v>
      </c>
      <c r="E682" s="12" t="s">
        <v>182</v>
      </c>
      <c r="F682" t="s">
        <v>187</v>
      </c>
      <c r="G682" t="s">
        <v>12</v>
      </c>
      <c r="H682" t="s">
        <v>72</v>
      </c>
      <c r="I682" t="s">
        <v>125</v>
      </c>
      <c r="J682" s="12">
        <v>1</v>
      </c>
      <c r="K682" t="s">
        <v>60</v>
      </c>
      <c r="L682" t="s">
        <v>13</v>
      </c>
      <c r="M682" t="s">
        <v>200</v>
      </c>
      <c r="O682" t="s">
        <v>197</v>
      </c>
      <c r="P682">
        <v>8</v>
      </c>
      <c r="Q682" t="s">
        <v>202</v>
      </c>
      <c r="R682" s="6">
        <v>0.48274598963824539</v>
      </c>
      <c r="S682" s="6">
        <v>10.821647501209734</v>
      </c>
      <c r="T682" s="6">
        <v>6.7752003272128798</v>
      </c>
      <c r="U682" s="6">
        <v>60.341971078522313</v>
      </c>
      <c r="V682" s="6">
        <v>0.1027987362645529</v>
      </c>
      <c r="W682" s="6">
        <v>3.4487503647897619</v>
      </c>
      <c r="X682" s="6">
        <v>1.6284255689161327</v>
      </c>
      <c r="Y682" s="6">
        <v>15.976211784527667</v>
      </c>
    </row>
    <row r="683" spans="1:25" x14ac:dyDescent="0.25">
      <c r="A683" t="str">
        <f t="shared" si="10"/>
        <v>RTD Ice TeaFranceDecemberEUR (€)Fully-AutomatedOldCan1Small-scaleMedium</v>
      </c>
      <c r="B683" t="s">
        <v>130</v>
      </c>
      <c r="C683" t="s">
        <v>130</v>
      </c>
      <c r="D683" t="s">
        <v>15</v>
      </c>
      <c r="E683" s="12" t="s">
        <v>182</v>
      </c>
      <c r="F683" t="s">
        <v>187</v>
      </c>
      <c r="G683" t="s">
        <v>12</v>
      </c>
      <c r="H683" t="s">
        <v>72</v>
      </c>
      <c r="I683" t="s">
        <v>125</v>
      </c>
      <c r="J683" s="12">
        <v>1</v>
      </c>
      <c r="K683" t="s">
        <v>60</v>
      </c>
      <c r="L683" t="s">
        <v>63</v>
      </c>
      <c r="M683" t="s">
        <v>200</v>
      </c>
      <c r="O683" t="s">
        <v>197</v>
      </c>
      <c r="P683">
        <v>8</v>
      </c>
      <c r="Q683" t="s">
        <v>202</v>
      </c>
      <c r="R683" s="6">
        <v>0.50107317934590667</v>
      </c>
      <c r="S683" s="6">
        <v>11.233115348539258</v>
      </c>
      <c r="T683" s="6">
        <v>7.0325765763804586</v>
      </c>
      <c r="U683" s="6">
        <v>62.634217025593884</v>
      </c>
      <c r="V683" s="6">
        <v>0.10652348045913619</v>
      </c>
      <c r="W683" s="6">
        <v>3.5724520443991485</v>
      </c>
      <c r="X683" s="6">
        <v>1.6866173769033883</v>
      </c>
      <c r="Y683" s="6">
        <v>16.547454563719569</v>
      </c>
    </row>
    <row r="684" spans="1:25" x14ac:dyDescent="0.25">
      <c r="A684" t="str">
        <f t="shared" si="10"/>
        <v>RTD Ice TeaFranceDecemberEUR (€)Fully-AutomatedOldCan1Small-scaleHigh</v>
      </c>
      <c r="B684" t="s">
        <v>130</v>
      </c>
      <c r="C684" t="s">
        <v>130</v>
      </c>
      <c r="D684" t="s">
        <v>15</v>
      </c>
      <c r="E684" s="12" t="s">
        <v>182</v>
      </c>
      <c r="F684" t="s">
        <v>187</v>
      </c>
      <c r="G684" t="s">
        <v>12</v>
      </c>
      <c r="H684" t="s">
        <v>72</v>
      </c>
      <c r="I684" t="s">
        <v>125</v>
      </c>
      <c r="J684" s="12">
        <v>1</v>
      </c>
      <c r="K684" t="s">
        <v>60</v>
      </c>
      <c r="L684" t="s">
        <v>11</v>
      </c>
      <c r="M684" t="s">
        <v>200</v>
      </c>
      <c r="O684" t="s">
        <v>197</v>
      </c>
      <c r="P684">
        <v>8</v>
      </c>
      <c r="Q684" t="s">
        <v>202</v>
      </c>
      <c r="R684" s="6">
        <v>0.52086654423018053</v>
      </c>
      <c r="S684" s="6">
        <v>11.677500623655146</v>
      </c>
      <c r="T684" s="6">
        <v>7.3105429254814434</v>
      </c>
      <c r="U684" s="6">
        <v>65.10984264843114</v>
      </c>
      <c r="V684" s="6">
        <v>0.11054620418928614</v>
      </c>
      <c r="W684" s="6">
        <v>3.7060498583772845</v>
      </c>
      <c r="X684" s="6">
        <v>1.7494645295296247</v>
      </c>
      <c r="Y684" s="6">
        <v>17.164396765246828</v>
      </c>
    </row>
    <row r="685" spans="1:25" x14ac:dyDescent="0.25">
      <c r="A685" t="str">
        <f t="shared" si="10"/>
        <v>RTD Ice TeaFranceDecemberEUR (€)Fully-AutomatedOldCan1High-scaleLow</v>
      </c>
      <c r="B685" t="s">
        <v>130</v>
      </c>
      <c r="C685" t="s">
        <v>130</v>
      </c>
      <c r="D685" t="s">
        <v>15</v>
      </c>
      <c r="E685" s="12" t="s">
        <v>182</v>
      </c>
      <c r="F685" t="s">
        <v>187</v>
      </c>
      <c r="G685" t="s">
        <v>12</v>
      </c>
      <c r="H685" t="s">
        <v>72</v>
      </c>
      <c r="I685" t="s">
        <v>125</v>
      </c>
      <c r="J685" s="12">
        <v>1</v>
      </c>
      <c r="K685" t="s">
        <v>107</v>
      </c>
      <c r="L685" t="s">
        <v>13</v>
      </c>
      <c r="M685" t="s">
        <v>199</v>
      </c>
      <c r="O685" t="s">
        <v>197</v>
      </c>
      <c r="P685">
        <v>12</v>
      </c>
      <c r="Q685" t="s">
        <v>203</v>
      </c>
      <c r="R685" s="6">
        <v>0.48025036674262261</v>
      </c>
      <c r="S685" s="6">
        <v>10.772254112952902</v>
      </c>
      <c r="T685" s="6">
        <v>6.7418331876705491</v>
      </c>
      <c r="U685" s="6">
        <v>60.044540496657511</v>
      </c>
      <c r="V685" s="6">
        <v>9.3764153306120604E-2</v>
      </c>
      <c r="W685" s="6">
        <v>3.1828750441932439</v>
      </c>
      <c r="X685" s="6">
        <v>1.4930278333083813</v>
      </c>
      <c r="Y685" s="6">
        <v>14.66109979136187</v>
      </c>
    </row>
    <row r="686" spans="1:25" x14ac:dyDescent="0.25">
      <c r="A686" t="str">
        <f t="shared" si="10"/>
        <v>RTD Ice TeaFranceDecemberEUR (€)Fully-AutomatedOldCan1High-scaleMedium</v>
      </c>
      <c r="B686" t="s">
        <v>130</v>
      </c>
      <c r="C686" t="s">
        <v>130</v>
      </c>
      <c r="D686" t="s">
        <v>15</v>
      </c>
      <c r="E686" s="12" t="s">
        <v>182</v>
      </c>
      <c r="F686" t="s">
        <v>187</v>
      </c>
      <c r="G686" t="s">
        <v>12</v>
      </c>
      <c r="H686" t="s">
        <v>72</v>
      </c>
      <c r="I686" t="s">
        <v>125</v>
      </c>
      <c r="J686" s="12">
        <v>1</v>
      </c>
      <c r="K686" t="s">
        <v>107</v>
      </c>
      <c r="L686" t="s">
        <v>63</v>
      </c>
      <c r="M686" t="s">
        <v>199</v>
      </c>
      <c r="O686" t="s">
        <v>197</v>
      </c>
      <c r="P686">
        <v>12</v>
      </c>
      <c r="Q686" t="s">
        <v>203</v>
      </c>
      <c r="R686" s="6">
        <v>0.49857755645028368</v>
      </c>
      <c r="S686" s="6">
        <v>11.183721960282426</v>
      </c>
      <c r="T686" s="6">
        <v>6.9992094368381288</v>
      </c>
      <c r="U686" s="6">
        <v>62.336786443729054</v>
      </c>
      <c r="V686" s="6">
        <v>9.7227790127140779E-2</v>
      </c>
      <c r="W686" s="6">
        <v>3.2996089610218426</v>
      </c>
      <c r="X686" s="6">
        <v>1.5475563646585162</v>
      </c>
      <c r="Y686" s="6">
        <v>15.19689718387059</v>
      </c>
    </row>
    <row r="687" spans="1:25" x14ac:dyDescent="0.25">
      <c r="A687" t="str">
        <f t="shared" si="10"/>
        <v>RTD Ice TeaFranceDecemberEUR (€)Fully-AutomatedOldCan1High-scaleHigh</v>
      </c>
      <c r="B687" t="s">
        <v>130</v>
      </c>
      <c r="C687" t="s">
        <v>130</v>
      </c>
      <c r="D687" t="s">
        <v>15</v>
      </c>
      <c r="E687" s="12" t="s">
        <v>182</v>
      </c>
      <c r="F687" t="s">
        <v>187</v>
      </c>
      <c r="G687" t="s">
        <v>12</v>
      </c>
      <c r="H687" t="s">
        <v>72</v>
      </c>
      <c r="I687" t="s">
        <v>125</v>
      </c>
      <c r="J687" s="12">
        <v>1</v>
      </c>
      <c r="K687" t="s">
        <v>107</v>
      </c>
      <c r="L687" t="s">
        <v>11</v>
      </c>
      <c r="M687" t="s">
        <v>199</v>
      </c>
      <c r="O687" t="s">
        <v>197</v>
      </c>
      <c r="P687">
        <v>12</v>
      </c>
      <c r="Q687" t="s">
        <v>203</v>
      </c>
      <c r="R687" s="6">
        <v>0.51837092133455764</v>
      </c>
      <c r="S687" s="6">
        <v>11.628107235398311</v>
      </c>
      <c r="T687" s="6">
        <v>7.2771757859391144</v>
      </c>
      <c r="U687" s="6">
        <v>64.812412066566324</v>
      </c>
      <c r="V687" s="6">
        <v>0.10096851789384258</v>
      </c>
      <c r="W687" s="6">
        <v>3.4256815911967302</v>
      </c>
      <c r="X687" s="6">
        <v>1.6064471785166616</v>
      </c>
      <c r="Y687" s="6">
        <v>15.775558367780013</v>
      </c>
    </row>
    <row r="688" spans="1:25" x14ac:dyDescent="0.25">
      <c r="A688" t="str">
        <f t="shared" si="10"/>
        <v>RTD Ice TeaFranceDecemberEUR (€)Fully-AutomatedOldCan1Medium-scaleLow</v>
      </c>
      <c r="B688" t="s">
        <v>130</v>
      </c>
      <c r="C688" t="s">
        <v>130</v>
      </c>
      <c r="D688" t="s">
        <v>15</v>
      </c>
      <c r="E688" s="12" t="s">
        <v>182</v>
      </c>
      <c r="F688" t="s">
        <v>187</v>
      </c>
      <c r="G688" t="s">
        <v>12</v>
      </c>
      <c r="H688" t="s">
        <v>72</v>
      </c>
      <c r="I688" t="s">
        <v>125</v>
      </c>
      <c r="J688" s="12">
        <v>1</v>
      </c>
      <c r="K688" t="s">
        <v>62</v>
      </c>
      <c r="L688" t="s">
        <v>13</v>
      </c>
      <c r="M688" t="s">
        <v>199</v>
      </c>
      <c r="O688" t="s">
        <v>197</v>
      </c>
      <c r="P688">
        <v>12</v>
      </c>
      <c r="Q688" t="s">
        <v>203</v>
      </c>
      <c r="R688" s="6">
        <v>0.48118622532848115</v>
      </c>
      <c r="S688" s="6">
        <v>10.790776633549212</v>
      </c>
      <c r="T688" s="6">
        <v>6.754345864998923</v>
      </c>
      <c r="U688" s="6">
        <v>60.156076964856823</v>
      </c>
      <c r="V688" s="6">
        <v>9.4606325023292318E-2</v>
      </c>
      <c r="W688" s="6">
        <v>3.2146426023042678</v>
      </c>
      <c r="X688" s="6">
        <v>1.5080850369493572</v>
      </c>
      <c r="Y688" s="6">
        <v>14.808674268638015</v>
      </c>
    </row>
    <row r="689" spans="1:25" x14ac:dyDescent="0.25">
      <c r="A689" t="str">
        <f t="shared" si="10"/>
        <v>RTD Ice TeaFranceDecemberEUR (€)Fully-AutomatedOldCan1Medium-scaleMedium</v>
      </c>
      <c r="B689" t="s">
        <v>130</v>
      </c>
      <c r="C689" t="s">
        <v>130</v>
      </c>
      <c r="D689" t="s">
        <v>15</v>
      </c>
      <c r="E689" s="12" t="s">
        <v>182</v>
      </c>
      <c r="F689" t="s">
        <v>187</v>
      </c>
      <c r="G689" t="s">
        <v>12</v>
      </c>
      <c r="H689" t="s">
        <v>72</v>
      </c>
      <c r="I689" t="s">
        <v>125</v>
      </c>
      <c r="J689" s="12">
        <v>1</v>
      </c>
      <c r="K689" t="s">
        <v>62</v>
      </c>
      <c r="L689" t="s">
        <v>63</v>
      </c>
      <c r="M689" t="s">
        <v>199</v>
      </c>
      <c r="O689" t="s">
        <v>197</v>
      </c>
      <c r="P689">
        <v>12</v>
      </c>
      <c r="Q689" t="s">
        <v>203</v>
      </c>
      <c r="R689" s="6">
        <v>0.49951341503614233</v>
      </c>
      <c r="S689" s="6">
        <v>11.202244480878738</v>
      </c>
      <c r="T689" s="6">
        <v>7.0117221141665027</v>
      </c>
      <c r="U689" s="6">
        <v>62.448322911928379</v>
      </c>
      <c r="V689" s="6">
        <v>9.8069961844312506E-2</v>
      </c>
      <c r="W689" s="6">
        <v>3.3313765191328675</v>
      </c>
      <c r="X689" s="6">
        <v>1.5626135682994919</v>
      </c>
      <c r="Y689" s="6">
        <v>15.344471661146738</v>
      </c>
    </row>
    <row r="690" spans="1:25" x14ac:dyDescent="0.25">
      <c r="A690" t="str">
        <f t="shared" si="10"/>
        <v>RTD Ice TeaFranceDecemberEUR (€)Fully-AutomatedOldCan1Medium-scaleHigh</v>
      </c>
      <c r="B690" t="s">
        <v>130</v>
      </c>
      <c r="C690" t="s">
        <v>130</v>
      </c>
      <c r="D690" t="s">
        <v>15</v>
      </c>
      <c r="E690" s="12" t="s">
        <v>182</v>
      </c>
      <c r="F690" t="s">
        <v>187</v>
      </c>
      <c r="G690" t="s">
        <v>12</v>
      </c>
      <c r="H690" t="s">
        <v>72</v>
      </c>
      <c r="I690" t="s">
        <v>125</v>
      </c>
      <c r="J690" s="12">
        <v>1</v>
      </c>
      <c r="K690" t="s">
        <v>62</v>
      </c>
      <c r="L690" t="s">
        <v>11</v>
      </c>
      <c r="M690" t="s">
        <v>199</v>
      </c>
      <c r="O690" t="s">
        <v>197</v>
      </c>
      <c r="P690">
        <v>12</v>
      </c>
      <c r="Q690" t="s">
        <v>203</v>
      </c>
      <c r="R690" s="6">
        <v>0.51930677992041618</v>
      </c>
      <c r="S690" s="6">
        <v>11.646629755994624</v>
      </c>
      <c r="T690" s="6">
        <v>7.2896884632674865</v>
      </c>
      <c r="U690" s="6">
        <v>64.923948534765628</v>
      </c>
      <c r="V690" s="6">
        <v>0.10181068961101429</v>
      </c>
      <c r="W690" s="6">
        <v>3.4574491493077533</v>
      </c>
      <c r="X690" s="6">
        <v>1.6215043821576371</v>
      </c>
      <c r="Y690" s="6">
        <v>15.923132845056156</v>
      </c>
    </row>
    <row r="691" spans="1:25" x14ac:dyDescent="0.25">
      <c r="A691" t="str">
        <f t="shared" si="10"/>
        <v>RTD Ice TeaFranceDecemberEUR (€)Fully-AutomatedOldCan1Small-scaleLow</v>
      </c>
      <c r="B691" t="s">
        <v>130</v>
      </c>
      <c r="C691" t="s">
        <v>130</v>
      </c>
      <c r="D691" t="s">
        <v>15</v>
      </c>
      <c r="E691" s="12" t="s">
        <v>182</v>
      </c>
      <c r="F691" t="s">
        <v>187</v>
      </c>
      <c r="G691" t="s">
        <v>12</v>
      </c>
      <c r="H691" t="s">
        <v>72</v>
      </c>
      <c r="I691" t="s">
        <v>125</v>
      </c>
      <c r="J691" s="12">
        <v>1</v>
      </c>
      <c r="K691" t="s">
        <v>60</v>
      </c>
      <c r="L691" t="s">
        <v>13</v>
      </c>
      <c r="M691" t="s">
        <v>199</v>
      </c>
      <c r="O691" t="s">
        <v>197</v>
      </c>
      <c r="P691">
        <v>12</v>
      </c>
      <c r="Q691" t="s">
        <v>203</v>
      </c>
      <c r="R691" s="6">
        <v>0.48274598963824539</v>
      </c>
      <c r="S691" s="6">
        <v>10.821647501209734</v>
      </c>
      <c r="T691" s="6">
        <v>6.7752003272128798</v>
      </c>
      <c r="U691" s="6">
        <v>60.341971078522313</v>
      </c>
      <c r="V691" s="6">
        <v>9.6009944551911849E-2</v>
      </c>
      <c r="W691" s="6">
        <v>3.2675885324893073</v>
      </c>
      <c r="X691" s="6">
        <v>1.5331803763509835</v>
      </c>
      <c r="Y691" s="6">
        <v>15.054631730764923</v>
      </c>
    </row>
    <row r="692" spans="1:25" x14ac:dyDescent="0.25">
      <c r="A692" t="str">
        <f t="shared" si="10"/>
        <v>RTD Ice TeaFranceDecemberEUR (€)Fully-AutomatedOldCan1Small-scaleMedium</v>
      </c>
      <c r="B692" t="s">
        <v>130</v>
      </c>
      <c r="C692" t="s">
        <v>130</v>
      </c>
      <c r="D692" t="s">
        <v>15</v>
      </c>
      <c r="E692" s="12" t="s">
        <v>182</v>
      </c>
      <c r="F692" t="s">
        <v>187</v>
      </c>
      <c r="G692" t="s">
        <v>12</v>
      </c>
      <c r="H692" t="s">
        <v>72</v>
      </c>
      <c r="I692" t="s">
        <v>125</v>
      </c>
      <c r="J692" s="12">
        <v>1</v>
      </c>
      <c r="K692" t="s">
        <v>60</v>
      </c>
      <c r="L692" t="s">
        <v>63</v>
      </c>
      <c r="M692" t="s">
        <v>199</v>
      </c>
      <c r="O692" t="s">
        <v>197</v>
      </c>
      <c r="P692">
        <v>12</v>
      </c>
      <c r="Q692" t="s">
        <v>203</v>
      </c>
      <c r="R692" s="6">
        <v>0.50107317934590667</v>
      </c>
      <c r="S692" s="6">
        <v>11.233115348539258</v>
      </c>
      <c r="T692" s="6">
        <v>7.0325765763804586</v>
      </c>
      <c r="U692" s="6">
        <v>62.634217025593884</v>
      </c>
      <c r="V692" s="6">
        <v>9.9473581372932038E-2</v>
      </c>
      <c r="W692" s="6">
        <v>3.3843224493179074</v>
      </c>
      <c r="X692" s="6">
        <v>1.5877089077011182</v>
      </c>
      <c r="Y692" s="6">
        <v>15.590429123273644</v>
      </c>
    </row>
    <row r="693" spans="1:25" x14ac:dyDescent="0.25">
      <c r="A693" t="str">
        <f t="shared" si="10"/>
        <v>RTD Ice TeaFranceDecemberEUR (€)Fully-AutomatedOldCan1Small-scaleHigh</v>
      </c>
      <c r="B693" t="s">
        <v>130</v>
      </c>
      <c r="C693" t="s">
        <v>130</v>
      </c>
      <c r="D693" t="s">
        <v>15</v>
      </c>
      <c r="E693" s="12" t="s">
        <v>182</v>
      </c>
      <c r="F693" t="s">
        <v>187</v>
      </c>
      <c r="G693" t="s">
        <v>12</v>
      </c>
      <c r="H693" t="s">
        <v>72</v>
      </c>
      <c r="I693" t="s">
        <v>125</v>
      </c>
      <c r="J693" s="12">
        <v>1</v>
      </c>
      <c r="K693" t="s">
        <v>60</v>
      </c>
      <c r="L693" t="s">
        <v>11</v>
      </c>
      <c r="M693" t="s">
        <v>199</v>
      </c>
      <c r="O693" t="s">
        <v>197</v>
      </c>
      <c r="P693">
        <v>12</v>
      </c>
      <c r="Q693" t="s">
        <v>203</v>
      </c>
      <c r="R693" s="6">
        <v>0.52086654423018053</v>
      </c>
      <c r="S693" s="6">
        <v>11.677500623655146</v>
      </c>
      <c r="T693" s="6">
        <v>7.3105429254814434</v>
      </c>
      <c r="U693" s="6">
        <v>65.10984264843114</v>
      </c>
      <c r="V693" s="6">
        <v>0.10321430913963382</v>
      </c>
      <c r="W693" s="6">
        <v>3.5103950794927932</v>
      </c>
      <c r="X693" s="6">
        <v>1.6465997215592636</v>
      </c>
      <c r="Y693" s="6">
        <v>16.169090307183062</v>
      </c>
    </row>
    <row r="694" spans="1:25" x14ac:dyDescent="0.25">
      <c r="A694" t="str">
        <f t="shared" si="10"/>
        <v>RTD Ice TeaFranceDecemberEUR (€)Fully-AutomatedOldCan1High-scaleLow</v>
      </c>
      <c r="B694" t="s">
        <v>130</v>
      </c>
      <c r="C694" t="s">
        <v>130</v>
      </c>
      <c r="D694" t="s">
        <v>15</v>
      </c>
      <c r="E694" s="12" t="s">
        <v>182</v>
      </c>
      <c r="F694" t="s">
        <v>187</v>
      </c>
      <c r="G694" t="s">
        <v>12</v>
      </c>
      <c r="H694" t="s">
        <v>72</v>
      </c>
      <c r="I694" t="s">
        <v>125</v>
      </c>
      <c r="J694" s="12">
        <v>1</v>
      </c>
      <c r="K694" t="s">
        <v>107</v>
      </c>
      <c r="L694" t="s">
        <v>13</v>
      </c>
      <c r="M694" t="s">
        <v>200</v>
      </c>
      <c r="O694" t="s">
        <v>197</v>
      </c>
      <c r="P694">
        <v>12</v>
      </c>
      <c r="Q694" t="s">
        <v>203</v>
      </c>
      <c r="R694" s="6">
        <v>0.48025036674262261</v>
      </c>
      <c r="S694" s="6">
        <v>10.772254112952902</v>
      </c>
      <c r="T694" s="6">
        <v>6.7418331876705491</v>
      </c>
      <c r="U694" s="6">
        <v>60.044540496657511</v>
      </c>
      <c r="V694" s="6">
        <v>9.3764153306120604E-2</v>
      </c>
      <c r="W694" s="6">
        <v>3.1828750441932439</v>
      </c>
      <c r="X694" s="6">
        <v>1.4930278333083813</v>
      </c>
      <c r="Y694" s="6">
        <v>14.66109979136187</v>
      </c>
    </row>
    <row r="695" spans="1:25" x14ac:dyDescent="0.25">
      <c r="A695" t="str">
        <f t="shared" si="10"/>
        <v>RTD Ice TeaFranceDecemberEUR (€)Fully-AutomatedOldCan1High-scaleMedium</v>
      </c>
      <c r="B695" t="s">
        <v>130</v>
      </c>
      <c r="C695" t="s">
        <v>130</v>
      </c>
      <c r="D695" t="s">
        <v>15</v>
      </c>
      <c r="E695" s="12" t="s">
        <v>182</v>
      </c>
      <c r="F695" t="s">
        <v>187</v>
      </c>
      <c r="G695" t="s">
        <v>12</v>
      </c>
      <c r="H695" t="s">
        <v>72</v>
      </c>
      <c r="I695" t="s">
        <v>125</v>
      </c>
      <c r="J695" s="12">
        <v>1</v>
      </c>
      <c r="K695" t="s">
        <v>107</v>
      </c>
      <c r="L695" t="s">
        <v>63</v>
      </c>
      <c r="M695" t="s">
        <v>200</v>
      </c>
      <c r="O695" t="s">
        <v>197</v>
      </c>
      <c r="P695">
        <v>12</v>
      </c>
      <c r="Q695" t="s">
        <v>203</v>
      </c>
      <c r="R695" s="6">
        <v>0.49857755645028368</v>
      </c>
      <c r="S695" s="6">
        <v>11.183721960282426</v>
      </c>
      <c r="T695" s="6">
        <v>6.9992094368381288</v>
      </c>
      <c r="U695" s="6">
        <v>62.336786443729054</v>
      </c>
      <c r="V695" s="6">
        <v>9.7227790127140779E-2</v>
      </c>
      <c r="W695" s="6">
        <v>3.2996089610218426</v>
      </c>
      <c r="X695" s="6">
        <v>1.5475563646585162</v>
      </c>
      <c r="Y695" s="6">
        <v>15.19689718387059</v>
      </c>
    </row>
    <row r="696" spans="1:25" x14ac:dyDescent="0.25">
      <c r="A696" t="str">
        <f t="shared" si="10"/>
        <v>RTD Ice TeaFranceDecemberEUR (€)Fully-AutomatedOldCan1High-scaleHigh</v>
      </c>
      <c r="B696" t="s">
        <v>130</v>
      </c>
      <c r="C696" t="s">
        <v>130</v>
      </c>
      <c r="D696" t="s">
        <v>15</v>
      </c>
      <c r="E696" s="12" t="s">
        <v>182</v>
      </c>
      <c r="F696" t="s">
        <v>187</v>
      </c>
      <c r="G696" t="s">
        <v>12</v>
      </c>
      <c r="H696" t="s">
        <v>72</v>
      </c>
      <c r="I696" t="s">
        <v>125</v>
      </c>
      <c r="J696" s="12">
        <v>1</v>
      </c>
      <c r="K696" t="s">
        <v>107</v>
      </c>
      <c r="L696" t="s">
        <v>11</v>
      </c>
      <c r="M696" t="s">
        <v>200</v>
      </c>
      <c r="O696" t="s">
        <v>197</v>
      </c>
      <c r="P696">
        <v>12</v>
      </c>
      <c r="Q696" t="s">
        <v>203</v>
      </c>
      <c r="R696" s="6">
        <v>0.51837092133455764</v>
      </c>
      <c r="S696" s="6">
        <v>11.628107235398311</v>
      </c>
      <c r="T696" s="6">
        <v>7.2771757859391144</v>
      </c>
      <c r="U696" s="6">
        <v>64.812412066566324</v>
      </c>
      <c r="V696" s="6">
        <v>0.10096851789384258</v>
      </c>
      <c r="W696" s="6">
        <v>3.4256815911967302</v>
      </c>
      <c r="X696" s="6">
        <v>1.6064471785166616</v>
      </c>
      <c r="Y696" s="6">
        <v>15.775558367780013</v>
      </c>
    </row>
    <row r="697" spans="1:25" x14ac:dyDescent="0.25">
      <c r="A697" t="str">
        <f t="shared" si="10"/>
        <v>RTD Ice TeaFranceDecemberEUR (€)Fully-AutomatedOldCan1Medium-scaleLow</v>
      </c>
      <c r="B697" t="s">
        <v>130</v>
      </c>
      <c r="C697" t="s">
        <v>130</v>
      </c>
      <c r="D697" t="s">
        <v>15</v>
      </c>
      <c r="E697" s="12" t="s">
        <v>182</v>
      </c>
      <c r="F697" t="s">
        <v>187</v>
      </c>
      <c r="G697" t="s">
        <v>12</v>
      </c>
      <c r="H697" t="s">
        <v>72</v>
      </c>
      <c r="I697" t="s">
        <v>125</v>
      </c>
      <c r="J697" s="12">
        <v>1</v>
      </c>
      <c r="K697" t="s">
        <v>62</v>
      </c>
      <c r="L697" t="s">
        <v>13</v>
      </c>
      <c r="M697" t="s">
        <v>200</v>
      </c>
      <c r="O697" t="s">
        <v>197</v>
      </c>
      <c r="P697">
        <v>12</v>
      </c>
      <c r="Q697" t="s">
        <v>203</v>
      </c>
      <c r="R697" s="6">
        <v>0.48118622532848115</v>
      </c>
      <c r="S697" s="6">
        <v>10.790776633549212</v>
      </c>
      <c r="T697" s="6">
        <v>6.754345864998923</v>
      </c>
      <c r="U697" s="6">
        <v>60.156076964856823</v>
      </c>
      <c r="V697" s="6">
        <v>9.4606325023292318E-2</v>
      </c>
      <c r="W697" s="6">
        <v>3.2146426023042678</v>
      </c>
      <c r="X697" s="6">
        <v>1.5080850369493572</v>
      </c>
      <c r="Y697" s="6">
        <v>14.808674268638015</v>
      </c>
    </row>
    <row r="698" spans="1:25" x14ac:dyDescent="0.25">
      <c r="A698" t="str">
        <f t="shared" si="10"/>
        <v>RTD Ice TeaFranceDecemberEUR (€)Fully-AutomatedOldCan1Medium-scaleMedium</v>
      </c>
      <c r="B698" t="s">
        <v>130</v>
      </c>
      <c r="C698" t="s">
        <v>130</v>
      </c>
      <c r="D698" t="s">
        <v>15</v>
      </c>
      <c r="E698" s="12" t="s">
        <v>182</v>
      </c>
      <c r="F698" t="s">
        <v>187</v>
      </c>
      <c r="G698" t="s">
        <v>12</v>
      </c>
      <c r="H698" t="s">
        <v>72</v>
      </c>
      <c r="I698" t="s">
        <v>125</v>
      </c>
      <c r="J698" s="12">
        <v>1</v>
      </c>
      <c r="K698" t="s">
        <v>62</v>
      </c>
      <c r="L698" t="s">
        <v>63</v>
      </c>
      <c r="M698" t="s">
        <v>200</v>
      </c>
      <c r="O698" t="s">
        <v>197</v>
      </c>
      <c r="P698">
        <v>12</v>
      </c>
      <c r="Q698" t="s">
        <v>203</v>
      </c>
      <c r="R698" s="6">
        <v>0.49951341503614233</v>
      </c>
      <c r="S698" s="6">
        <v>11.202244480878738</v>
      </c>
      <c r="T698" s="6">
        <v>7.0117221141665027</v>
      </c>
      <c r="U698" s="6">
        <v>62.448322911928379</v>
      </c>
      <c r="V698" s="6">
        <v>9.8069961844312506E-2</v>
      </c>
      <c r="W698" s="6">
        <v>3.3313765191328675</v>
      </c>
      <c r="X698" s="6">
        <v>1.5626135682994919</v>
      </c>
      <c r="Y698" s="6">
        <v>15.344471661146738</v>
      </c>
    </row>
    <row r="699" spans="1:25" x14ac:dyDescent="0.25">
      <c r="A699" t="str">
        <f t="shared" si="10"/>
        <v>RTD Ice TeaFranceDecemberEUR (€)Fully-AutomatedOldCan1Medium-scaleHigh</v>
      </c>
      <c r="B699" t="s">
        <v>130</v>
      </c>
      <c r="C699" t="s">
        <v>130</v>
      </c>
      <c r="D699" t="s">
        <v>15</v>
      </c>
      <c r="E699" s="12" t="s">
        <v>182</v>
      </c>
      <c r="F699" t="s">
        <v>187</v>
      </c>
      <c r="G699" t="s">
        <v>12</v>
      </c>
      <c r="H699" t="s">
        <v>72</v>
      </c>
      <c r="I699" t="s">
        <v>125</v>
      </c>
      <c r="J699" s="12">
        <v>1</v>
      </c>
      <c r="K699" t="s">
        <v>62</v>
      </c>
      <c r="L699" t="s">
        <v>11</v>
      </c>
      <c r="M699" t="s">
        <v>200</v>
      </c>
      <c r="O699" t="s">
        <v>197</v>
      </c>
      <c r="P699">
        <v>12</v>
      </c>
      <c r="Q699" t="s">
        <v>203</v>
      </c>
      <c r="R699" s="6">
        <v>0.51930677992041618</v>
      </c>
      <c r="S699" s="6">
        <v>11.646629755994624</v>
      </c>
      <c r="T699" s="6">
        <v>7.2896884632674865</v>
      </c>
      <c r="U699" s="6">
        <v>64.923948534765628</v>
      </c>
      <c r="V699" s="6">
        <v>0.10181068961101429</v>
      </c>
      <c r="W699" s="6">
        <v>3.4574491493077533</v>
      </c>
      <c r="X699" s="6">
        <v>1.6215043821576371</v>
      </c>
      <c r="Y699" s="6">
        <v>15.923132845056156</v>
      </c>
    </row>
    <row r="700" spans="1:25" x14ac:dyDescent="0.25">
      <c r="A700" t="str">
        <f t="shared" si="10"/>
        <v>RTD Ice TeaFranceDecemberEUR (€)Fully-AutomatedOldCan1Small-scaleLow</v>
      </c>
      <c r="B700" t="s">
        <v>130</v>
      </c>
      <c r="C700" t="s">
        <v>130</v>
      </c>
      <c r="D700" t="s">
        <v>15</v>
      </c>
      <c r="E700" s="12" t="s">
        <v>182</v>
      </c>
      <c r="F700" t="s">
        <v>187</v>
      </c>
      <c r="G700" t="s">
        <v>12</v>
      </c>
      <c r="H700" t="s">
        <v>72</v>
      </c>
      <c r="I700" t="s">
        <v>125</v>
      </c>
      <c r="J700" s="12">
        <v>1</v>
      </c>
      <c r="K700" t="s">
        <v>60</v>
      </c>
      <c r="L700" t="s">
        <v>13</v>
      </c>
      <c r="M700" t="s">
        <v>200</v>
      </c>
      <c r="O700" t="s">
        <v>197</v>
      </c>
      <c r="P700">
        <v>12</v>
      </c>
      <c r="Q700" t="s">
        <v>203</v>
      </c>
      <c r="R700" s="6">
        <v>0.48274598963824539</v>
      </c>
      <c r="S700" s="6">
        <v>10.821647501209734</v>
      </c>
      <c r="T700" s="6">
        <v>6.7752003272128798</v>
      </c>
      <c r="U700" s="6">
        <v>60.341971078522313</v>
      </c>
      <c r="V700" s="6">
        <v>9.6009944551911849E-2</v>
      </c>
      <c r="W700" s="6">
        <v>3.2675885324893073</v>
      </c>
      <c r="X700" s="6">
        <v>1.5331803763509835</v>
      </c>
      <c r="Y700" s="6">
        <v>15.054631730764923</v>
      </c>
    </row>
    <row r="701" spans="1:25" x14ac:dyDescent="0.25">
      <c r="A701" t="str">
        <f t="shared" si="10"/>
        <v>RTD Ice TeaFranceDecemberEUR (€)Fully-AutomatedOldCan1Small-scaleMedium</v>
      </c>
      <c r="B701" t="s">
        <v>130</v>
      </c>
      <c r="C701" t="s">
        <v>130</v>
      </c>
      <c r="D701" t="s">
        <v>15</v>
      </c>
      <c r="E701" s="12" t="s">
        <v>182</v>
      </c>
      <c r="F701" t="s">
        <v>187</v>
      </c>
      <c r="G701" t="s">
        <v>12</v>
      </c>
      <c r="H701" t="s">
        <v>72</v>
      </c>
      <c r="I701" t="s">
        <v>125</v>
      </c>
      <c r="J701" s="12">
        <v>1</v>
      </c>
      <c r="K701" t="s">
        <v>60</v>
      </c>
      <c r="L701" t="s">
        <v>63</v>
      </c>
      <c r="M701" t="s">
        <v>200</v>
      </c>
      <c r="O701" t="s">
        <v>197</v>
      </c>
      <c r="P701">
        <v>12</v>
      </c>
      <c r="Q701" t="s">
        <v>203</v>
      </c>
      <c r="R701" s="6">
        <v>0.50107317934590667</v>
      </c>
      <c r="S701" s="6">
        <v>11.233115348539258</v>
      </c>
      <c r="T701" s="6">
        <v>7.0325765763804586</v>
      </c>
      <c r="U701" s="6">
        <v>62.634217025593884</v>
      </c>
      <c r="V701" s="6">
        <v>9.9473581372932038E-2</v>
      </c>
      <c r="W701" s="6">
        <v>3.3843224493179074</v>
      </c>
      <c r="X701" s="6">
        <v>1.5877089077011182</v>
      </c>
      <c r="Y701" s="6">
        <v>15.590429123273644</v>
      </c>
    </row>
    <row r="702" spans="1:25" x14ac:dyDescent="0.25">
      <c r="A702" t="str">
        <f t="shared" si="10"/>
        <v>RTD Ice TeaFranceDecemberEUR (€)Fully-AutomatedOldCan1Small-scaleHigh</v>
      </c>
      <c r="B702" t="s">
        <v>130</v>
      </c>
      <c r="C702" t="s">
        <v>130</v>
      </c>
      <c r="D702" t="s">
        <v>15</v>
      </c>
      <c r="E702" s="12" t="s">
        <v>182</v>
      </c>
      <c r="F702" t="s">
        <v>187</v>
      </c>
      <c r="G702" t="s">
        <v>12</v>
      </c>
      <c r="H702" t="s">
        <v>72</v>
      </c>
      <c r="I702" t="s">
        <v>125</v>
      </c>
      <c r="J702" s="12">
        <v>1</v>
      </c>
      <c r="K702" t="s">
        <v>60</v>
      </c>
      <c r="L702" t="s">
        <v>11</v>
      </c>
      <c r="M702" t="s">
        <v>200</v>
      </c>
      <c r="O702" t="s">
        <v>197</v>
      </c>
      <c r="P702">
        <v>12</v>
      </c>
      <c r="Q702" t="s">
        <v>203</v>
      </c>
      <c r="R702" s="6">
        <v>0.52086654423018053</v>
      </c>
      <c r="S702" s="6">
        <v>11.677500623655146</v>
      </c>
      <c r="T702" s="6">
        <v>7.3105429254814434</v>
      </c>
      <c r="U702" s="6">
        <v>65.10984264843114</v>
      </c>
      <c r="V702" s="6">
        <v>0.10321430913963382</v>
      </c>
      <c r="W702" s="6">
        <v>3.5103950794927932</v>
      </c>
      <c r="X702" s="6">
        <v>1.6465997215592636</v>
      </c>
      <c r="Y702" s="6">
        <v>16.169090307183062</v>
      </c>
    </row>
    <row r="703" spans="1:25" x14ac:dyDescent="0.25">
      <c r="A703" t="str">
        <f t="shared" si="10"/>
        <v>RTD Ice TeaFranceDecemberEUR (€)Fully-AutomatedOldCan1High-scaleLow</v>
      </c>
      <c r="B703" t="s">
        <v>130</v>
      </c>
      <c r="C703" t="s">
        <v>130</v>
      </c>
      <c r="D703" t="s">
        <v>15</v>
      </c>
      <c r="E703" s="12" t="s">
        <v>182</v>
      </c>
      <c r="F703" t="s">
        <v>187</v>
      </c>
      <c r="G703" t="s">
        <v>12</v>
      </c>
      <c r="H703" t="s">
        <v>72</v>
      </c>
      <c r="I703" t="s">
        <v>125</v>
      </c>
      <c r="J703" s="12">
        <v>1</v>
      </c>
      <c r="K703" t="s">
        <v>107</v>
      </c>
      <c r="L703" t="s">
        <v>13</v>
      </c>
      <c r="M703" t="s">
        <v>199</v>
      </c>
      <c r="O703" t="s">
        <v>197</v>
      </c>
      <c r="P703">
        <v>24</v>
      </c>
      <c r="Q703" t="s">
        <v>204</v>
      </c>
      <c r="R703" s="6">
        <v>0.48025036674262261</v>
      </c>
      <c r="S703" s="6">
        <v>10.772254112952902</v>
      </c>
      <c r="T703" s="6">
        <v>6.7418331876705491</v>
      </c>
      <c r="U703" s="6">
        <v>60.044540496657511</v>
      </c>
      <c r="V703" s="6">
        <v>6.9607575263147745E-2</v>
      </c>
      <c r="W703" s="6">
        <v>2.5044184917031811</v>
      </c>
      <c r="X703" s="6">
        <v>1.1242207919587135</v>
      </c>
      <c r="Y703" s="6">
        <v>11.108929230690308</v>
      </c>
    </row>
    <row r="704" spans="1:25" x14ac:dyDescent="0.25">
      <c r="A704" t="str">
        <f t="shared" si="10"/>
        <v>RTD Ice TeaFranceDecemberEUR (€)Fully-AutomatedOldCan1High-scaleMedium</v>
      </c>
      <c r="B704" t="s">
        <v>130</v>
      </c>
      <c r="C704" t="s">
        <v>130</v>
      </c>
      <c r="D704" t="s">
        <v>15</v>
      </c>
      <c r="E704" s="12" t="s">
        <v>182</v>
      </c>
      <c r="F704" t="s">
        <v>187</v>
      </c>
      <c r="G704" t="s">
        <v>12</v>
      </c>
      <c r="H704" t="s">
        <v>72</v>
      </c>
      <c r="I704" t="s">
        <v>125</v>
      </c>
      <c r="J704" s="12">
        <v>1</v>
      </c>
      <c r="K704" t="s">
        <v>107</v>
      </c>
      <c r="L704" t="s">
        <v>63</v>
      </c>
      <c r="M704" t="s">
        <v>199</v>
      </c>
      <c r="O704" t="s">
        <v>197</v>
      </c>
      <c r="P704">
        <v>24</v>
      </c>
      <c r="Q704" t="s">
        <v>204</v>
      </c>
      <c r="R704" s="6">
        <v>0.49857755645028368</v>
      </c>
      <c r="S704" s="6">
        <v>11.183721960282426</v>
      </c>
      <c r="T704" s="6">
        <v>6.9992094368381288</v>
      </c>
      <c r="U704" s="6">
        <v>62.336786443729054</v>
      </c>
      <c r="V704" s="6">
        <v>7.2175135461691492E-2</v>
      </c>
      <c r="W704" s="6">
        <v>2.5959391462675869</v>
      </c>
      <c r="X704" s="6">
        <v>1.1650277356766605</v>
      </c>
      <c r="Y704" s="6">
        <v>11.512587495095197</v>
      </c>
    </row>
    <row r="705" spans="1:25" x14ac:dyDescent="0.25">
      <c r="A705" t="str">
        <f t="shared" si="10"/>
        <v>RTD Ice TeaFranceDecemberEUR (€)Fully-AutomatedOldCan1High-scaleHigh</v>
      </c>
      <c r="B705" t="s">
        <v>130</v>
      </c>
      <c r="C705" t="s">
        <v>130</v>
      </c>
      <c r="D705" t="s">
        <v>15</v>
      </c>
      <c r="E705" s="12" t="s">
        <v>182</v>
      </c>
      <c r="F705" t="s">
        <v>187</v>
      </c>
      <c r="G705" t="s">
        <v>12</v>
      </c>
      <c r="H705" t="s">
        <v>72</v>
      </c>
      <c r="I705" t="s">
        <v>125</v>
      </c>
      <c r="J705" s="12">
        <v>1</v>
      </c>
      <c r="K705" t="s">
        <v>107</v>
      </c>
      <c r="L705" t="s">
        <v>11</v>
      </c>
      <c r="M705" t="s">
        <v>199</v>
      </c>
      <c r="O705" t="s">
        <v>197</v>
      </c>
      <c r="P705">
        <v>24</v>
      </c>
      <c r="Q705" t="s">
        <v>204</v>
      </c>
      <c r="R705" s="6">
        <v>0.51837092133455764</v>
      </c>
      <c r="S705" s="6">
        <v>11.628107235398311</v>
      </c>
      <c r="T705" s="6">
        <v>7.2771757859391144</v>
      </c>
      <c r="U705" s="6">
        <v>64.812412066566324</v>
      </c>
      <c r="V705" s="6">
        <v>7.4948100476118773E-2</v>
      </c>
      <c r="W705" s="6">
        <v>2.6947814531971446</v>
      </c>
      <c r="X705" s="6">
        <v>1.2090992348920431</v>
      </c>
      <c r="Y705" s="6">
        <v>11.948538420652479</v>
      </c>
    </row>
    <row r="706" spans="1:25" x14ac:dyDescent="0.25">
      <c r="A706" t="str">
        <f t="shared" ref="A706:A769" si="11">C706&amp;D706&amp;E706&amp;F706&amp;G706&amp;H706&amp;I706&amp;J706&amp;K706&amp;L706</f>
        <v>RTD Ice TeaFranceDecemberEUR (€)Fully-AutomatedOldCan1Medium-scaleLow</v>
      </c>
      <c r="B706" t="s">
        <v>130</v>
      </c>
      <c r="C706" t="s">
        <v>130</v>
      </c>
      <c r="D706" t="s">
        <v>15</v>
      </c>
      <c r="E706" s="12" t="s">
        <v>182</v>
      </c>
      <c r="F706" t="s">
        <v>187</v>
      </c>
      <c r="G706" t="s">
        <v>12</v>
      </c>
      <c r="H706" t="s">
        <v>72</v>
      </c>
      <c r="I706" t="s">
        <v>125</v>
      </c>
      <c r="J706" s="12">
        <v>1</v>
      </c>
      <c r="K706" t="s">
        <v>62</v>
      </c>
      <c r="L706" t="s">
        <v>13</v>
      </c>
      <c r="M706" t="s">
        <v>199</v>
      </c>
      <c r="O706" t="s">
        <v>197</v>
      </c>
      <c r="P706">
        <v>24</v>
      </c>
      <c r="Q706" t="s">
        <v>204</v>
      </c>
      <c r="R706" s="6">
        <v>0.48118622532848115</v>
      </c>
      <c r="S706" s="6">
        <v>10.790776633549212</v>
      </c>
      <c r="T706" s="6">
        <v>6.754345864998923</v>
      </c>
      <c r="U706" s="6">
        <v>60.156076964856823</v>
      </c>
      <c r="V706" s="6">
        <v>7.0235100515672999E-2</v>
      </c>
      <c r="W706" s="6">
        <v>2.5304581164089481</v>
      </c>
      <c r="X706" s="6">
        <v>1.1362665548714943</v>
      </c>
      <c r="Y706" s="6">
        <v>11.227365400473449</v>
      </c>
    </row>
    <row r="707" spans="1:25" x14ac:dyDescent="0.25">
      <c r="A707" t="str">
        <f t="shared" si="11"/>
        <v>RTD Ice TeaFranceDecemberEUR (€)Fully-AutomatedOldCan1Medium-scaleMedium</v>
      </c>
      <c r="B707" t="s">
        <v>130</v>
      </c>
      <c r="C707" t="s">
        <v>130</v>
      </c>
      <c r="D707" t="s">
        <v>15</v>
      </c>
      <c r="E707" s="12" t="s">
        <v>182</v>
      </c>
      <c r="F707" t="s">
        <v>187</v>
      </c>
      <c r="G707" t="s">
        <v>12</v>
      </c>
      <c r="H707" t="s">
        <v>72</v>
      </c>
      <c r="I707" t="s">
        <v>125</v>
      </c>
      <c r="J707" s="12">
        <v>1</v>
      </c>
      <c r="K707" t="s">
        <v>62</v>
      </c>
      <c r="L707" t="s">
        <v>63</v>
      </c>
      <c r="M707" t="s">
        <v>199</v>
      </c>
      <c r="O707" t="s">
        <v>197</v>
      </c>
      <c r="P707">
        <v>24</v>
      </c>
      <c r="Q707" t="s">
        <v>204</v>
      </c>
      <c r="R707" s="6">
        <v>0.49951341503614233</v>
      </c>
      <c r="S707" s="6">
        <v>11.202244480878738</v>
      </c>
      <c r="T707" s="6">
        <v>7.0117221141665027</v>
      </c>
      <c r="U707" s="6">
        <v>62.448322911928379</v>
      </c>
      <c r="V707" s="6">
        <v>7.280266071421676E-2</v>
      </c>
      <c r="W707" s="6">
        <v>2.621978770973354</v>
      </c>
      <c r="X707" s="6">
        <v>1.1770734985894411</v>
      </c>
      <c r="Y707" s="6">
        <v>11.631023664878345</v>
      </c>
    </row>
    <row r="708" spans="1:25" x14ac:dyDescent="0.25">
      <c r="A708" t="str">
        <f t="shared" si="11"/>
        <v>RTD Ice TeaFranceDecemberEUR (€)Fully-AutomatedOldCan1Medium-scaleHigh</v>
      </c>
      <c r="B708" t="s">
        <v>130</v>
      </c>
      <c r="C708" t="s">
        <v>130</v>
      </c>
      <c r="D708" t="s">
        <v>15</v>
      </c>
      <c r="E708" s="12" t="s">
        <v>182</v>
      </c>
      <c r="F708" t="s">
        <v>187</v>
      </c>
      <c r="G708" t="s">
        <v>12</v>
      </c>
      <c r="H708" t="s">
        <v>72</v>
      </c>
      <c r="I708" t="s">
        <v>125</v>
      </c>
      <c r="J708" s="12">
        <v>1</v>
      </c>
      <c r="K708" t="s">
        <v>62</v>
      </c>
      <c r="L708" t="s">
        <v>11</v>
      </c>
      <c r="M708" t="s">
        <v>199</v>
      </c>
      <c r="O708" t="s">
        <v>197</v>
      </c>
      <c r="P708">
        <v>24</v>
      </c>
      <c r="Q708" t="s">
        <v>204</v>
      </c>
      <c r="R708" s="6">
        <v>0.51930677992041618</v>
      </c>
      <c r="S708" s="6">
        <v>11.646629755994624</v>
      </c>
      <c r="T708" s="6">
        <v>7.2896884632674865</v>
      </c>
      <c r="U708" s="6">
        <v>64.923948534765628</v>
      </c>
      <c r="V708" s="6">
        <v>7.5575625728644E-2</v>
      </c>
      <c r="W708" s="6">
        <v>2.7208210779029116</v>
      </c>
      <c r="X708" s="6">
        <v>1.2211449978048234</v>
      </c>
      <c r="Y708" s="6">
        <v>12.066974590435624</v>
      </c>
    </row>
    <row r="709" spans="1:25" x14ac:dyDescent="0.25">
      <c r="A709" t="str">
        <f t="shared" si="11"/>
        <v>RTD Ice TeaFranceDecemberEUR (€)Fully-AutomatedOldCan1Small-scaleLow</v>
      </c>
      <c r="B709" t="s">
        <v>130</v>
      </c>
      <c r="C709" t="s">
        <v>130</v>
      </c>
      <c r="D709" t="s">
        <v>15</v>
      </c>
      <c r="E709" s="12" t="s">
        <v>182</v>
      </c>
      <c r="F709" t="s">
        <v>187</v>
      </c>
      <c r="G709" t="s">
        <v>12</v>
      </c>
      <c r="H709" t="s">
        <v>72</v>
      </c>
      <c r="I709" t="s">
        <v>125</v>
      </c>
      <c r="J709" s="12">
        <v>1</v>
      </c>
      <c r="K709" t="s">
        <v>60</v>
      </c>
      <c r="L709" t="s">
        <v>13</v>
      </c>
      <c r="M709" t="s">
        <v>199</v>
      </c>
      <c r="O709" t="s">
        <v>197</v>
      </c>
      <c r="P709">
        <v>24</v>
      </c>
      <c r="Q709" t="s">
        <v>204</v>
      </c>
      <c r="R709" s="6">
        <v>0.48274598963824539</v>
      </c>
      <c r="S709" s="6">
        <v>10.821647501209734</v>
      </c>
      <c r="T709" s="6">
        <v>6.7752003272128798</v>
      </c>
      <c r="U709" s="6">
        <v>60.341971078522313</v>
      </c>
      <c r="V709" s="6">
        <v>7.1280975936548419E-2</v>
      </c>
      <c r="W709" s="6">
        <v>2.5738574909185599</v>
      </c>
      <c r="X709" s="6">
        <v>1.1563428263927953</v>
      </c>
      <c r="Y709" s="6">
        <v>11.424759016778692</v>
      </c>
    </row>
    <row r="710" spans="1:25" x14ac:dyDescent="0.25">
      <c r="A710" t="str">
        <f t="shared" si="11"/>
        <v>RTD Ice TeaFranceDecemberEUR (€)Fully-AutomatedOldCan1Small-scaleMedium</v>
      </c>
      <c r="B710" t="s">
        <v>130</v>
      </c>
      <c r="C710" t="s">
        <v>130</v>
      </c>
      <c r="D710" t="s">
        <v>15</v>
      </c>
      <c r="E710" s="12" t="s">
        <v>182</v>
      </c>
      <c r="F710" t="s">
        <v>187</v>
      </c>
      <c r="G710" t="s">
        <v>12</v>
      </c>
      <c r="H710" t="s">
        <v>72</v>
      </c>
      <c r="I710" t="s">
        <v>125</v>
      </c>
      <c r="J710" s="12">
        <v>1</v>
      </c>
      <c r="K710" t="s">
        <v>60</v>
      </c>
      <c r="L710" t="s">
        <v>63</v>
      </c>
      <c r="M710" t="s">
        <v>199</v>
      </c>
      <c r="O710" t="s">
        <v>197</v>
      </c>
      <c r="P710">
        <v>24</v>
      </c>
      <c r="Q710" t="s">
        <v>204</v>
      </c>
      <c r="R710" s="6">
        <v>0.50107317934590667</v>
      </c>
      <c r="S710" s="6">
        <v>11.233115348539258</v>
      </c>
      <c r="T710" s="6">
        <v>7.0325765763804586</v>
      </c>
      <c r="U710" s="6">
        <v>62.634217025593884</v>
      </c>
      <c r="V710" s="6">
        <v>7.384853613509218E-2</v>
      </c>
      <c r="W710" s="6">
        <v>2.6653781454829657</v>
      </c>
      <c r="X710" s="6">
        <v>1.1971497701107421</v>
      </c>
      <c r="Y710" s="6">
        <v>11.828417281183585</v>
      </c>
    </row>
    <row r="711" spans="1:25" x14ac:dyDescent="0.25">
      <c r="A711" t="str">
        <f t="shared" si="11"/>
        <v>RTD Ice TeaFranceDecemberEUR (€)Fully-AutomatedOldCan1Small-scaleHigh</v>
      </c>
      <c r="B711" t="s">
        <v>130</v>
      </c>
      <c r="C711" t="s">
        <v>130</v>
      </c>
      <c r="D711" t="s">
        <v>15</v>
      </c>
      <c r="E711" s="12" t="s">
        <v>182</v>
      </c>
      <c r="F711" t="s">
        <v>187</v>
      </c>
      <c r="G711" t="s">
        <v>12</v>
      </c>
      <c r="H711" t="s">
        <v>72</v>
      </c>
      <c r="I711" t="s">
        <v>125</v>
      </c>
      <c r="J711" s="12">
        <v>1</v>
      </c>
      <c r="K711" t="s">
        <v>60</v>
      </c>
      <c r="L711" t="s">
        <v>11</v>
      </c>
      <c r="M711" t="s">
        <v>199</v>
      </c>
      <c r="O711" t="s">
        <v>197</v>
      </c>
      <c r="P711">
        <v>24</v>
      </c>
      <c r="Q711" t="s">
        <v>204</v>
      </c>
      <c r="R711" s="6">
        <v>0.52086654423018053</v>
      </c>
      <c r="S711" s="6">
        <v>11.677500623655146</v>
      </c>
      <c r="T711" s="6">
        <v>7.3105429254814434</v>
      </c>
      <c r="U711" s="6">
        <v>65.10984264843114</v>
      </c>
      <c r="V711" s="6">
        <v>7.6621501149519433E-2</v>
      </c>
      <c r="W711" s="6">
        <v>2.7642204524125229</v>
      </c>
      <c r="X711" s="6">
        <v>1.2412212693261246</v>
      </c>
      <c r="Y711" s="6">
        <v>12.264368206740865</v>
      </c>
    </row>
    <row r="712" spans="1:25" x14ac:dyDescent="0.25">
      <c r="A712" t="str">
        <f t="shared" si="11"/>
        <v>RTD Ice TeaFranceDecemberEUR (€)Fully-AutomatedOldCan1High-scaleLow</v>
      </c>
      <c r="B712" t="s">
        <v>130</v>
      </c>
      <c r="C712" t="s">
        <v>130</v>
      </c>
      <c r="D712" t="s">
        <v>15</v>
      </c>
      <c r="E712" s="12" t="s">
        <v>182</v>
      </c>
      <c r="F712" t="s">
        <v>187</v>
      </c>
      <c r="G712" t="s">
        <v>12</v>
      </c>
      <c r="H712" t="s">
        <v>72</v>
      </c>
      <c r="I712" t="s">
        <v>125</v>
      </c>
      <c r="J712" s="12">
        <v>1</v>
      </c>
      <c r="K712" t="s">
        <v>107</v>
      </c>
      <c r="L712" t="s">
        <v>13</v>
      </c>
      <c r="M712" t="s">
        <v>200</v>
      </c>
      <c r="O712" t="s">
        <v>197</v>
      </c>
      <c r="P712">
        <v>24</v>
      </c>
      <c r="Q712" t="s">
        <v>204</v>
      </c>
      <c r="R712" s="6">
        <v>0.48025036674262261</v>
      </c>
      <c r="S712" s="6">
        <v>10.772254112952902</v>
      </c>
      <c r="T712" s="6">
        <v>6.7418331876705491</v>
      </c>
      <c r="U712" s="6">
        <v>60.044540496657511</v>
      </c>
      <c r="V712" s="6">
        <v>6.9607575263147745E-2</v>
      </c>
      <c r="W712" s="6">
        <v>2.5044184917031811</v>
      </c>
      <c r="X712" s="6">
        <v>1.1242207919587135</v>
      </c>
      <c r="Y712" s="6">
        <v>11.108929230690308</v>
      </c>
    </row>
    <row r="713" spans="1:25" x14ac:dyDescent="0.25">
      <c r="A713" t="str">
        <f t="shared" si="11"/>
        <v>RTD Ice TeaFranceDecemberEUR (€)Fully-AutomatedOldCan1High-scaleMedium</v>
      </c>
      <c r="B713" t="s">
        <v>130</v>
      </c>
      <c r="C713" t="s">
        <v>130</v>
      </c>
      <c r="D713" t="s">
        <v>15</v>
      </c>
      <c r="E713" s="12" t="s">
        <v>182</v>
      </c>
      <c r="F713" t="s">
        <v>187</v>
      </c>
      <c r="G713" t="s">
        <v>12</v>
      </c>
      <c r="H713" t="s">
        <v>72</v>
      </c>
      <c r="I713" t="s">
        <v>125</v>
      </c>
      <c r="J713" s="12">
        <v>1</v>
      </c>
      <c r="K713" t="s">
        <v>107</v>
      </c>
      <c r="L713" t="s">
        <v>63</v>
      </c>
      <c r="M713" t="s">
        <v>200</v>
      </c>
      <c r="O713" t="s">
        <v>197</v>
      </c>
      <c r="P713">
        <v>24</v>
      </c>
      <c r="Q713" t="s">
        <v>204</v>
      </c>
      <c r="R713" s="6">
        <v>0.49857755645028368</v>
      </c>
      <c r="S713" s="6">
        <v>11.183721960282426</v>
      </c>
      <c r="T713" s="6">
        <v>6.9992094368381288</v>
      </c>
      <c r="U713" s="6">
        <v>62.336786443729054</v>
      </c>
      <c r="V713" s="6">
        <v>7.2175135461691492E-2</v>
      </c>
      <c r="W713" s="6">
        <v>2.5959391462675869</v>
      </c>
      <c r="X713" s="6">
        <v>1.1650277356766605</v>
      </c>
      <c r="Y713" s="6">
        <v>11.512587495095197</v>
      </c>
    </row>
    <row r="714" spans="1:25" x14ac:dyDescent="0.25">
      <c r="A714" t="str">
        <f t="shared" si="11"/>
        <v>RTD Ice TeaFranceDecemberEUR (€)Fully-AutomatedOldCan1High-scaleHigh</v>
      </c>
      <c r="B714" t="s">
        <v>130</v>
      </c>
      <c r="C714" t="s">
        <v>130</v>
      </c>
      <c r="D714" t="s">
        <v>15</v>
      </c>
      <c r="E714" s="12" t="s">
        <v>182</v>
      </c>
      <c r="F714" t="s">
        <v>187</v>
      </c>
      <c r="G714" t="s">
        <v>12</v>
      </c>
      <c r="H714" t="s">
        <v>72</v>
      </c>
      <c r="I714" t="s">
        <v>125</v>
      </c>
      <c r="J714" s="12">
        <v>1</v>
      </c>
      <c r="K714" t="s">
        <v>107</v>
      </c>
      <c r="L714" t="s">
        <v>11</v>
      </c>
      <c r="M714" t="s">
        <v>200</v>
      </c>
      <c r="O714" t="s">
        <v>197</v>
      </c>
      <c r="P714">
        <v>24</v>
      </c>
      <c r="Q714" t="s">
        <v>204</v>
      </c>
      <c r="R714" s="6">
        <v>0.51837092133455764</v>
      </c>
      <c r="S714" s="6">
        <v>11.628107235398311</v>
      </c>
      <c r="T714" s="6">
        <v>7.2771757859391144</v>
      </c>
      <c r="U714" s="6">
        <v>64.812412066566324</v>
      </c>
      <c r="V714" s="6">
        <v>7.4948100476118773E-2</v>
      </c>
      <c r="W714" s="6">
        <v>2.6947814531971446</v>
      </c>
      <c r="X714" s="6">
        <v>1.2090992348920431</v>
      </c>
      <c r="Y714" s="6">
        <v>11.948538420652479</v>
      </c>
    </row>
    <row r="715" spans="1:25" x14ac:dyDescent="0.25">
      <c r="A715" t="str">
        <f t="shared" si="11"/>
        <v>RTD Ice TeaFranceDecemberEUR (€)Fully-AutomatedOldCan1Medium-scaleLow</v>
      </c>
      <c r="B715" t="s">
        <v>130</v>
      </c>
      <c r="C715" t="s">
        <v>130</v>
      </c>
      <c r="D715" t="s">
        <v>15</v>
      </c>
      <c r="E715" s="12" t="s">
        <v>182</v>
      </c>
      <c r="F715" t="s">
        <v>187</v>
      </c>
      <c r="G715" t="s">
        <v>12</v>
      </c>
      <c r="H715" t="s">
        <v>72</v>
      </c>
      <c r="I715" t="s">
        <v>125</v>
      </c>
      <c r="J715" s="12">
        <v>1</v>
      </c>
      <c r="K715" t="s">
        <v>62</v>
      </c>
      <c r="L715" t="s">
        <v>13</v>
      </c>
      <c r="M715" t="s">
        <v>200</v>
      </c>
      <c r="O715" t="s">
        <v>197</v>
      </c>
      <c r="P715">
        <v>24</v>
      </c>
      <c r="Q715" t="s">
        <v>204</v>
      </c>
      <c r="R715" s="6">
        <v>0.48118622532848115</v>
      </c>
      <c r="S715" s="6">
        <v>10.790776633549212</v>
      </c>
      <c r="T715" s="6">
        <v>6.754345864998923</v>
      </c>
      <c r="U715" s="6">
        <v>60.156076964856823</v>
      </c>
      <c r="V715" s="6">
        <v>7.0235100515672999E-2</v>
      </c>
      <c r="W715" s="6">
        <v>2.5304581164089481</v>
      </c>
      <c r="X715" s="6">
        <v>1.1362665548714943</v>
      </c>
      <c r="Y715" s="6">
        <v>11.227365400473449</v>
      </c>
    </row>
    <row r="716" spans="1:25" x14ac:dyDescent="0.25">
      <c r="A716" t="str">
        <f t="shared" si="11"/>
        <v>RTD Ice TeaFranceDecemberEUR (€)Fully-AutomatedOldCan1Medium-scaleMedium</v>
      </c>
      <c r="B716" t="s">
        <v>130</v>
      </c>
      <c r="C716" t="s">
        <v>130</v>
      </c>
      <c r="D716" t="s">
        <v>15</v>
      </c>
      <c r="E716" s="12" t="s">
        <v>182</v>
      </c>
      <c r="F716" t="s">
        <v>187</v>
      </c>
      <c r="G716" t="s">
        <v>12</v>
      </c>
      <c r="H716" t="s">
        <v>72</v>
      </c>
      <c r="I716" t="s">
        <v>125</v>
      </c>
      <c r="J716" s="12">
        <v>1</v>
      </c>
      <c r="K716" t="s">
        <v>62</v>
      </c>
      <c r="L716" t="s">
        <v>63</v>
      </c>
      <c r="M716" t="s">
        <v>200</v>
      </c>
      <c r="O716" t="s">
        <v>197</v>
      </c>
      <c r="P716">
        <v>24</v>
      </c>
      <c r="Q716" t="s">
        <v>204</v>
      </c>
      <c r="R716" s="6">
        <v>0.49951341503614233</v>
      </c>
      <c r="S716" s="6">
        <v>11.202244480878738</v>
      </c>
      <c r="T716" s="6">
        <v>7.0117221141665027</v>
      </c>
      <c r="U716" s="6">
        <v>62.448322911928379</v>
      </c>
      <c r="V716" s="6">
        <v>7.280266071421676E-2</v>
      </c>
      <c r="W716" s="6">
        <v>2.621978770973354</v>
      </c>
      <c r="X716" s="6">
        <v>1.1770734985894411</v>
      </c>
      <c r="Y716" s="6">
        <v>11.631023664878345</v>
      </c>
    </row>
    <row r="717" spans="1:25" x14ac:dyDescent="0.25">
      <c r="A717" t="str">
        <f t="shared" si="11"/>
        <v>RTD Ice TeaFranceDecemberEUR (€)Fully-AutomatedOldCan1Medium-scaleHigh</v>
      </c>
      <c r="B717" t="s">
        <v>130</v>
      </c>
      <c r="C717" t="s">
        <v>130</v>
      </c>
      <c r="D717" t="s">
        <v>15</v>
      </c>
      <c r="E717" s="12" t="s">
        <v>182</v>
      </c>
      <c r="F717" t="s">
        <v>187</v>
      </c>
      <c r="G717" t="s">
        <v>12</v>
      </c>
      <c r="H717" t="s">
        <v>72</v>
      </c>
      <c r="I717" t="s">
        <v>125</v>
      </c>
      <c r="J717" s="12">
        <v>1</v>
      </c>
      <c r="K717" t="s">
        <v>62</v>
      </c>
      <c r="L717" t="s">
        <v>11</v>
      </c>
      <c r="M717" t="s">
        <v>200</v>
      </c>
      <c r="O717" t="s">
        <v>197</v>
      </c>
      <c r="P717">
        <v>24</v>
      </c>
      <c r="Q717" t="s">
        <v>204</v>
      </c>
      <c r="R717" s="6">
        <v>0.51930677992041618</v>
      </c>
      <c r="S717" s="6">
        <v>11.646629755994624</v>
      </c>
      <c r="T717" s="6">
        <v>7.2896884632674865</v>
      </c>
      <c r="U717" s="6">
        <v>64.923948534765628</v>
      </c>
      <c r="V717" s="6">
        <v>7.5575625728644E-2</v>
      </c>
      <c r="W717" s="6">
        <v>2.7208210779029116</v>
      </c>
      <c r="X717" s="6">
        <v>1.2211449978048234</v>
      </c>
      <c r="Y717" s="6">
        <v>12.066974590435624</v>
      </c>
    </row>
    <row r="718" spans="1:25" x14ac:dyDescent="0.25">
      <c r="A718" t="str">
        <f t="shared" si="11"/>
        <v>RTD Ice TeaFranceDecemberEUR (€)Fully-AutomatedOldCan1Small-scaleLow</v>
      </c>
      <c r="B718" t="s">
        <v>130</v>
      </c>
      <c r="C718" t="s">
        <v>130</v>
      </c>
      <c r="D718" t="s">
        <v>15</v>
      </c>
      <c r="E718" s="12" t="s">
        <v>182</v>
      </c>
      <c r="F718" t="s">
        <v>187</v>
      </c>
      <c r="G718" t="s">
        <v>12</v>
      </c>
      <c r="H718" t="s">
        <v>72</v>
      </c>
      <c r="I718" t="s">
        <v>125</v>
      </c>
      <c r="J718" s="12">
        <v>1</v>
      </c>
      <c r="K718" t="s">
        <v>60</v>
      </c>
      <c r="L718" t="s">
        <v>13</v>
      </c>
      <c r="M718" t="s">
        <v>200</v>
      </c>
      <c r="O718" t="s">
        <v>197</v>
      </c>
      <c r="P718">
        <v>24</v>
      </c>
      <c r="Q718" t="s">
        <v>204</v>
      </c>
      <c r="R718" s="6">
        <v>0.48274598963824539</v>
      </c>
      <c r="S718" s="6">
        <v>10.821647501209734</v>
      </c>
      <c r="T718" s="6">
        <v>6.7752003272128798</v>
      </c>
      <c r="U718" s="6">
        <v>60.341971078522313</v>
      </c>
      <c r="V718" s="6">
        <v>7.1280975936548419E-2</v>
      </c>
      <c r="W718" s="6">
        <v>2.5738574909185599</v>
      </c>
      <c r="X718" s="6">
        <v>1.1563428263927953</v>
      </c>
      <c r="Y718" s="6">
        <v>11.424759016778692</v>
      </c>
    </row>
    <row r="719" spans="1:25" x14ac:dyDescent="0.25">
      <c r="A719" t="str">
        <f t="shared" si="11"/>
        <v>RTD Ice TeaFranceDecemberEUR (€)Fully-AutomatedOldCan1Small-scaleMedium</v>
      </c>
      <c r="B719" t="s">
        <v>130</v>
      </c>
      <c r="C719" t="s">
        <v>130</v>
      </c>
      <c r="D719" t="s">
        <v>15</v>
      </c>
      <c r="E719" s="12" t="s">
        <v>182</v>
      </c>
      <c r="F719" t="s">
        <v>187</v>
      </c>
      <c r="G719" t="s">
        <v>12</v>
      </c>
      <c r="H719" t="s">
        <v>72</v>
      </c>
      <c r="I719" t="s">
        <v>125</v>
      </c>
      <c r="J719" s="12">
        <v>1</v>
      </c>
      <c r="K719" t="s">
        <v>60</v>
      </c>
      <c r="L719" t="s">
        <v>63</v>
      </c>
      <c r="M719" t="s">
        <v>200</v>
      </c>
      <c r="O719" t="s">
        <v>197</v>
      </c>
      <c r="P719">
        <v>24</v>
      </c>
      <c r="Q719" t="s">
        <v>204</v>
      </c>
      <c r="R719" s="6">
        <v>0.50107317934590667</v>
      </c>
      <c r="S719" s="6">
        <v>11.233115348539258</v>
      </c>
      <c r="T719" s="6">
        <v>7.0325765763804586</v>
      </c>
      <c r="U719" s="6">
        <v>62.634217025593884</v>
      </c>
      <c r="V719" s="6">
        <v>7.384853613509218E-2</v>
      </c>
      <c r="W719" s="6">
        <v>2.6653781454829657</v>
      </c>
      <c r="X719" s="6">
        <v>1.1971497701107421</v>
      </c>
      <c r="Y719" s="6">
        <v>11.828417281183585</v>
      </c>
    </row>
    <row r="720" spans="1:25" x14ac:dyDescent="0.25">
      <c r="A720" t="str">
        <f t="shared" si="11"/>
        <v>RTD Ice TeaFranceDecemberEUR (€)Fully-AutomatedOldCan1Small-scaleHigh</v>
      </c>
      <c r="B720" t="s">
        <v>130</v>
      </c>
      <c r="C720" t="s">
        <v>130</v>
      </c>
      <c r="D720" t="s">
        <v>15</v>
      </c>
      <c r="E720" s="12" t="s">
        <v>182</v>
      </c>
      <c r="F720" t="s">
        <v>187</v>
      </c>
      <c r="G720" t="s">
        <v>12</v>
      </c>
      <c r="H720" t="s">
        <v>72</v>
      </c>
      <c r="I720" t="s">
        <v>125</v>
      </c>
      <c r="J720" s="12">
        <v>1</v>
      </c>
      <c r="K720" t="s">
        <v>60</v>
      </c>
      <c r="L720" t="s">
        <v>11</v>
      </c>
      <c r="M720" t="s">
        <v>200</v>
      </c>
      <c r="O720" t="s">
        <v>197</v>
      </c>
      <c r="P720">
        <v>24</v>
      </c>
      <c r="Q720" t="s">
        <v>204</v>
      </c>
      <c r="R720" s="6">
        <v>0.52086654423018053</v>
      </c>
      <c r="S720" s="6">
        <v>11.677500623655146</v>
      </c>
      <c r="T720" s="6">
        <v>7.3105429254814434</v>
      </c>
      <c r="U720" s="6">
        <v>65.10984264843114</v>
      </c>
      <c r="V720" s="6">
        <v>7.6621501149519433E-2</v>
      </c>
      <c r="W720" s="6">
        <v>2.7642204524125229</v>
      </c>
      <c r="X720" s="6">
        <v>1.2412212693261246</v>
      </c>
      <c r="Y720" s="6">
        <v>12.264368206740865</v>
      </c>
    </row>
    <row r="721" spans="1:25" x14ac:dyDescent="0.25">
      <c r="A721" t="str">
        <f t="shared" si="11"/>
        <v>RTD Ice TeaFranceDecemberEUR (€)Fully-AutomatedOldCan1.5High-scaleLow</v>
      </c>
      <c r="B721" t="s">
        <v>130</v>
      </c>
      <c r="C721" t="s">
        <v>130</v>
      </c>
      <c r="D721" t="s">
        <v>15</v>
      </c>
      <c r="E721" s="12" t="s">
        <v>182</v>
      </c>
      <c r="F721" t="s">
        <v>187</v>
      </c>
      <c r="G721" t="s">
        <v>12</v>
      </c>
      <c r="H721" t="s">
        <v>72</v>
      </c>
      <c r="I721" t="s">
        <v>125</v>
      </c>
      <c r="J721" s="12">
        <v>1.5</v>
      </c>
      <c r="K721" t="s">
        <v>107</v>
      </c>
      <c r="L721" t="s">
        <v>13</v>
      </c>
      <c r="M721" t="s">
        <v>199</v>
      </c>
      <c r="O721" t="s">
        <v>197</v>
      </c>
      <c r="P721">
        <v>4</v>
      </c>
      <c r="Q721" t="s">
        <v>198</v>
      </c>
      <c r="R721" s="6">
        <v>0.48025036674262261</v>
      </c>
      <c r="S721" s="6">
        <v>10.772254112952902</v>
      </c>
      <c r="T721" s="6">
        <v>6.7418331876705491</v>
      </c>
      <c r="U721" s="6">
        <v>60.044540496657511</v>
      </c>
      <c r="V721" s="6">
        <v>8.0741037933822632E-2</v>
      </c>
      <c r="W721" s="6">
        <v>2.6247018758050262</v>
      </c>
      <c r="X721" s="6">
        <v>1.2588841729267706</v>
      </c>
      <c r="Y721" s="6">
        <v>12.324607150059675</v>
      </c>
    </row>
    <row r="722" spans="1:25" x14ac:dyDescent="0.25">
      <c r="A722" t="str">
        <f t="shared" si="11"/>
        <v>RTD Ice TeaFranceDecemberEUR (€)Fully-AutomatedOldCan1.5High-scaleMedium</v>
      </c>
      <c r="B722" t="s">
        <v>130</v>
      </c>
      <c r="C722" t="s">
        <v>130</v>
      </c>
      <c r="D722" t="s">
        <v>15</v>
      </c>
      <c r="E722" s="12" t="s">
        <v>182</v>
      </c>
      <c r="F722" t="s">
        <v>187</v>
      </c>
      <c r="G722" t="s">
        <v>12</v>
      </c>
      <c r="H722" t="s">
        <v>72</v>
      </c>
      <c r="I722" t="s">
        <v>125</v>
      </c>
      <c r="J722" s="12">
        <v>1.5</v>
      </c>
      <c r="K722" t="s">
        <v>107</v>
      </c>
      <c r="L722" t="s">
        <v>63</v>
      </c>
      <c r="M722" t="s">
        <v>199</v>
      </c>
      <c r="O722" t="s">
        <v>197</v>
      </c>
      <c r="P722">
        <v>4</v>
      </c>
      <c r="Q722" t="s">
        <v>198</v>
      </c>
      <c r="R722" s="6">
        <v>0.49857755645028368</v>
      </c>
      <c r="S722" s="6">
        <v>11.183721960282426</v>
      </c>
      <c r="T722" s="6">
        <v>6.9992094368381288</v>
      </c>
      <c r="U722" s="6">
        <v>62.336786443729054</v>
      </c>
      <c r="V722" s="6">
        <v>8.3703785702062092E-2</v>
      </c>
      <c r="W722" s="6">
        <v>2.719967593849463</v>
      </c>
      <c r="X722" s="6">
        <v>1.3044071788776126</v>
      </c>
      <c r="Y722" s="6">
        <v>12.770539440979851</v>
      </c>
    </row>
    <row r="723" spans="1:25" x14ac:dyDescent="0.25">
      <c r="A723" t="str">
        <f t="shared" si="11"/>
        <v>RTD Ice TeaFranceDecemberEUR (€)Fully-AutomatedOldCan1.5High-scaleHigh</v>
      </c>
      <c r="B723" t="s">
        <v>130</v>
      </c>
      <c r="C723" t="s">
        <v>130</v>
      </c>
      <c r="D723" t="s">
        <v>15</v>
      </c>
      <c r="E723" s="12" t="s">
        <v>182</v>
      </c>
      <c r="F723" t="s">
        <v>187</v>
      </c>
      <c r="G723" t="s">
        <v>12</v>
      </c>
      <c r="H723" t="s">
        <v>72</v>
      </c>
      <c r="I723" t="s">
        <v>125</v>
      </c>
      <c r="J723" s="12">
        <v>1.5</v>
      </c>
      <c r="K723" t="s">
        <v>107</v>
      </c>
      <c r="L723" t="s">
        <v>11</v>
      </c>
      <c r="M723" t="s">
        <v>199</v>
      </c>
      <c r="O723" t="s">
        <v>197</v>
      </c>
      <c r="P723">
        <v>4</v>
      </c>
      <c r="Q723" t="s">
        <v>198</v>
      </c>
      <c r="R723" s="6">
        <v>0.51837092133455764</v>
      </c>
      <c r="S723" s="6">
        <v>11.628107235398311</v>
      </c>
      <c r="T723" s="6">
        <v>7.2771757859391144</v>
      </c>
      <c r="U723" s="6">
        <v>64.812412066566324</v>
      </c>
      <c r="V723" s="6">
        <v>8.6903553291760735E-2</v>
      </c>
      <c r="W723" s="6">
        <v>2.8228545693374545</v>
      </c>
      <c r="X723" s="6">
        <v>1.3535720253045223</v>
      </c>
      <c r="Y723" s="6">
        <v>13.25214631517364</v>
      </c>
    </row>
    <row r="724" spans="1:25" x14ac:dyDescent="0.25">
      <c r="A724" t="str">
        <f t="shared" si="11"/>
        <v>RTD Ice TeaFranceDecemberEUR (€)Fully-AutomatedOldCan1.5Medium-scaleLow</v>
      </c>
      <c r="B724" t="s">
        <v>130</v>
      </c>
      <c r="C724" t="s">
        <v>130</v>
      </c>
      <c r="D724" t="s">
        <v>15</v>
      </c>
      <c r="E724" s="12" t="s">
        <v>182</v>
      </c>
      <c r="F724" t="s">
        <v>187</v>
      </c>
      <c r="G724" t="s">
        <v>12</v>
      </c>
      <c r="H724" t="s">
        <v>72</v>
      </c>
      <c r="I724" t="s">
        <v>125</v>
      </c>
      <c r="J724" s="12">
        <v>1.5</v>
      </c>
      <c r="K724" t="s">
        <v>62</v>
      </c>
      <c r="L724" t="s">
        <v>13</v>
      </c>
      <c r="M724" t="s">
        <v>199</v>
      </c>
      <c r="O724" t="s">
        <v>197</v>
      </c>
      <c r="P724">
        <v>4</v>
      </c>
      <c r="Q724" t="s">
        <v>198</v>
      </c>
      <c r="R724" s="6">
        <v>0.48118622532848115</v>
      </c>
      <c r="S724" s="6">
        <v>10.790776633549212</v>
      </c>
      <c r="T724" s="6">
        <v>6.754345864998923</v>
      </c>
      <c r="U724" s="6">
        <v>60.156076964856823</v>
      </c>
      <c r="V724" s="6">
        <v>8.1583209650994359E-2</v>
      </c>
      <c r="W724" s="6">
        <v>2.6564694339160506</v>
      </c>
      <c r="X724" s="6">
        <v>1.2739413765677468</v>
      </c>
      <c r="Y724" s="6">
        <v>12.47218162733582</v>
      </c>
    </row>
    <row r="725" spans="1:25" x14ac:dyDescent="0.25">
      <c r="A725" t="str">
        <f t="shared" si="11"/>
        <v>RTD Ice TeaFranceDecemberEUR (€)Fully-AutomatedOldCan1.5Medium-scaleMedium</v>
      </c>
      <c r="B725" t="s">
        <v>130</v>
      </c>
      <c r="C725" t="s">
        <v>130</v>
      </c>
      <c r="D725" t="s">
        <v>15</v>
      </c>
      <c r="E725" s="12" t="s">
        <v>182</v>
      </c>
      <c r="F725" t="s">
        <v>187</v>
      </c>
      <c r="G725" t="s">
        <v>12</v>
      </c>
      <c r="H725" t="s">
        <v>72</v>
      </c>
      <c r="I725" t="s">
        <v>125</v>
      </c>
      <c r="J725" s="12">
        <v>1.5</v>
      </c>
      <c r="K725" t="s">
        <v>62</v>
      </c>
      <c r="L725" t="s">
        <v>63</v>
      </c>
      <c r="M725" t="s">
        <v>199</v>
      </c>
      <c r="O725" t="s">
        <v>197</v>
      </c>
      <c r="P725">
        <v>4</v>
      </c>
      <c r="Q725" t="s">
        <v>198</v>
      </c>
      <c r="R725" s="6">
        <v>0.49951341503614233</v>
      </c>
      <c r="S725" s="6">
        <v>11.202244480878738</v>
      </c>
      <c r="T725" s="6">
        <v>7.0117221141665027</v>
      </c>
      <c r="U725" s="6">
        <v>62.448322911928379</v>
      </c>
      <c r="V725" s="6">
        <v>8.4545957419233833E-2</v>
      </c>
      <c r="W725" s="6">
        <v>2.7517351519604873</v>
      </c>
      <c r="X725" s="6">
        <v>1.3194643825185886</v>
      </c>
      <c r="Y725" s="6">
        <v>12.918113918255997</v>
      </c>
    </row>
    <row r="726" spans="1:25" x14ac:dyDescent="0.25">
      <c r="A726" t="str">
        <f t="shared" si="11"/>
        <v>RTD Ice TeaFranceDecemberEUR (€)Fully-AutomatedOldCan1.5Medium-scaleHigh</v>
      </c>
      <c r="B726" t="s">
        <v>130</v>
      </c>
      <c r="C726" t="s">
        <v>130</v>
      </c>
      <c r="D726" t="s">
        <v>15</v>
      </c>
      <c r="E726" s="12" t="s">
        <v>182</v>
      </c>
      <c r="F726" t="s">
        <v>187</v>
      </c>
      <c r="G726" t="s">
        <v>12</v>
      </c>
      <c r="H726" t="s">
        <v>72</v>
      </c>
      <c r="I726" t="s">
        <v>125</v>
      </c>
      <c r="J726" s="12">
        <v>1.5</v>
      </c>
      <c r="K726" t="s">
        <v>62</v>
      </c>
      <c r="L726" t="s">
        <v>11</v>
      </c>
      <c r="M726" t="s">
        <v>199</v>
      </c>
      <c r="O726" t="s">
        <v>197</v>
      </c>
      <c r="P726">
        <v>4</v>
      </c>
      <c r="Q726" t="s">
        <v>198</v>
      </c>
      <c r="R726" s="6">
        <v>0.51930677992041618</v>
      </c>
      <c r="S726" s="6">
        <v>11.646629755994624</v>
      </c>
      <c r="T726" s="6">
        <v>7.2896884632674865</v>
      </c>
      <c r="U726" s="6">
        <v>64.923948534765628</v>
      </c>
      <c r="V726" s="6">
        <v>8.7745725008932476E-2</v>
      </c>
      <c r="W726" s="6">
        <v>2.8546221274484789</v>
      </c>
      <c r="X726" s="6">
        <v>1.368629228945498</v>
      </c>
      <c r="Y726" s="6">
        <v>13.399720792449784</v>
      </c>
    </row>
    <row r="727" spans="1:25" x14ac:dyDescent="0.25">
      <c r="A727" t="str">
        <f t="shared" si="11"/>
        <v>RTD Ice TeaFranceDecemberEUR (€)Fully-AutomatedOldCan1.5Small-scaleLow</v>
      </c>
      <c r="B727" t="s">
        <v>130</v>
      </c>
      <c r="C727" t="s">
        <v>130</v>
      </c>
      <c r="D727" t="s">
        <v>15</v>
      </c>
      <c r="E727" s="12" t="s">
        <v>182</v>
      </c>
      <c r="F727" t="s">
        <v>187</v>
      </c>
      <c r="G727" t="s">
        <v>12</v>
      </c>
      <c r="H727" t="s">
        <v>72</v>
      </c>
      <c r="I727" t="s">
        <v>125</v>
      </c>
      <c r="J727" s="12">
        <v>1.5</v>
      </c>
      <c r="K727" t="s">
        <v>60</v>
      </c>
      <c r="L727" t="s">
        <v>13</v>
      </c>
      <c r="M727" t="s">
        <v>199</v>
      </c>
      <c r="O727" t="s">
        <v>197</v>
      </c>
      <c r="P727">
        <v>4</v>
      </c>
      <c r="Q727" t="s">
        <v>198</v>
      </c>
      <c r="R727" s="6">
        <v>0.48274598963824539</v>
      </c>
      <c r="S727" s="6">
        <v>10.821647501209734</v>
      </c>
      <c r="T727" s="6">
        <v>6.7752003272128798</v>
      </c>
      <c r="U727" s="6">
        <v>60.341971078522313</v>
      </c>
      <c r="V727" s="6">
        <v>8.2986829179613877E-2</v>
      </c>
      <c r="W727" s="6">
        <v>2.7094153641010901</v>
      </c>
      <c r="X727" s="6">
        <v>1.299036715969373</v>
      </c>
      <c r="Y727" s="6">
        <v>12.71813908946273</v>
      </c>
    </row>
    <row r="728" spans="1:25" x14ac:dyDescent="0.25">
      <c r="A728" t="str">
        <f t="shared" si="11"/>
        <v>RTD Ice TeaFranceDecemberEUR (€)Fully-AutomatedOldCan1.5Small-scaleMedium</v>
      </c>
      <c r="B728" t="s">
        <v>130</v>
      </c>
      <c r="C728" t="s">
        <v>130</v>
      </c>
      <c r="D728" t="s">
        <v>15</v>
      </c>
      <c r="E728" s="12" t="s">
        <v>182</v>
      </c>
      <c r="F728" t="s">
        <v>187</v>
      </c>
      <c r="G728" t="s">
        <v>12</v>
      </c>
      <c r="H728" t="s">
        <v>72</v>
      </c>
      <c r="I728" t="s">
        <v>125</v>
      </c>
      <c r="J728" s="12">
        <v>1.5</v>
      </c>
      <c r="K728" t="s">
        <v>60</v>
      </c>
      <c r="L728" t="s">
        <v>63</v>
      </c>
      <c r="M728" t="s">
        <v>199</v>
      </c>
      <c r="O728" t="s">
        <v>197</v>
      </c>
      <c r="P728">
        <v>4</v>
      </c>
      <c r="Q728" t="s">
        <v>198</v>
      </c>
      <c r="R728" s="6">
        <v>0.50107317934590667</v>
      </c>
      <c r="S728" s="6">
        <v>11.233115348539258</v>
      </c>
      <c r="T728" s="6">
        <v>7.0325765763804586</v>
      </c>
      <c r="U728" s="6">
        <v>62.634217025593884</v>
      </c>
      <c r="V728" s="6">
        <v>8.5949576947853379E-2</v>
      </c>
      <c r="W728" s="6">
        <v>2.8046810821455268</v>
      </c>
      <c r="X728" s="6">
        <v>1.344559721920215</v>
      </c>
      <c r="Y728" s="6">
        <v>13.164071380382907</v>
      </c>
    </row>
    <row r="729" spans="1:25" x14ac:dyDescent="0.25">
      <c r="A729" t="str">
        <f t="shared" si="11"/>
        <v>RTD Ice TeaFranceDecemberEUR (€)Fully-AutomatedOldCan1.5Small-scaleHigh</v>
      </c>
      <c r="B729" t="s">
        <v>130</v>
      </c>
      <c r="C729" t="s">
        <v>130</v>
      </c>
      <c r="D729" t="s">
        <v>15</v>
      </c>
      <c r="E729" s="12" t="s">
        <v>182</v>
      </c>
      <c r="F729" t="s">
        <v>187</v>
      </c>
      <c r="G729" t="s">
        <v>12</v>
      </c>
      <c r="H729" t="s">
        <v>72</v>
      </c>
      <c r="I729" t="s">
        <v>125</v>
      </c>
      <c r="J729" s="12">
        <v>1.5</v>
      </c>
      <c r="K729" t="s">
        <v>60</v>
      </c>
      <c r="L729" t="s">
        <v>11</v>
      </c>
      <c r="M729" t="s">
        <v>199</v>
      </c>
      <c r="O729" t="s">
        <v>197</v>
      </c>
      <c r="P729">
        <v>4</v>
      </c>
      <c r="Q729" t="s">
        <v>198</v>
      </c>
      <c r="R729" s="6">
        <v>0.52086654423018053</v>
      </c>
      <c r="S729" s="6">
        <v>11.677500623655146</v>
      </c>
      <c r="T729" s="6">
        <v>7.3105429254814434</v>
      </c>
      <c r="U729" s="6">
        <v>65.10984264843114</v>
      </c>
      <c r="V729" s="6">
        <v>8.9149344537551994E-2</v>
      </c>
      <c r="W729" s="6">
        <v>2.9075680576335192</v>
      </c>
      <c r="X729" s="6">
        <v>1.3937245683471242</v>
      </c>
      <c r="Y729" s="6">
        <v>13.645678254576694</v>
      </c>
    </row>
    <row r="730" spans="1:25" x14ac:dyDescent="0.25">
      <c r="A730" t="str">
        <f t="shared" si="11"/>
        <v>RTD Ice TeaFranceDecemberEUR (€)Fully-AutomatedOldCan1.5High-scaleLow</v>
      </c>
      <c r="B730" t="s">
        <v>130</v>
      </c>
      <c r="C730" t="s">
        <v>130</v>
      </c>
      <c r="D730" t="s">
        <v>15</v>
      </c>
      <c r="E730" s="12" t="s">
        <v>182</v>
      </c>
      <c r="F730" t="s">
        <v>187</v>
      </c>
      <c r="G730" t="s">
        <v>12</v>
      </c>
      <c r="H730" t="s">
        <v>72</v>
      </c>
      <c r="I730" t="s">
        <v>125</v>
      </c>
      <c r="J730" s="12">
        <v>1.5</v>
      </c>
      <c r="K730" t="s">
        <v>107</v>
      </c>
      <c r="L730" t="s">
        <v>13</v>
      </c>
      <c r="M730" t="s">
        <v>200</v>
      </c>
      <c r="O730" t="s">
        <v>197</v>
      </c>
      <c r="P730">
        <v>4</v>
      </c>
      <c r="Q730" t="s">
        <v>198</v>
      </c>
      <c r="R730" s="6">
        <v>0.48025036674262261</v>
      </c>
      <c r="S730" s="6">
        <v>10.772254112952902</v>
      </c>
      <c r="T730" s="6">
        <v>6.7418331876705491</v>
      </c>
      <c r="U730" s="6">
        <v>60.044540496657511</v>
      </c>
      <c r="V730" s="6">
        <v>8.0741037933822632E-2</v>
      </c>
      <c r="W730" s="6">
        <v>2.6247018758050262</v>
      </c>
      <c r="X730" s="6">
        <v>1.2588841729267706</v>
      </c>
      <c r="Y730" s="6">
        <v>12.324607150059675</v>
      </c>
    </row>
    <row r="731" spans="1:25" x14ac:dyDescent="0.25">
      <c r="A731" t="str">
        <f t="shared" si="11"/>
        <v>RTD Ice TeaFranceDecemberEUR (€)Fully-AutomatedOldCan1.5High-scaleMedium</v>
      </c>
      <c r="B731" t="s">
        <v>130</v>
      </c>
      <c r="C731" t="s">
        <v>130</v>
      </c>
      <c r="D731" t="s">
        <v>15</v>
      </c>
      <c r="E731" s="12" t="s">
        <v>182</v>
      </c>
      <c r="F731" t="s">
        <v>187</v>
      </c>
      <c r="G731" t="s">
        <v>12</v>
      </c>
      <c r="H731" t="s">
        <v>72</v>
      </c>
      <c r="I731" t="s">
        <v>125</v>
      </c>
      <c r="J731" s="12">
        <v>1.5</v>
      </c>
      <c r="K731" t="s">
        <v>107</v>
      </c>
      <c r="L731" t="s">
        <v>63</v>
      </c>
      <c r="M731" t="s">
        <v>200</v>
      </c>
      <c r="O731" t="s">
        <v>197</v>
      </c>
      <c r="P731">
        <v>4</v>
      </c>
      <c r="Q731" t="s">
        <v>198</v>
      </c>
      <c r="R731" s="6">
        <v>0.49857755645028368</v>
      </c>
      <c r="S731" s="6">
        <v>11.183721960282426</v>
      </c>
      <c r="T731" s="6">
        <v>6.9992094368381288</v>
      </c>
      <c r="U731" s="6">
        <v>62.336786443729054</v>
      </c>
      <c r="V731" s="6">
        <v>8.3703785702062092E-2</v>
      </c>
      <c r="W731" s="6">
        <v>2.719967593849463</v>
      </c>
      <c r="X731" s="6">
        <v>1.3044071788776126</v>
      </c>
      <c r="Y731" s="6">
        <v>12.770539440979851</v>
      </c>
    </row>
    <row r="732" spans="1:25" x14ac:dyDescent="0.25">
      <c r="A732" t="str">
        <f t="shared" si="11"/>
        <v>RTD Ice TeaFranceDecemberEUR (€)Fully-AutomatedOldCan1.5High-scaleHigh</v>
      </c>
      <c r="B732" t="s">
        <v>130</v>
      </c>
      <c r="C732" t="s">
        <v>130</v>
      </c>
      <c r="D732" t="s">
        <v>15</v>
      </c>
      <c r="E732" s="12" t="s">
        <v>182</v>
      </c>
      <c r="F732" t="s">
        <v>187</v>
      </c>
      <c r="G732" t="s">
        <v>12</v>
      </c>
      <c r="H732" t="s">
        <v>72</v>
      </c>
      <c r="I732" t="s">
        <v>125</v>
      </c>
      <c r="J732" s="12">
        <v>1.5</v>
      </c>
      <c r="K732" t="s">
        <v>107</v>
      </c>
      <c r="L732" t="s">
        <v>11</v>
      </c>
      <c r="M732" t="s">
        <v>200</v>
      </c>
      <c r="O732" t="s">
        <v>197</v>
      </c>
      <c r="P732">
        <v>4</v>
      </c>
      <c r="Q732" t="s">
        <v>198</v>
      </c>
      <c r="R732" s="6">
        <v>0.51837092133455764</v>
      </c>
      <c r="S732" s="6">
        <v>11.628107235398311</v>
      </c>
      <c r="T732" s="6">
        <v>7.2771757859391144</v>
      </c>
      <c r="U732" s="6">
        <v>64.812412066566324</v>
      </c>
      <c r="V732" s="6">
        <v>8.6903553291760735E-2</v>
      </c>
      <c r="W732" s="6">
        <v>2.8228545693374545</v>
      </c>
      <c r="X732" s="6">
        <v>1.3535720253045223</v>
      </c>
      <c r="Y732" s="6">
        <v>13.25214631517364</v>
      </c>
    </row>
    <row r="733" spans="1:25" x14ac:dyDescent="0.25">
      <c r="A733" t="str">
        <f t="shared" si="11"/>
        <v>RTD Ice TeaFranceDecemberEUR (€)Fully-AutomatedOldCan1.5Medium-scaleLow</v>
      </c>
      <c r="B733" t="s">
        <v>130</v>
      </c>
      <c r="C733" t="s">
        <v>130</v>
      </c>
      <c r="D733" t="s">
        <v>15</v>
      </c>
      <c r="E733" s="12" t="s">
        <v>182</v>
      </c>
      <c r="F733" t="s">
        <v>187</v>
      </c>
      <c r="G733" t="s">
        <v>12</v>
      </c>
      <c r="H733" t="s">
        <v>72</v>
      </c>
      <c r="I733" t="s">
        <v>125</v>
      </c>
      <c r="J733" s="12">
        <v>1.5</v>
      </c>
      <c r="K733" t="s">
        <v>62</v>
      </c>
      <c r="L733" t="s">
        <v>13</v>
      </c>
      <c r="M733" t="s">
        <v>200</v>
      </c>
      <c r="O733" t="s">
        <v>197</v>
      </c>
      <c r="P733">
        <v>4</v>
      </c>
      <c r="Q733" t="s">
        <v>198</v>
      </c>
      <c r="R733" s="6">
        <v>0.48118622532848115</v>
      </c>
      <c r="S733" s="6">
        <v>10.790776633549212</v>
      </c>
      <c r="T733" s="6">
        <v>6.754345864998923</v>
      </c>
      <c r="U733" s="6">
        <v>60.156076964856823</v>
      </c>
      <c r="V733" s="6">
        <v>8.1583209650994359E-2</v>
      </c>
      <c r="W733" s="6">
        <v>2.6564694339160506</v>
      </c>
      <c r="X733" s="6">
        <v>1.2739413765677468</v>
      </c>
      <c r="Y733" s="6">
        <v>12.47218162733582</v>
      </c>
    </row>
    <row r="734" spans="1:25" x14ac:dyDescent="0.25">
      <c r="A734" t="str">
        <f t="shared" si="11"/>
        <v>RTD Ice TeaFranceDecemberEUR (€)Fully-AutomatedOldCan1.5Medium-scaleMedium</v>
      </c>
      <c r="B734" t="s">
        <v>130</v>
      </c>
      <c r="C734" t="s">
        <v>130</v>
      </c>
      <c r="D734" t="s">
        <v>15</v>
      </c>
      <c r="E734" s="12" t="s">
        <v>182</v>
      </c>
      <c r="F734" t="s">
        <v>187</v>
      </c>
      <c r="G734" t="s">
        <v>12</v>
      </c>
      <c r="H734" t="s">
        <v>72</v>
      </c>
      <c r="I734" t="s">
        <v>125</v>
      </c>
      <c r="J734" s="12">
        <v>1.5</v>
      </c>
      <c r="K734" t="s">
        <v>62</v>
      </c>
      <c r="L734" t="s">
        <v>63</v>
      </c>
      <c r="M734" t="s">
        <v>200</v>
      </c>
      <c r="O734" t="s">
        <v>197</v>
      </c>
      <c r="P734">
        <v>4</v>
      </c>
      <c r="Q734" t="s">
        <v>198</v>
      </c>
      <c r="R734" s="6">
        <v>0.49951341503614233</v>
      </c>
      <c r="S734" s="6">
        <v>11.202244480878738</v>
      </c>
      <c r="T734" s="6">
        <v>7.0117221141665027</v>
      </c>
      <c r="U734" s="6">
        <v>62.448322911928379</v>
      </c>
      <c r="V734" s="6">
        <v>8.4545957419233833E-2</v>
      </c>
      <c r="W734" s="6">
        <v>2.7517351519604873</v>
      </c>
      <c r="X734" s="6">
        <v>1.3194643825185886</v>
      </c>
      <c r="Y734" s="6">
        <v>12.918113918255997</v>
      </c>
    </row>
    <row r="735" spans="1:25" x14ac:dyDescent="0.25">
      <c r="A735" t="str">
        <f t="shared" si="11"/>
        <v>RTD Ice TeaFranceDecemberEUR (€)Fully-AutomatedOldCan1.5Medium-scaleHigh</v>
      </c>
      <c r="B735" t="s">
        <v>130</v>
      </c>
      <c r="C735" t="s">
        <v>130</v>
      </c>
      <c r="D735" t="s">
        <v>15</v>
      </c>
      <c r="E735" s="12" t="s">
        <v>182</v>
      </c>
      <c r="F735" t="s">
        <v>187</v>
      </c>
      <c r="G735" t="s">
        <v>12</v>
      </c>
      <c r="H735" t="s">
        <v>72</v>
      </c>
      <c r="I735" t="s">
        <v>125</v>
      </c>
      <c r="J735" s="12">
        <v>1.5</v>
      </c>
      <c r="K735" t="s">
        <v>62</v>
      </c>
      <c r="L735" t="s">
        <v>11</v>
      </c>
      <c r="M735" t="s">
        <v>200</v>
      </c>
      <c r="O735" t="s">
        <v>197</v>
      </c>
      <c r="P735">
        <v>4</v>
      </c>
      <c r="Q735" t="s">
        <v>198</v>
      </c>
      <c r="R735" s="6">
        <v>0.51930677992041618</v>
      </c>
      <c r="S735" s="6">
        <v>11.646629755994624</v>
      </c>
      <c r="T735" s="6">
        <v>7.2896884632674865</v>
      </c>
      <c r="U735" s="6">
        <v>64.923948534765628</v>
      </c>
      <c r="V735" s="6">
        <v>8.7745725008932476E-2</v>
      </c>
      <c r="W735" s="6">
        <v>2.8546221274484789</v>
      </c>
      <c r="X735" s="6">
        <v>1.368629228945498</v>
      </c>
      <c r="Y735" s="6">
        <v>13.399720792449784</v>
      </c>
    </row>
    <row r="736" spans="1:25" x14ac:dyDescent="0.25">
      <c r="A736" t="str">
        <f t="shared" si="11"/>
        <v>RTD Ice TeaFranceDecemberEUR (€)Fully-AutomatedOldCan1.5Small-scaleLow</v>
      </c>
      <c r="B736" t="s">
        <v>130</v>
      </c>
      <c r="C736" t="s">
        <v>130</v>
      </c>
      <c r="D736" t="s">
        <v>15</v>
      </c>
      <c r="E736" s="12" t="s">
        <v>182</v>
      </c>
      <c r="F736" t="s">
        <v>187</v>
      </c>
      <c r="G736" t="s">
        <v>12</v>
      </c>
      <c r="H736" t="s">
        <v>72</v>
      </c>
      <c r="I736" t="s">
        <v>125</v>
      </c>
      <c r="J736" s="12">
        <v>1.5</v>
      </c>
      <c r="K736" t="s">
        <v>60</v>
      </c>
      <c r="L736" t="s">
        <v>13</v>
      </c>
      <c r="M736" t="s">
        <v>200</v>
      </c>
      <c r="O736" t="s">
        <v>197</v>
      </c>
      <c r="P736">
        <v>4</v>
      </c>
      <c r="Q736" t="s">
        <v>198</v>
      </c>
      <c r="R736" s="6">
        <v>0.48274598963824539</v>
      </c>
      <c r="S736" s="6">
        <v>10.821647501209734</v>
      </c>
      <c r="T736" s="6">
        <v>6.7752003272128798</v>
      </c>
      <c r="U736" s="6">
        <v>60.341971078522313</v>
      </c>
      <c r="V736" s="6">
        <v>8.2986829179613877E-2</v>
      </c>
      <c r="W736" s="6">
        <v>2.7094153641010901</v>
      </c>
      <c r="X736" s="6">
        <v>1.299036715969373</v>
      </c>
      <c r="Y736" s="6">
        <v>12.71813908946273</v>
      </c>
    </row>
    <row r="737" spans="1:25" x14ac:dyDescent="0.25">
      <c r="A737" t="str">
        <f t="shared" si="11"/>
        <v>RTD Ice TeaFranceDecemberEUR (€)Fully-AutomatedOldCan1.5Small-scaleMedium</v>
      </c>
      <c r="B737" t="s">
        <v>130</v>
      </c>
      <c r="C737" t="s">
        <v>130</v>
      </c>
      <c r="D737" t="s">
        <v>15</v>
      </c>
      <c r="E737" s="12" t="s">
        <v>182</v>
      </c>
      <c r="F737" t="s">
        <v>187</v>
      </c>
      <c r="G737" t="s">
        <v>12</v>
      </c>
      <c r="H737" t="s">
        <v>72</v>
      </c>
      <c r="I737" t="s">
        <v>125</v>
      </c>
      <c r="J737" s="12">
        <v>1.5</v>
      </c>
      <c r="K737" t="s">
        <v>60</v>
      </c>
      <c r="L737" t="s">
        <v>63</v>
      </c>
      <c r="M737" t="s">
        <v>200</v>
      </c>
      <c r="O737" t="s">
        <v>197</v>
      </c>
      <c r="P737">
        <v>4</v>
      </c>
      <c r="Q737" t="s">
        <v>198</v>
      </c>
      <c r="R737" s="6">
        <v>0.50107317934590667</v>
      </c>
      <c r="S737" s="6">
        <v>11.233115348539258</v>
      </c>
      <c r="T737" s="6">
        <v>7.0325765763804586</v>
      </c>
      <c r="U737" s="6">
        <v>62.634217025593884</v>
      </c>
      <c r="V737" s="6">
        <v>8.5949576947853379E-2</v>
      </c>
      <c r="W737" s="6">
        <v>2.8046810821455268</v>
      </c>
      <c r="X737" s="6">
        <v>1.344559721920215</v>
      </c>
      <c r="Y737" s="6">
        <v>13.164071380382907</v>
      </c>
    </row>
    <row r="738" spans="1:25" x14ac:dyDescent="0.25">
      <c r="A738" t="str">
        <f t="shared" si="11"/>
        <v>RTD Ice TeaFranceDecemberEUR (€)Fully-AutomatedOldCan1.5Small-scaleHigh</v>
      </c>
      <c r="B738" t="s">
        <v>130</v>
      </c>
      <c r="C738" t="s">
        <v>130</v>
      </c>
      <c r="D738" t="s">
        <v>15</v>
      </c>
      <c r="E738" s="12" t="s">
        <v>182</v>
      </c>
      <c r="F738" t="s">
        <v>187</v>
      </c>
      <c r="G738" t="s">
        <v>12</v>
      </c>
      <c r="H738" t="s">
        <v>72</v>
      </c>
      <c r="I738" t="s">
        <v>125</v>
      </c>
      <c r="J738" s="12">
        <v>1.5</v>
      </c>
      <c r="K738" t="s">
        <v>60</v>
      </c>
      <c r="L738" t="s">
        <v>11</v>
      </c>
      <c r="M738" t="s">
        <v>200</v>
      </c>
      <c r="O738" t="s">
        <v>197</v>
      </c>
      <c r="P738">
        <v>4</v>
      </c>
      <c r="Q738" t="s">
        <v>198</v>
      </c>
      <c r="R738" s="6">
        <v>0.52086654423018053</v>
      </c>
      <c r="S738" s="6">
        <v>11.677500623655146</v>
      </c>
      <c r="T738" s="6">
        <v>7.3105429254814434</v>
      </c>
      <c r="U738" s="6">
        <v>65.10984264843114</v>
      </c>
      <c r="V738" s="6">
        <v>8.9149344537551994E-2</v>
      </c>
      <c r="W738" s="6">
        <v>2.9075680576335192</v>
      </c>
      <c r="X738" s="6">
        <v>1.3937245683471242</v>
      </c>
      <c r="Y738" s="6">
        <v>13.645678254576694</v>
      </c>
    </row>
    <row r="739" spans="1:25" x14ac:dyDescent="0.25">
      <c r="A739" t="str">
        <f t="shared" si="11"/>
        <v>RTD Ice TeaFranceDecemberEUR (€)Fully-AutomatedOldCan1.5High-scaleLow</v>
      </c>
      <c r="B739" t="s">
        <v>130</v>
      </c>
      <c r="C739" t="s">
        <v>130</v>
      </c>
      <c r="D739" t="s">
        <v>15</v>
      </c>
      <c r="E739" s="12" t="s">
        <v>182</v>
      </c>
      <c r="F739" t="s">
        <v>187</v>
      </c>
      <c r="G739" t="s">
        <v>12</v>
      </c>
      <c r="H739" t="s">
        <v>72</v>
      </c>
      <c r="I739" t="s">
        <v>125</v>
      </c>
      <c r="J739" s="12">
        <v>1.5</v>
      </c>
      <c r="K739" t="s">
        <v>107</v>
      </c>
      <c r="L739" t="s">
        <v>13</v>
      </c>
      <c r="M739" t="s">
        <v>199</v>
      </c>
      <c r="O739" t="s">
        <v>197</v>
      </c>
      <c r="P739">
        <v>6</v>
      </c>
      <c r="Q739" t="s">
        <v>201</v>
      </c>
      <c r="R739" s="6">
        <v>0.48025036674262261</v>
      </c>
      <c r="S739" s="6">
        <v>10.772254112952902</v>
      </c>
      <c r="T739" s="6">
        <v>6.7418331876705491</v>
      </c>
      <c r="U739" s="6">
        <v>60.044540496657511</v>
      </c>
      <c r="V739" s="6">
        <v>7.2668379489131088E-2</v>
      </c>
      <c r="W739" s="6">
        <v>2.4092795065116963</v>
      </c>
      <c r="X739" s="6">
        <v>1.145626624216648</v>
      </c>
      <c r="Y739" s="6">
        <v>11.228741888850648</v>
      </c>
    </row>
    <row r="740" spans="1:25" x14ac:dyDescent="0.25">
      <c r="A740" t="str">
        <f t="shared" si="11"/>
        <v>RTD Ice TeaFranceDecemberEUR (€)Fully-AutomatedOldCan1.5High-scaleMedium</v>
      </c>
      <c r="B740" t="s">
        <v>130</v>
      </c>
      <c r="C740" t="s">
        <v>130</v>
      </c>
      <c r="D740" t="s">
        <v>15</v>
      </c>
      <c r="E740" s="12" t="s">
        <v>182</v>
      </c>
      <c r="F740" t="s">
        <v>187</v>
      </c>
      <c r="G740" t="s">
        <v>12</v>
      </c>
      <c r="H740" t="s">
        <v>72</v>
      </c>
      <c r="I740" t="s">
        <v>125</v>
      </c>
      <c r="J740" s="12">
        <v>1.5</v>
      </c>
      <c r="K740" t="s">
        <v>107</v>
      </c>
      <c r="L740" t="s">
        <v>63</v>
      </c>
      <c r="M740" t="s">
        <v>199</v>
      </c>
      <c r="O740" t="s">
        <v>197</v>
      </c>
      <c r="P740">
        <v>6</v>
      </c>
      <c r="Q740" t="s">
        <v>201</v>
      </c>
      <c r="R740" s="6">
        <v>0.49857755645028368</v>
      </c>
      <c r="S740" s="6">
        <v>11.183721960282426</v>
      </c>
      <c r="T740" s="6">
        <v>6.9992094368381288</v>
      </c>
      <c r="U740" s="6">
        <v>62.336786443729054</v>
      </c>
      <c r="V740" s="6">
        <v>7.5320640394113209E-2</v>
      </c>
      <c r="W740" s="6">
        <v>2.4962597488140825</v>
      </c>
      <c r="X740" s="6">
        <v>1.1867935706017159</v>
      </c>
      <c r="Y740" s="6">
        <v>11.632525515878168</v>
      </c>
    </row>
    <row r="741" spans="1:25" x14ac:dyDescent="0.25">
      <c r="A741" t="str">
        <f t="shared" si="11"/>
        <v>RTD Ice TeaFranceDecemberEUR (€)Fully-AutomatedOldCan1.5High-scaleHigh</v>
      </c>
      <c r="B741" t="s">
        <v>130</v>
      </c>
      <c r="C741" t="s">
        <v>130</v>
      </c>
      <c r="D741" t="s">
        <v>15</v>
      </c>
      <c r="E741" s="12" t="s">
        <v>182</v>
      </c>
      <c r="F741" t="s">
        <v>187</v>
      </c>
      <c r="G741" t="s">
        <v>12</v>
      </c>
      <c r="H741" t="s">
        <v>72</v>
      </c>
      <c r="I741" t="s">
        <v>125</v>
      </c>
      <c r="J741" s="12">
        <v>1.5</v>
      </c>
      <c r="K741" t="s">
        <v>107</v>
      </c>
      <c r="L741" t="s">
        <v>11</v>
      </c>
      <c r="M741" t="s">
        <v>199</v>
      </c>
      <c r="O741" t="s">
        <v>197</v>
      </c>
      <c r="P741">
        <v>6</v>
      </c>
      <c r="Q741" t="s">
        <v>201</v>
      </c>
      <c r="R741" s="6">
        <v>0.51837092133455764</v>
      </c>
      <c r="S741" s="6">
        <v>11.628107235398311</v>
      </c>
      <c r="T741" s="6">
        <v>7.2771757859391144</v>
      </c>
      <c r="U741" s="6">
        <v>64.812412066566324</v>
      </c>
      <c r="V741" s="6">
        <v>7.8185082171493878E-2</v>
      </c>
      <c r="W741" s="6">
        <v>2.5901984105006584</v>
      </c>
      <c r="X741" s="6">
        <v>1.2312538726975892</v>
      </c>
      <c r="Y741" s="6">
        <v>12.068611833067887</v>
      </c>
    </row>
    <row r="742" spans="1:25" x14ac:dyDescent="0.25">
      <c r="A742" t="str">
        <f t="shared" si="11"/>
        <v>RTD Ice TeaFranceDecemberEUR (€)Fully-AutomatedOldCan1.5Medium-scaleLow</v>
      </c>
      <c r="B742" t="s">
        <v>130</v>
      </c>
      <c r="C742" t="s">
        <v>130</v>
      </c>
      <c r="D742" t="s">
        <v>15</v>
      </c>
      <c r="E742" s="12" t="s">
        <v>182</v>
      </c>
      <c r="F742" t="s">
        <v>187</v>
      </c>
      <c r="G742" t="s">
        <v>12</v>
      </c>
      <c r="H742" t="s">
        <v>72</v>
      </c>
      <c r="I742" t="s">
        <v>125</v>
      </c>
      <c r="J742" s="12">
        <v>1.5</v>
      </c>
      <c r="K742" t="s">
        <v>62</v>
      </c>
      <c r="L742" t="s">
        <v>13</v>
      </c>
      <c r="M742" t="s">
        <v>199</v>
      </c>
      <c r="O742" t="s">
        <v>197</v>
      </c>
      <c r="P742">
        <v>6</v>
      </c>
      <c r="Q742" t="s">
        <v>201</v>
      </c>
      <c r="R742" s="6">
        <v>0.48118622532848115</v>
      </c>
      <c r="S742" s="6">
        <v>10.790776633549212</v>
      </c>
      <c r="T742" s="6">
        <v>6.754345864998923</v>
      </c>
      <c r="U742" s="6">
        <v>60.156076964856823</v>
      </c>
      <c r="V742" s="6">
        <v>7.3510551206302815E-2</v>
      </c>
      <c r="W742" s="6">
        <v>2.4410470646227211</v>
      </c>
      <c r="X742" s="6">
        <v>1.1606838278576237</v>
      </c>
      <c r="Y742" s="6">
        <v>11.37631636612679</v>
      </c>
    </row>
    <row r="743" spans="1:25" x14ac:dyDescent="0.25">
      <c r="A743" t="str">
        <f t="shared" si="11"/>
        <v>RTD Ice TeaFranceDecemberEUR (€)Fully-AutomatedOldCan1.5Medium-scaleMedium</v>
      </c>
      <c r="B743" t="s">
        <v>130</v>
      </c>
      <c r="C743" t="s">
        <v>130</v>
      </c>
      <c r="D743" t="s">
        <v>15</v>
      </c>
      <c r="E743" s="12" t="s">
        <v>182</v>
      </c>
      <c r="F743" t="s">
        <v>187</v>
      </c>
      <c r="G743" t="s">
        <v>12</v>
      </c>
      <c r="H743" t="s">
        <v>72</v>
      </c>
      <c r="I743" t="s">
        <v>125</v>
      </c>
      <c r="J743" s="12">
        <v>1.5</v>
      </c>
      <c r="K743" t="s">
        <v>62</v>
      </c>
      <c r="L743" t="s">
        <v>63</v>
      </c>
      <c r="M743" t="s">
        <v>199</v>
      </c>
      <c r="O743" t="s">
        <v>197</v>
      </c>
      <c r="P743">
        <v>6</v>
      </c>
      <c r="Q743" t="s">
        <v>201</v>
      </c>
      <c r="R743" s="6">
        <v>0.49951341503614233</v>
      </c>
      <c r="S743" s="6">
        <v>11.202244480878738</v>
      </c>
      <c r="T743" s="6">
        <v>7.0117221141665027</v>
      </c>
      <c r="U743" s="6">
        <v>62.448322911928379</v>
      </c>
      <c r="V743" s="6">
        <v>7.6162812111284922E-2</v>
      </c>
      <c r="W743" s="6">
        <v>2.5280273069251065</v>
      </c>
      <c r="X743" s="6">
        <v>1.2018507742426918</v>
      </c>
      <c r="Y743" s="6">
        <v>11.780099993154312</v>
      </c>
    </row>
    <row r="744" spans="1:25" x14ac:dyDescent="0.25">
      <c r="A744" t="str">
        <f t="shared" si="11"/>
        <v>RTD Ice TeaFranceDecemberEUR (€)Fully-AutomatedOldCan1.5Medium-scaleHigh</v>
      </c>
      <c r="B744" t="s">
        <v>130</v>
      </c>
      <c r="C744" t="s">
        <v>130</v>
      </c>
      <c r="D744" t="s">
        <v>15</v>
      </c>
      <c r="E744" s="12" t="s">
        <v>182</v>
      </c>
      <c r="F744" t="s">
        <v>187</v>
      </c>
      <c r="G744" t="s">
        <v>12</v>
      </c>
      <c r="H744" t="s">
        <v>72</v>
      </c>
      <c r="I744" t="s">
        <v>125</v>
      </c>
      <c r="J744" s="12">
        <v>1.5</v>
      </c>
      <c r="K744" t="s">
        <v>62</v>
      </c>
      <c r="L744" t="s">
        <v>11</v>
      </c>
      <c r="M744" t="s">
        <v>199</v>
      </c>
      <c r="O744" t="s">
        <v>197</v>
      </c>
      <c r="P744">
        <v>6</v>
      </c>
      <c r="Q744" t="s">
        <v>201</v>
      </c>
      <c r="R744" s="6">
        <v>0.51930677992041618</v>
      </c>
      <c r="S744" s="6">
        <v>11.646629755994624</v>
      </c>
      <c r="T744" s="6">
        <v>7.2896884632674865</v>
      </c>
      <c r="U744" s="6">
        <v>64.923948534765628</v>
      </c>
      <c r="V744" s="6">
        <v>7.9027253888665633E-2</v>
      </c>
      <c r="W744" s="6">
        <v>2.6219659686116827</v>
      </c>
      <c r="X744" s="6">
        <v>1.2463110763385652</v>
      </c>
      <c r="Y744" s="6">
        <v>12.216186310344035</v>
      </c>
    </row>
    <row r="745" spans="1:25" x14ac:dyDescent="0.25">
      <c r="A745" t="str">
        <f t="shared" si="11"/>
        <v>RTD Ice TeaFranceDecemberEUR (€)Fully-AutomatedOldCan1.5Small-scaleLow</v>
      </c>
      <c r="B745" t="s">
        <v>130</v>
      </c>
      <c r="C745" t="s">
        <v>130</v>
      </c>
      <c r="D745" t="s">
        <v>15</v>
      </c>
      <c r="E745" s="12" t="s">
        <v>182</v>
      </c>
      <c r="F745" t="s">
        <v>187</v>
      </c>
      <c r="G745" t="s">
        <v>12</v>
      </c>
      <c r="H745" t="s">
        <v>72</v>
      </c>
      <c r="I745" t="s">
        <v>125</v>
      </c>
      <c r="J745" s="12">
        <v>1.5</v>
      </c>
      <c r="K745" t="s">
        <v>60</v>
      </c>
      <c r="L745" t="s">
        <v>13</v>
      </c>
      <c r="M745" t="s">
        <v>199</v>
      </c>
      <c r="O745" t="s">
        <v>197</v>
      </c>
      <c r="P745">
        <v>6</v>
      </c>
      <c r="Q745" t="s">
        <v>201</v>
      </c>
      <c r="R745" s="6">
        <v>0.48274598963824539</v>
      </c>
      <c r="S745" s="6">
        <v>10.821647501209734</v>
      </c>
      <c r="T745" s="6">
        <v>6.7752003272128798</v>
      </c>
      <c r="U745" s="6">
        <v>60.341971078522313</v>
      </c>
      <c r="V745" s="6">
        <v>7.4914170734922347E-2</v>
      </c>
      <c r="W745" s="6">
        <v>2.4939929948077606</v>
      </c>
      <c r="X745" s="6">
        <v>1.1857791672592499</v>
      </c>
      <c r="Y745" s="6">
        <v>11.6222738282537</v>
      </c>
    </row>
    <row r="746" spans="1:25" x14ac:dyDescent="0.25">
      <c r="A746" t="str">
        <f t="shared" si="11"/>
        <v>RTD Ice TeaFranceDecemberEUR (€)Fully-AutomatedOldCan1.5Small-scaleMedium</v>
      </c>
      <c r="B746" t="s">
        <v>130</v>
      </c>
      <c r="C746" t="s">
        <v>130</v>
      </c>
      <c r="D746" t="s">
        <v>15</v>
      </c>
      <c r="E746" s="12" t="s">
        <v>182</v>
      </c>
      <c r="F746" t="s">
        <v>187</v>
      </c>
      <c r="G746" t="s">
        <v>12</v>
      </c>
      <c r="H746" t="s">
        <v>72</v>
      </c>
      <c r="I746" t="s">
        <v>125</v>
      </c>
      <c r="J746" s="12">
        <v>1.5</v>
      </c>
      <c r="K746" t="s">
        <v>60</v>
      </c>
      <c r="L746" t="s">
        <v>63</v>
      </c>
      <c r="M746" t="s">
        <v>199</v>
      </c>
      <c r="O746" t="s">
        <v>197</v>
      </c>
      <c r="P746">
        <v>6</v>
      </c>
      <c r="Q746" t="s">
        <v>201</v>
      </c>
      <c r="R746" s="6">
        <v>0.50107317934590667</v>
      </c>
      <c r="S746" s="6">
        <v>11.233115348539258</v>
      </c>
      <c r="T746" s="6">
        <v>7.0325765763804586</v>
      </c>
      <c r="U746" s="6">
        <v>62.634217025593884</v>
      </c>
      <c r="V746" s="6">
        <v>7.7566431639904482E-2</v>
      </c>
      <c r="W746" s="6">
        <v>2.5809732371101464</v>
      </c>
      <c r="X746" s="6">
        <v>1.2269461136443183</v>
      </c>
      <c r="Y746" s="6">
        <v>12.026057455281224</v>
      </c>
    </row>
    <row r="747" spans="1:25" x14ac:dyDescent="0.25">
      <c r="A747" t="str">
        <f t="shared" si="11"/>
        <v>RTD Ice TeaFranceDecemberEUR (€)Fully-AutomatedOldCan1.5Small-scaleHigh</v>
      </c>
      <c r="B747" t="s">
        <v>130</v>
      </c>
      <c r="C747" t="s">
        <v>130</v>
      </c>
      <c r="D747" t="s">
        <v>15</v>
      </c>
      <c r="E747" s="12" t="s">
        <v>182</v>
      </c>
      <c r="F747" t="s">
        <v>187</v>
      </c>
      <c r="G747" t="s">
        <v>12</v>
      </c>
      <c r="H747" t="s">
        <v>72</v>
      </c>
      <c r="I747" t="s">
        <v>125</v>
      </c>
      <c r="J747" s="12">
        <v>1.5</v>
      </c>
      <c r="K747" t="s">
        <v>60</v>
      </c>
      <c r="L747" t="s">
        <v>11</v>
      </c>
      <c r="M747" t="s">
        <v>199</v>
      </c>
      <c r="O747" t="s">
        <v>197</v>
      </c>
      <c r="P747">
        <v>6</v>
      </c>
      <c r="Q747" t="s">
        <v>201</v>
      </c>
      <c r="R747" s="6">
        <v>0.52086654423018053</v>
      </c>
      <c r="S747" s="6">
        <v>11.677500623655146</v>
      </c>
      <c r="T747" s="6">
        <v>7.3105429254814434</v>
      </c>
      <c r="U747" s="6">
        <v>65.10984264843114</v>
      </c>
      <c r="V747" s="6">
        <v>8.0430873417285137E-2</v>
      </c>
      <c r="W747" s="6">
        <v>2.6749118987967226</v>
      </c>
      <c r="X747" s="6">
        <v>1.2714064157401914</v>
      </c>
      <c r="Y747" s="6">
        <v>12.462143772470945</v>
      </c>
    </row>
    <row r="748" spans="1:25" x14ac:dyDescent="0.25">
      <c r="A748" t="str">
        <f t="shared" si="11"/>
        <v>RTD Ice TeaFranceDecemberEUR (€)Fully-AutomatedOldCan1.5High-scaleLow</v>
      </c>
      <c r="B748" t="s">
        <v>130</v>
      </c>
      <c r="C748" t="s">
        <v>130</v>
      </c>
      <c r="D748" t="s">
        <v>15</v>
      </c>
      <c r="E748" s="12" t="s">
        <v>182</v>
      </c>
      <c r="F748" t="s">
        <v>187</v>
      </c>
      <c r="G748" t="s">
        <v>12</v>
      </c>
      <c r="H748" t="s">
        <v>72</v>
      </c>
      <c r="I748" t="s">
        <v>125</v>
      </c>
      <c r="J748" s="12">
        <v>1.5</v>
      </c>
      <c r="K748" t="s">
        <v>107</v>
      </c>
      <c r="L748" t="s">
        <v>13</v>
      </c>
      <c r="M748" t="s">
        <v>200</v>
      </c>
      <c r="O748" t="s">
        <v>197</v>
      </c>
      <c r="P748">
        <v>6</v>
      </c>
      <c r="Q748" t="s">
        <v>201</v>
      </c>
      <c r="R748" s="6">
        <v>0.48025036674262261</v>
      </c>
      <c r="S748" s="6">
        <v>10.772254112952902</v>
      </c>
      <c r="T748" s="6">
        <v>6.7418331876705491</v>
      </c>
      <c r="U748" s="6">
        <v>60.044540496657511</v>
      </c>
      <c r="V748" s="6">
        <v>7.2668379489131088E-2</v>
      </c>
      <c r="W748" s="6">
        <v>2.4092795065116963</v>
      </c>
      <c r="X748" s="6">
        <v>1.145626624216648</v>
      </c>
      <c r="Y748" s="6">
        <v>11.228741888850648</v>
      </c>
    </row>
    <row r="749" spans="1:25" x14ac:dyDescent="0.25">
      <c r="A749" t="str">
        <f t="shared" si="11"/>
        <v>RTD Ice TeaFranceDecemberEUR (€)Fully-AutomatedOldCan1.5High-scaleMedium</v>
      </c>
      <c r="B749" t="s">
        <v>130</v>
      </c>
      <c r="C749" t="s">
        <v>130</v>
      </c>
      <c r="D749" t="s">
        <v>15</v>
      </c>
      <c r="E749" s="12" t="s">
        <v>182</v>
      </c>
      <c r="F749" t="s">
        <v>187</v>
      </c>
      <c r="G749" t="s">
        <v>12</v>
      </c>
      <c r="H749" t="s">
        <v>72</v>
      </c>
      <c r="I749" t="s">
        <v>125</v>
      </c>
      <c r="J749" s="12">
        <v>1.5</v>
      </c>
      <c r="K749" t="s">
        <v>107</v>
      </c>
      <c r="L749" t="s">
        <v>63</v>
      </c>
      <c r="M749" t="s">
        <v>200</v>
      </c>
      <c r="O749" t="s">
        <v>197</v>
      </c>
      <c r="P749">
        <v>6</v>
      </c>
      <c r="Q749" t="s">
        <v>201</v>
      </c>
      <c r="R749" s="6">
        <v>0.49857755645028368</v>
      </c>
      <c r="S749" s="6">
        <v>11.183721960282426</v>
      </c>
      <c r="T749" s="6">
        <v>6.9992094368381288</v>
      </c>
      <c r="U749" s="6">
        <v>62.336786443729054</v>
      </c>
      <c r="V749" s="6">
        <v>7.5320640394113209E-2</v>
      </c>
      <c r="W749" s="6">
        <v>2.4962597488140825</v>
      </c>
      <c r="X749" s="6">
        <v>1.1867935706017159</v>
      </c>
      <c r="Y749" s="6">
        <v>11.632525515878168</v>
      </c>
    </row>
    <row r="750" spans="1:25" x14ac:dyDescent="0.25">
      <c r="A750" t="str">
        <f t="shared" si="11"/>
        <v>RTD Ice TeaFranceDecemberEUR (€)Fully-AutomatedOldCan1.5High-scaleHigh</v>
      </c>
      <c r="B750" t="s">
        <v>130</v>
      </c>
      <c r="C750" t="s">
        <v>130</v>
      </c>
      <c r="D750" t="s">
        <v>15</v>
      </c>
      <c r="E750" s="12" t="s">
        <v>182</v>
      </c>
      <c r="F750" t="s">
        <v>187</v>
      </c>
      <c r="G750" t="s">
        <v>12</v>
      </c>
      <c r="H750" t="s">
        <v>72</v>
      </c>
      <c r="I750" t="s">
        <v>125</v>
      </c>
      <c r="J750" s="12">
        <v>1.5</v>
      </c>
      <c r="K750" t="s">
        <v>107</v>
      </c>
      <c r="L750" t="s">
        <v>11</v>
      </c>
      <c r="M750" t="s">
        <v>200</v>
      </c>
      <c r="O750" t="s">
        <v>197</v>
      </c>
      <c r="P750">
        <v>6</v>
      </c>
      <c r="Q750" t="s">
        <v>201</v>
      </c>
      <c r="R750" s="6">
        <v>0.51837092133455764</v>
      </c>
      <c r="S750" s="6">
        <v>11.628107235398311</v>
      </c>
      <c r="T750" s="6">
        <v>7.2771757859391144</v>
      </c>
      <c r="U750" s="6">
        <v>64.812412066566324</v>
      </c>
      <c r="V750" s="6">
        <v>7.8185082171493878E-2</v>
      </c>
      <c r="W750" s="6">
        <v>2.5901984105006584</v>
      </c>
      <c r="X750" s="6">
        <v>1.2312538726975892</v>
      </c>
      <c r="Y750" s="6">
        <v>12.068611833067887</v>
      </c>
    </row>
    <row r="751" spans="1:25" x14ac:dyDescent="0.25">
      <c r="A751" t="str">
        <f t="shared" si="11"/>
        <v>RTD Ice TeaFranceDecemberEUR (€)Fully-AutomatedOldCan1.5Medium-scaleLow</v>
      </c>
      <c r="B751" t="s">
        <v>130</v>
      </c>
      <c r="C751" t="s">
        <v>130</v>
      </c>
      <c r="D751" t="s">
        <v>15</v>
      </c>
      <c r="E751" s="12" t="s">
        <v>182</v>
      </c>
      <c r="F751" t="s">
        <v>187</v>
      </c>
      <c r="G751" t="s">
        <v>12</v>
      </c>
      <c r="H751" t="s">
        <v>72</v>
      </c>
      <c r="I751" t="s">
        <v>125</v>
      </c>
      <c r="J751" s="12">
        <v>1.5</v>
      </c>
      <c r="K751" t="s">
        <v>62</v>
      </c>
      <c r="L751" t="s">
        <v>13</v>
      </c>
      <c r="M751" t="s">
        <v>200</v>
      </c>
      <c r="O751" t="s">
        <v>197</v>
      </c>
      <c r="P751">
        <v>6</v>
      </c>
      <c r="Q751" t="s">
        <v>201</v>
      </c>
      <c r="R751" s="6">
        <v>0.48118622532848115</v>
      </c>
      <c r="S751" s="6">
        <v>10.790776633549212</v>
      </c>
      <c r="T751" s="6">
        <v>6.754345864998923</v>
      </c>
      <c r="U751" s="6">
        <v>60.156076964856823</v>
      </c>
      <c r="V751" s="6">
        <v>7.3510551206302815E-2</v>
      </c>
      <c r="W751" s="6">
        <v>2.4410470646227211</v>
      </c>
      <c r="X751" s="6">
        <v>1.1606838278576237</v>
      </c>
      <c r="Y751" s="6">
        <v>11.37631636612679</v>
      </c>
    </row>
    <row r="752" spans="1:25" x14ac:dyDescent="0.25">
      <c r="A752" t="str">
        <f t="shared" si="11"/>
        <v>RTD Ice TeaFranceDecemberEUR (€)Fully-AutomatedOldCan1.5Medium-scaleMedium</v>
      </c>
      <c r="B752" t="s">
        <v>130</v>
      </c>
      <c r="C752" t="s">
        <v>130</v>
      </c>
      <c r="D752" t="s">
        <v>15</v>
      </c>
      <c r="E752" s="12" t="s">
        <v>182</v>
      </c>
      <c r="F752" t="s">
        <v>187</v>
      </c>
      <c r="G752" t="s">
        <v>12</v>
      </c>
      <c r="H752" t="s">
        <v>72</v>
      </c>
      <c r="I752" t="s">
        <v>125</v>
      </c>
      <c r="J752" s="12">
        <v>1.5</v>
      </c>
      <c r="K752" t="s">
        <v>62</v>
      </c>
      <c r="L752" t="s">
        <v>63</v>
      </c>
      <c r="M752" t="s">
        <v>200</v>
      </c>
      <c r="O752" t="s">
        <v>197</v>
      </c>
      <c r="P752">
        <v>6</v>
      </c>
      <c r="Q752" t="s">
        <v>201</v>
      </c>
      <c r="R752" s="6">
        <v>0.49951341503614233</v>
      </c>
      <c r="S752" s="6">
        <v>11.202244480878738</v>
      </c>
      <c r="T752" s="6">
        <v>7.0117221141665027</v>
      </c>
      <c r="U752" s="6">
        <v>62.448322911928379</v>
      </c>
      <c r="V752" s="6">
        <v>7.6162812111284922E-2</v>
      </c>
      <c r="W752" s="6">
        <v>2.5280273069251065</v>
      </c>
      <c r="X752" s="6">
        <v>1.2018507742426918</v>
      </c>
      <c r="Y752" s="6">
        <v>11.780099993154312</v>
      </c>
    </row>
    <row r="753" spans="1:25" x14ac:dyDescent="0.25">
      <c r="A753" t="str">
        <f t="shared" si="11"/>
        <v>RTD Ice TeaFranceDecemberEUR (€)Fully-AutomatedOldCan1.5Medium-scaleHigh</v>
      </c>
      <c r="B753" t="s">
        <v>130</v>
      </c>
      <c r="C753" t="s">
        <v>130</v>
      </c>
      <c r="D753" t="s">
        <v>15</v>
      </c>
      <c r="E753" s="12" t="s">
        <v>182</v>
      </c>
      <c r="F753" t="s">
        <v>187</v>
      </c>
      <c r="G753" t="s">
        <v>12</v>
      </c>
      <c r="H753" t="s">
        <v>72</v>
      </c>
      <c r="I753" t="s">
        <v>125</v>
      </c>
      <c r="J753" s="12">
        <v>1.5</v>
      </c>
      <c r="K753" t="s">
        <v>62</v>
      </c>
      <c r="L753" t="s">
        <v>11</v>
      </c>
      <c r="M753" t="s">
        <v>200</v>
      </c>
      <c r="O753" t="s">
        <v>197</v>
      </c>
      <c r="P753">
        <v>6</v>
      </c>
      <c r="Q753" t="s">
        <v>201</v>
      </c>
      <c r="R753" s="6">
        <v>0.51930677992041618</v>
      </c>
      <c r="S753" s="6">
        <v>11.646629755994624</v>
      </c>
      <c r="T753" s="6">
        <v>7.2896884632674865</v>
      </c>
      <c r="U753" s="6">
        <v>64.923948534765628</v>
      </c>
      <c r="V753" s="6">
        <v>7.9027253888665633E-2</v>
      </c>
      <c r="W753" s="6">
        <v>2.6219659686116827</v>
      </c>
      <c r="X753" s="6">
        <v>1.2463110763385652</v>
      </c>
      <c r="Y753" s="6">
        <v>12.216186310344035</v>
      </c>
    </row>
    <row r="754" spans="1:25" x14ac:dyDescent="0.25">
      <c r="A754" t="str">
        <f t="shared" si="11"/>
        <v>RTD Ice TeaFranceDecemberEUR (€)Fully-AutomatedOldCan1.5Small-scaleLow</v>
      </c>
      <c r="B754" t="s">
        <v>130</v>
      </c>
      <c r="C754" t="s">
        <v>130</v>
      </c>
      <c r="D754" t="s">
        <v>15</v>
      </c>
      <c r="E754" s="12" t="s">
        <v>182</v>
      </c>
      <c r="F754" t="s">
        <v>187</v>
      </c>
      <c r="G754" t="s">
        <v>12</v>
      </c>
      <c r="H754" t="s">
        <v>72</v>
      </c>
      <c r="I754" t="s">
        <v>125</v>
      </c>
      <c r="J754" s="12">
        <v>1.5</v>
      </c>
      <c r="K754" t="s">
        <v>60</v>
      </c>
      <c r="L754" t="s">
        <v>13</v>
      </c>
      <c r="M754" t="s">
        <v>200</v>
      </c>
      <c r="O754" t="s">
        <v>197</v>
      </c>
      <c r="P754">
        <v>6</v>
      </c>
      <c r="Q754" t="s">
        <v>201</v>
      </c>
      <c r="R754" s="6">
        <v>0.48274598963824539</v>
      </c>
      <c r="S754" s="6">
        <v>10.821647501209734</v>
      </c>
      <c r="T754" s="6">
        <v>6.7752003272128798</v>
      </c>
      <c r="U754" s="6">
        <v>60.341971078522313</v>
      </c>
      <c r="V754" s="6">
        <v>7.4914170734922347E-2</v>
      </c>
      <c r="W754" s="6">
        <v>2.4939929948077606</v>
      </c>
      <c r="X754" s="6">
        <v>1.1857791672592499</v>
      </c>
      <c r="Y754" s="6">
        <v>11.6222738282537</v>
      </c>
    </row>
    <row r="755" spans="1:25" x14ac:dyDescent="0.25">
      <c r="A755" t="str">
        <f t="shared" si="11"/>
        <v>RTD Ice TeaFranceDecemberEUR (€)Fully-AutomatedOldCan1.5Small-scaleMedium</v>
      </c>
      <c r="B755" t="s">
        <v>130</v>
      </c>
      <c r="C755" t="s">
        <v>130</v>
      </c>
      <c r="D755" t="s">
        <v>15</v>
      </c>
      <c r="E755" s="12" t="s">
        <v>182</v>
      </c>
      <c r="F755" t="s">
        <v>187</v>
      </c>
      <c r="G755" t="s">
        <v>12</v>
      </c>
      <c r="H755" t="s">
        <v>72</v>
      </c>
      <c r="I755" t="s">
        <v>125</v>
      </c>
      <c r="J755" s="12">
        <v>1.5</v>
      </c>
      <c r="K755" t="s">
        <v>60</v>
      </c>
      <c r="L755" t="s">
        <v>63</v>
      </c>
      <c r="M755" t="s">
        <v>200</v>
      </c>
      <c r="O755" t="s">
        <v>197</v>
      </c>
      <c r="P755">
        <v>6</v>
      </c>
      <c r="Q755" t="s">
        <v>201</v>
      </c>
      <c r="R755" s="6">
        <v>0.50107317934590667</v>
      </c>
      <c r="S755" s="6">
        <v>11.233115348539258</v>
      </c>
      <c r="T755" s="6">
        <v>7.0325765763804586</v>
      </c>
      <c r="U755" s="6">
        <v>62.634217025593884</v>
      </c>
      <c r="V755" s="6">
        <v>7.7566431639904482E-2</v>
      </c>
      <c r="W755" s="6">
        <v>2.5809732371101464</v>
      </c>
      <c r="X755" s="6">
        <v>1.2269461136443183</v>
      </c>
      <c r="Y755" s="6">
        <v>12.026057455281224</v>
      </c>
    </row>
    <row r="756" spans="1:25" x14ac:dyDescent="0.25">
      <c r="A756" t="str">
        <f t="shared" si="11"/>
        <v>RTD Ice TeaFranceDecemberEUR (€)Fully-AutomatedOldCan1.5Small-scaleHigh</v>
      </c>
      <c r="B756" t="s">
        <v>130</v>
      </c>
      <c r="C756" t="s">
        <v>130</v>
      </c>
      <c r="D756" t="s">
        <v>15</v>
      </c>
      <c r="E756" s="12" t="s">
        <v>182</v>
      </c>
      <c r="F756" t="s">
        <v>187</v>
      </c>
      <c r="G756" t="s">
        <v>12</v>
      </c>
      <c r="H756" t="s">
        <v>72</v>
      </c>
      <c r="I756" t="s">
        <v>125</v>
      </c>
      <c r="J756" s="12">
        <v>1.5</v>
      </c>
      <c r="K756" t="s">
        <v>60</v>
      </c>
      <c r="L756" t="s">
        <v>11</v>
      </c>
      <c r="M756" t="s">
        <v>200</v>
      </c>
      <c r="O756" t="s">
        <v>197</v>
      </c>
      <c r="P756">
        <v>6</v>
      </c>
      <c r="Q756" t="s">
        <v>201</v>
      </c>
      <c r="R756" s="6">
        <v>0.52086654423018053</v>
      </c>
      <c r="S756" s="6">
        <v>11.677500623655146</v>
      </c>
      <c r="T756" s="6">
        <v>7.3105429254814434</v>
      </c>
      <c r="U756" s="6">
        <v>65.10984264843114</v>
      </c>
      <c r="V756" s="6">
        <v>8.0430873417285137E-2</v>
      </c>
      <c r="W756" s="6">
        <v>2.6749118987967226</v>
      </c>
      <c r="X756" s="6">
        <v>1.2714064157401914</v>
      </c>
      <c r="Y756" s="6">
        <v>12.462143772470945</v>
      </c>
    </row>
    <row r="757" spans="1:25" x14ac:dyDescent="0.25">
      <c r="A757" t="str">
        <f t="shared" si="11"/>
        <v>RTD Ice TeaFranceDecemberEUR (€)Fully-AutomatedOldCan1.5High-scaleLow</v>
      </c>
      <c r="B757" t="s">
        <v>130</v>
      </c>
      <c r="C757" t="s">
        <v>130</v>
      </c>
      <c r="D757" t="s">
        <v>15</v>
      </c>
      <c r="E757" s="12" t="s">
        <v>182</v>
      </c>
      <c r="F757" t="s">
        <v>187</v>
      </c>
      <c r="G757" t="s">
        <v>12</v>
      </c>
      <c r="H757" t="s">
        <v>72</v>
      </c>
      <c r="I757" t="s">
        <v>125</v>
      </c>
      <c r="J757" s="12">
        <v>1.5</v>
      </c>
      <c r="K757" t="s">
        <v>107</v>
      </c>
      <c r="L757" t="s">
        <v>13</v>
      </c>
      <c r="M757" t="s">
        <v>199</v>
      </c>
      <c r="O757" t="s">
        <v>197</v>
      </c>
      <c r="P757">
        <v>8</v>
      </c>
      <c r="Q757" t="s">
        <v>202</v>
      </c>
      <c r="R757" s="6">
        <v>0.48025036674262261</v>
      </c>
      <c r="S757" s="6">
        <v>10.772254112952902</v>
      </c>
      <c r="T757" s="6">
        <v>6.7418331876705491</v>
      </c>
      <c r="U757" s="6">
        <v>60.044540496657511</v>
      </c>
      <c r="V757" s="6">
        <v>6.8271828665706413E-2</v>
      </c>
      <c r="W757" s="6">
        <v>2.2919556532123546</v>
      </c>
      <c r="X757" s="6">
        <v>1.083944023317313</v>
      </c>
      <c r="Y757" s="6">
        <v>10.63190909212811</v>
      </c>
    </row>
    <row r="758" spans="1:25" x14ac:dyDescent="0.25">
      <c r="A758" t="str">
        <f t="shared" si="11"/>
        <v>RTD Ice TeaFranceDecemberEUR (€)Fully-AutomatedOldCan1.5High-scaleMedium</v>
      </c>
      <c r="B758" t="s">
        <v>130</v>
      </c>
      <c r="C758" t="s">
        <v>130</v>
      </c>
      <c r="D758" t="s">
        <v>15</v>
      </c>
      <c r="E758" s="12" t="s">
        <v>182</v>
      </c>
      <c r="F758" t="s">
        <v>187</v>
      </c>
      <c r="G758" t="s">
        <v>12</v>
      </c>
      <c r="H758" t="s">
        <v>72</v>
      </c>
      <c r="I758" t="s">
        <v>125</v>
      </c>
      <c r="J758" s="12">
        <v>1.5</v>
      </c>
      <c r="K758" t="s">
        <v>107</v>
      </c>
      <c r="L758" t="s">
        <v>63</v>
      </c>
      <c r="M758" t="s">
        <v>199</v>
      </c>
      <c r="O758" t="s">
        <v>197</v>
      </c>
      <c r="P758">
        <v>8</v>
      </c>
      <c r="Q758" t="s">
        <v>202</v>
      </c>
      <c r="R758" s="6">
        <v>0.49857755645028368</v>
      </c>
      <c r="S758" s="6">
        <v>11.183721960282426</v>
      </c>
      <c r="T758" s="6">
        <v>6.9992094368381288</v>
      </c>
      <c r="U758" s="6">
        <v>62.336786443729054</v>
      </c>
      <c r="V758" s="6">
        <v>7.0754991462095268E-2</v>
      </c>
      <c r="W758" s="6">
        <v>2.3744234396186115</v>
      </c>
      <c r="X758" s="6">
        <v>1.1227385619754837</v>
      </c>
      <c r="Y758" s="6">
        <v>11.01273761158938</v>
      </c>
    </row>
    <row r="759" spans="1:25" x14ac:dyDescent="0.25">
      <c r="A759" t="str">
        <f t="shared" si="11"/>
        <v>RTD Ice TeaFranceDecemberEUR (€)Fully-AutomatedOldCan1.5High-scaleHigh</v>
      </c>
      <c r="B759" t="s">
        <v>130</v>
      </c>
      <c r="C759" t="s">
        <v>130</v>
      </c>
      <c r="D759" t="s">
        <v>15</v>
      </c>
      <c r="E759" s="12" t="s">
        <v>182</v>
      </c>
      <c r="F759" t="s">
        <v>187</v>
      </c>
      <c r="G759" t="s">
        <v>12</v>
      </c>
      <c r="H759" t="s">
        <v>72</v>
      </c>
      <c r="I759" t="s">
        <v>125</v>
      </c>
      <c r="J759" s="12">
        <v>1.5</v>
      </c>
      <c r="K759" t="s">
        <v>107</v>
      </c>
      <c r="L759" t="s">
        <v>11</v>
      </c>
      <c r="M759" t="s">
        <v>199</v>
      </c>
      <c r="O759" t="s">
        <v>197</v>
      </c>
      <c r="P759">
        <v>8</v>
      </c>
      <c r="Q759" t="s">
        <v>202</v>
      </c>
      <c r="R759" s="6">
        <v>0.51837092133455764</v>
      </c>
      <c r="S759" s="6">
        <v>11.628107235398311</v>
      </c>
      <c r="T759" s="6">
        <v>7.2771757859391144</v>
      </c>
      <c r="U759" s="6">
        <v>64.812412066566324</v>
      </c>
      <c r="V759" s="6">
        <v>7.3436807282195246E-2</v>
      </c>
      <c r="W759" s="6">
        <v>2.4634886489373691</v>
      </c>
      <c r="X759" s="6">
        <v>1.1646366637263079</v>
      </c>
      <c r="Y759" s="6">
        <v>11.42403241260755</v>
      </c>
    </row>
    <row r="760" spans="1:25" x14ac:dyDescent="0.25">
      <c r="A760" t="str">
        <f t="shared" si="11"/>
        <v>RTD Ice TeaFranceDecemberEUR (€)Fully-AutomatedOldCan1.5Medium-scaleLow</v>
      </c>
      <c r="B760" t="s">
        <v>130</v>
      </c>
      <c r="C760" t="s">
        <v>130</v>
      </c>
      <c r="D760" t="s">
        <v>15</v>
      </c>
      <c r="E760" s="12" t="s">
        <v>182</v>
      </c>
      <c r="F760" t="s">
        <v>187</v>
      </c>
      <c r="G760" t="s">
        <v>12</v>
      </c>
      <c r="H760" t="s">
        <v>72</v>
      </c>
      <c r="I760" t="s">
        <v>125</v>
      </c>
      <c r="J760" s="12">
        <v>1.5</v>
      </c>
      <c r="K760" t="s">
        <v>62</v>
      </c>
      <c r="L760" t="s">
        <v>13</v>
      </c>
      <c r="M760" t="s">
        <v>199</v>
      </c>
      <c r="O760" t="s">
        <v>197</v>
      </c>
      <c r="P760">
        <v>8</v>
      </c>
      <c r="Q760" t="s">
        <v>202</v>
      </c>
      <c r="R760" s="6">
        <v>0.48118622532848115</v>
      </c>
      <c r="S760" s="6">
        <v>10.790776633549212</v>
      </c>
      <c r="T760" s="6">
        <v>6.754345864998923</v>
      </c>
      <c r="U760" s="6">
        <v>60.156076964856823</v>
      </c>
      <c r="V760" s="6">
        <v>6.9114000382878141E-2</v>
      </c>
      <c r="W760" s="6">
        <v>2.323723211323379</v>
      </c>
      <c r="X760" s="6">
        <v>1.0990012269582892</v>
      </c>
      <c r="Y760" s="6">
        <v>10.779483569404256</v>
      </c>
    </row>
    <row r="761" spans="1:25" x14ac:dyDescent="0.25">
      <c r="A761" t="str">
        <f t="shared" si="11"/>
        <v>RTD Ice TeaFranceDecemberEUR (€)Fully-AutomatedOldCan1.5Medium-scaleMedium</v>
      </c>
      <c r="B761" t="s">
        <v>130</v>
      </c>
      <c r="C761" t="s">
        <v>130</v>
      </c>
      <c r="D761" t="s">
        <v>15</v>
      </c>
      <c r="E761" s="12" t="s">
        <v>182</v>
      </c>
      <c r="F761" t="s">
        <v>187</v>
      </c>
      <c r="G761" t="s">
        <v>12</v>
      </c>
      <c r="H761" t="s">
        <v>72</v>
      </c>
      <c r="I761" t="s">
        <v>125</v>
      </c>
      <c r="J761" s="12">
        <v>1.5</v>
      </c>
      <c r="K761" t="s">
        <v>62</v>
      </c>
      <c r="L761" t="s">
        <v>63</v>
      </c>
      <c r="M761" t="s">
        <v>199</v>
      </c>
      <c r="O761" t="s">
        <v>197</v>
      </c>
      <c r="P761">
        <v>8</v>
      </c>
      <c r="Q761" t="s">
        <v>202</v>
      </c>
      <c r="R761" s="6">
        <v>0.49951341503614233</v>
      </c>
      <c r="S761" s="6">
        <v>11.202244480878738</v>
      </c>
      <c r="T761" s="6">
        <v>7.0117221141665027</v>
      </c>
      <c r="U761" s="6">
        <v>62.448322911928379</v>
      </c>
      <c r="V761" s="6">
        <v>7.1597163179266995E-2</v>
      </c>
      <c r="W761" s="6">
        <v>2.4061909977296358</v>
      </c>
      <c r="X761" s="6">
        <v>1.1377957656164597</v>
      </c>
      <c r="Y761" s="6">
        <v>11.160312088865526</v>
      </c>
    </row>
    <row r="762" spans="1:25" x14ac:dyDescent="0.25">
      <c r="A762" t="str">
        <f t="shared" si="11"/>
        <v>RTD Ice TeaFranceDecemberEUR (€)Fully-AutomatedOldCan1.5Medium-scaleHigh</v>
      </c>
      <c r="B762" t="s">
        <v>130</v>
      </c>
      <c r="C762" t="s">
        <v>130</v>
      </c>
      <c r="D762" t="s">
        <v>15</v>
      </c>
      <c r="E762" s="12" t="s">
        <v>182</v>
      </c>
      <c r="F762" t="s">
        <v>187</v>
      </c>
      <c r="G762" t="s">
        <v>12</v>
      </c>
      <c r="H762" t="s">
        <v>72</v>
      </c>
      <c r="I762" t="s">
        <v>125</v>
      </c>
      <c r="J762" s="12">
        <v>1.5</v>
      </c>
      <c r="K762" t="s">
        <v>62</v>
      </c>
      <c r="L762" t="s">
        <v>11</v>
      </c>
      <c r="M762" t="s">
        <v>199</v>
      </c>
      <c r="O762" t="s">
        <v>197</v>
      </c>
      <c r="P762">
        <v>8</v>
      </c>
      <c r="Q762" t="s">
        <v>202</v>
      </c>
      <c r="R762" s="6">
        <v>0.51930677992041618</v>
      </c>
      <c r="S762" s="6">
        <v>11.646629755994624</v>
      </c>
      <c r="T762" s="6">
        <v>7.2896884632674865</v>
      </c>
      <c r="U762" s="6">
        <v>64.923948534765628</v>
      </c>
      <c r="V762" s="6">
        <v>7.4278978999366974E-2</v>
      </c>
      <c r="W762" s="6">
        <v>2.4952562070483935</v>
      </c>
      <c r="X762" s="6">
        <v>1.1796938673672839</v>
      </c>
      <c r="Y762" s="6">
        <v>11.571606889883697</v>
      </c>
    </row>
    <row r="763" spans="1:25" x14ac:dyDescent="0.25">
      <c r="A763" t="str">
        <f t="shared" si="11"/>
        <v>RTD Ice TeaFranceDecemberEUR (€)Fully-AutomatedOldCan1.5Small-scaleLow</v>
      </c>
      <c r="B763" t="s">
        <v>130</v>
      </c>
      <c r="C763" t="s">
        <v>130</v>
      </c>
      <c r="D763" t="s">
        <v>15</v>
      </c>
      <c r="E763" s="12" t="s">
        <v>182</v>
      </c>
      <c r="F763" t="s">
        <v>187</v>
      </c>
      <c r="G763" t="s">
        <v>12</v>
      </c>
      <c r="H763" t="s">
        <v>72</v>
      </c>
      <c r="I763" t="s">
        <v>125</v>
      </c>
      <c r="J763" s="12">
        <v>1.5</v>
      </c>
      <c r="K763" t="s">
        <v>60</v>
      </c>
      <c r="L763" t="s">
        <v>13</v>
      </c>
      <c r="M763" t="s">
        <v>199</v>
      </c>
      <c r="O763" t="s">
        <v>197</v>
      </c>
      <c r="P763">
        <v>8</v>
      </c>
      <c r="Q763" t="s">
        <v>202</v>
      </c>
      <c r="R763" s="6">
        <v>0.48274598963824539</v>
      </c>
      <c r="S763" s="6">
        <v>10.821647501209734</v>
      </c>
      <c r="T763" s="6">
        <v>6.7752003272128798</v>
      </c>
      <c r="U763" s="6">
        <v>60.341971078522313</v>
      </c>
      <c r="V763" s="6">
        <v>7.0517619911497659E-2</v>
      </c>
      <c r="W763" s="6">
        <v>2.3766691415084185</v>
      </c>
      <c r="X763" s="6">
        <v>1.1240965663599154</v>
      </c>
      <c r="Y763" s="6">
        <v>11.025441031531166</v>
      </c>
    </row>
    <row r="764" spans="1:25" x14ac:dyDescent="0.25">
      <c r="A764" t="str">
        <f t="shared" si="11"/>
        <v>RTD Ice TeaFranceDecemberEUR (€)Fully-AutomatedOldCan1.5Small-scaleMedium</v>
      </c>
      <c r="B764" t="s">
        <v>130</v>
      </c>
      <c r="C764" t="s">
        <v>130</v>
      </c>
      <c r="D764" t="s">
        <v>15</v>
      </c>
      <c r="E764" s="12" t="s">
        <v>182</v>
      </c>
      <c r="F764" t="s">
        <v>187</v>
      </c>
      <c r="G764" t="s">
        <v>12</v>
      </c>
      <c r="H764" t="s">
        <v>72</v>
      </c>
      <c r="I764" t="s">
        <v>125</v>
      </c>
      <c r="J764" s="12">
        <v>1.5</v>
      </c>
      <c r="K764" t="s">
        <v>60</v>
      </c>
      <c r="L764" t="s">
        <v>63</v>
      </c>
      <c r="M764" t="s">
        <v>199</v>
      </c>
      <c r="O764" t="s">
        <v>197</v>
      </c>
      <c r="P764">
        <v>8</v>
      </c>
      <c r="Q764" t="s">
        <v>202</v>
      </c>
      <c r="R764" s="6">
        <v>0.50107317934590667</v>
      </c>
      <c r="S764" s="6">
        <v>11.233115348539258</v>
      </c>
      <c r="T764" s="6">
        <v>7.0325765763804586</v>
      </c>
      <c r="U764" s="6">
        <v>62.634217025593884</v>
      </c>
      <c r="V764" s="6">
        <v>7.3000782707886527E-2</v>
      </c>
      <c r="W764" s="6">
        <v>2.4591369279146753</v>
      </c>
      <c r="X764" s="6">
        <v>1.1628911050180859</v>
      </c>
      <c r="Y764" s="6">
        <v>11.406269550992434</v>
      </c>
    </row>
    <row r="765" spans="1:25" x14ac:dyDescent="0.25">
      <c r="A765" t="str">
        <f t="shared" si="11"/>
        <v>RTD Ice TeaFranceDecemberEUR (€)Fully-AutomatedOldCan1.5Small-scaleHigh</v>
      </c>
      <c r="B765" t="s">
        <v>130</v>
      </c>
      <c r="C765" t="s">
        <v>130</v>
      </c>
      <c r="D765" t="s">
        <v>15</v>
      </c>
      <c r="E765" s="12" t="s">
        <v>182</v>
      </c>
      <c r="F765" t="s">
        <v>187</v>
      </c>
      <c r="G765" t="s">
        <v>12</v>
      </c>
      <c r="H765" t="s">
        <v>72</v>
      </c>
      <c r="I765" t="s">
        <v>125</v>
      </c>
      <c r="J765" s="12">
        <v>1.5</v>
      </c>
      <c r="K765" t="s">
        <v>60</v>
      </c>
      <c r="L765" t="s">
        <v>11</v>
      </c>
      <c r="M765" t="s">
        <v>199</v>
      </c>
      <c r="O765" t="s">
        <v>197</v>
      </c>
      <c r="P765">
        <v>8</v>
      </c>
      <c r="Q765" t="s">
        <v>202</v>
      </c>
      <c r="R765" s="6">
        <v>0.52086654423018053</v>
      </c>
      <c r="S765" s="6">
        <v>11.677500623655146</v>
      </c>
      <c r="T765" s="6">
        <v>7.3105429254814434</v>
      </c>
      <c r="U765" s="6">
        <v>65.10984264843114</v>
      </c>
      <c r="V765" s="6">
        <v>7.5682598527986492E-2</v>
      </c>
      <c r="W765" s="6">
        <v>2.5482021372334329</v>
      </c>
      <c r="X765" s="6">
        <v>1.2047892067689101</v>
      </c>
      <c r="Y765" s="6">
        <v>11.817564352010605</v>
      </c>
    </row>
    <row r="766" spans="1:25" x14ac:dyDescent="0.25">
      <c r="A766" t="str">
        <f t="shared" si="11"/>
        <v>RTD Ice TeaFranceDecemberEUR (€)Fully-AutomatedOldCan1.5High-scaleLow</v>
      </c>
      <c r="B766" t="s">
        <v>130</v>
      </c>
      <c r="C766" t="s">
        <v>130</v>
      </c>
      <c r="D766" t="s">
        <v>15</v>
      </c>
      <c r="E766" s="12" t="s">
        <v>182</v>
      </c>
      <c r="F766" t="s">
        <v>187</v>
      </c>
      <c r="G766" t="s">
        <v>12</v>
      </c>
      <c r="H766" t="s">
        <v>72</v>
      </c>
      <c r="I766" t="s">
        <v>125</v>
      </c>
      <c r="J766" s="12">
        <v>1.5</v>
      </c>
      <c r="K766" t="s">
        <v>107</v>
      </c>
      <c r="L766" t="s">
        <v>13</v>
      </c>
      <c r="M766" t="s">
        <v>200</v>
      </c>
      <c r="O766" t="s">
        <v>197</v>
      </c>
      <c r="P766">
        <v>8</v>
      </c>
      <c r="Q766" t="s">
        <v>202</v>
      </c>
      <c r="R766" s="6">
        <v>0.48025036674262261</v>
      </c>
      <c r="S766" s="6">
        <v>10.772254112952902</v>
      </c>
      <c r="T766" s="6">
        <v>6.7418331876705491</v>
      </c>
      <c r="U766" s="6">
        <v>60.044540496657511</v>
      </c>
      <c r="V766" s="6">
        <v>6.8271828665706413E-2</v>
      </c>
      <c r="W766" s="6">
        <v>2.2919556532123546</v>
      </c>
      <c r="X766" s="6">
        <v>1.083944023317313</v>
      </c>
      <c r="Y766" s="6">
        <v>10.63190909212811</v>
      </c>
    </row>
    <row r="767" spans="1:25" x14ac:dyDescent="0.25">
      <c r="A767" t="str">
        <f t="shared" si="11"/>
        <v>RTD Ice TeaFranceDecemberEUR (€)Fully-AutomatedOldCan1.5High-scaleMedium</v>
      </c>
      <c r="B767" t="s">
        <v>130</v>
      </c>
      <c r="C767" t="s">
        <v>130</v>
      </c>
      <c r="D767" t="s">
        <v>15</v>
      </c>
      <c r="E767" s="12" t="s">
        <v>182</v>
      </c>
      <c r="F767" t="s">
        <v>187</v>
      </c>
      <c r="G767" t="s">
        <v>12</v>
      </c>
      <c r="H767" t="s">
        <v>72</v>
      </c>
      <c r="I767" t="s">
        <v>125</v>
      </c>
      <c r="J767" s="12">
        <v>1.5</v>
      </c>
      <c r="K767" t="s">
        <v>107</v>
      </c>
      <c r="L767" t="s">
        <v>63</v>
      </c>
      <c r="M767" t="s">
        <v>200</v>
      </c>
      <c r="O767" t="s">
        <v>197</v>
      </c>
      <c r="P767">
        <v>8</v>
      </c>
      <c r="Q767" t="s">
        <v>202</v>
      </c>
      <c r="R767" s="6">
        <v>0.49857755645028368</v>
      </c>
      <c r="S767" s="6">
        <v>11.183721960282426</v>
      </c>
      <c r="T767" s="6">
        <v>6.9992094368381288</v>
      </c>
      <c r="U767" s="6">
        <v>62.336786443729054</v>
      </c>
      <c r="V767" s="6">
        <v>7.0754991462095268E-2</v>
      </c>
      <c r="W767" s="6">
        <v>2.3744234396186115</v>
      </c>
      <c r="X767" s="6">
        <v>1.1227385619754837</v>
      </c>
      <c r="Y767" s="6">
        <v>11.01273761158938</v>
      </c>
    </row>
    <row r="768" spans="1:25" x14ac:dyDescent="0.25">
      <c r="A768" t="str">
        <f t="shared" si="11"/>
        <v>RTD Ice TeaFranceDecemberEUR (€)Fully-AutomatedOldCan1.5High-scaleHigh</v>
      </c>
      <c r="B768" t="s">
        <v>130</v>
      </c>
      <c r="C768" t="s">
        <v>130</v>
      </c>
      <c r="D768" t="s">
        <v>15</v>
      </c>
      <c r="E768" s="12" t="s">
        <v>182</v>
      </c>
      <c r="F768" t="s">
        <v>187</v>
      </c>
      <c r="G768" t="s">
        <v>12</v>
      </c>
      <c r="H768" t="s">
        <v>72</v>
      </c>
      <c r="I768" t="s">
        <v>125</v>
      </c>
      <c r="J768" s="12">
        <v>1.5</v>
      </c>
      <c r="K768" t="s">
        <v>107</v>
      </c>
      <c r="L768" t="s">
        <v>11</v>
      </c>
      <c r="M768" t="s">
        <v>200</v>
      </c>
      <c r="O768" t="s">
        <v>197</v>
      </c>
      <c r="P768">
        <v>8</v>
      </c>
      <c r="Q768" t="s">
        <v>202</v>
      </c>
      <c r="R768" s="6">
        <v>0.51837092133455764</v>
      </c>
      <c r="S768" s="6">
        <v>11.628107235398311</v>
      </c>
      <c r="T768" s="6">
        <v>7.2771757859391144</v>
      </c>
      <c r="U768" s="6">
        <v>64.812412066566324</v>
      </c>
      <c r="V768" s="6">
        <v>7.3436807282195246E-2</v>
      </c>
      <c r="W768" s="6">
        <v>2.4634886489373691</v>
      </c>
      <c r="X768" s="6">
        <v>1.1646366637263079</v>
      </c>
      <c r="Y768" s="6">
        <v>11.42403241260755</v>
      </c>
    </row>
    <row r="769" spans="1:25" x14ac:dyDescent="0.25">
      <c r="A769" t="str">
        <f t="shared" si="11"/>
        <v>RTD Ice TeaFranceDecemberEUR (€)Fully-AutomatedOldCan1.5Medium-scaleLow</v>
      </c>
      <c r="B769" t="s">
        <v>130</v>
      </c>
      <c r="C769" t="s">
        <v>130</v>
      </c>
      <c r="D769" t="s">
        <v>15</v>
      </c>
      <c r="E769" s="12" t="s">
        <v>182</v>
      </c>
      <c r="F769" t="s">
        <v>187</v>
      </c>
      <c r="G769" t="s">
        <v>12</v>
      </c>
      <c r="H769" t="s">
        <v>72</v>
      </c>
      <c r="I769" t="s">
        <v>125</v>
      </c>
      <c r="J769" s="12">
        <v>1.5</v>
      </c>
      <c r="K769" t="s">
        <v>62</v>
      </c>
      <c r="L769" t="s">
        <v>13</v>
      </c>
      <c r="M769" t="s">
        <v>200</v>
      </c>
      <c r="O769" t="s">
        <v>197</v>
      </c>
      <c r="P769">
        <v>8</v>
      </c>
      <c r="Q769" t="s">
        <v>202</v>
      </c>
      <c r="R769" s="6">
        <v>0.48118622532848115</v>
      </c>
      <c r="S769" s="6">
        <v>10.790776633549212</v>
      </c>
      <c r="T769" s="6">
        <v>6.754345864998923</v>
      </c>
      <c r="U769" s="6">
        <v>60.156076964856823</v>
      </c>
      <c r="V769" s="6">
        <v>6.9114000382878141E-2</v>
      </c>
      <c r="W769" s="6">
        <v>2.323723211323379</v>
      </c>
      <c r="X769" s="6">
        <v>1.0990012269582892</v>
      </c>
      <c r="Y769" s="6">
        <v>10.779483569404256</v>
      </c>
    </row>
    <row r="770" spans="1:25" x14ac:dyDescent="0.25">
      <c r="A770" t="str">
        <f t="shared" ref="A770:A833" si="12">C770&amp;D770&amp;E770&amp;F770&amp;G770&amp;H770&amp;I770&amp;J770&amp;K770&amp;L770</f>
        <v>RTD Ice TeaFranceDecemberEUR (€)Fully-AutomatedOldCan1.5Medium-scaleMedium</v>
      </c>
      <c r="B770" t="s">
        <v>130</v>
      </c>
      <c r="C770" t="s">
        <v>130</v>
      </c>
      <c r="D770" t="s">
        <v>15</v>
      </c>
      <c r="E770" s="12" t="s">
        <v>182</v>
      </c>
      <c r="F770" t="s">
        <v>187</v>
      </c>
      <c r="G770" t="s">
        <v>12</v>
      </c>
      <c r="H770" t="s">
        <v>72</v>
      </c>
      <c r="I770" t="s">
        <v>125</v>
      </c>
      <c r="J770" s="12">
        <v>1.5</v>
      </c>
      <c r="K770" t="s">
        <v>62</v>
      </c>
      <c r="L770" t="s">
        <v>63</v>
      </c>
      <c r="M770" t="s">
        <v>200</v>
      </c>
      <c r="O770" t="s">
        <v>197</v>
      </c>
      <c r="P770">
        <v>8</v>
      </c>
      <c r="Q770" t="s">
        <v>202</v>
      </c>
      <c r="R770" s="6">
        <v>0.49951341503614233</v>
      </c>
      <c r="S770" s="6">
        <v>11.202244480878738</v>
      </c>
      <c r="T770" s="6">
        <v>7.0117221141665027</v>
      </c>
      <c r="U770" s="6">
        <v>62.448322911928379</v>
      </c>
      <c r="V770" s="6">
        <v>7.1597163179266995E-2</v>
      </c>
      <c r="W770" s="6">
        <v>2.4061909977296358</v>
      </c>
      <c r="X770" s="6">
        <v>1.1377957656164597</v>
      </c>
      <c r="Y770" s="6">
        <v>11.160312088865526</v>
      </c>
    </row>
    <row r="771" spans="1:25" x14ac:dyDescent="0.25">
      <c r="A771" t="str">
        <f t="shared" si="12"/>
        <v>RTD Ice TeaFranceDecemberEUR (€)Fully-AutomatedOldCan1.5Medium-scaleHigh</v>
      </c>
      <c r="B771" t="s">
        <v>130</v>
      </c>
      <c r="C771" t="s">
        <v>130</v>
      </c>
      <c r="D771" t="s">
        <v>15</v>
      </c>
      <c r="E771" s="12" t="s">
        <v>182</v>
      </c>
      <c r="F771" t="s">
        <v>187</v>
      </c>
      <c r="G771" t="s">
        <v>12</v>
      </c>
      <c r="H771" t="s">
        <v>72</v>
      </c>
      <c r="I771" t="s">
        <v>125</v>
      </c>
      <c r="J771" s="12">
        <v>1.5</v>
      </c>
      <c r="K771" t="s">
        <v>62</v>
      </c>
      <c r="L771" t="s">
        <v>11</v>
      </c>
      <c r="M771" t="s">
        <v>200</v>
      </c>
      <c r="O771" t="s">
        <v>197</v>
      </c>
      <c r="P771">
        <v>8</v>
      </c>
      <c r="Q771" t="s">
        <v>202</v>
      </c>
      <c r="R771" s="6">
        <v>0.51930677992041618</v>
      </c>
      <c r="S771" s="6">
        <v>11.646629755994624</v>
      </c>
      <c r="T771" s="6">
        <v>7.2896884632674865</v>
      </c>
      <c r="U771" s="6">
        <v>64.923948534765628</v>
      </c>
      <c r="V771" s="6">
        <v>7.4278978999366974E-2</v>
      </c>
      <c r="W771" s="6">
        <v>2.4952562070483935</v>
      </c>
      <c r="X771" s="6">
        <v>1.1796938673672839</v>
      </c>
      <c r="Y771" s="6">
        <v>11.571606889883697</v>
      </c>
    </row>
    <row r="772" spans="1:25" x14ac:dyDescent="0.25">
      <c r="A772" t="str">
        <f t="shared" si="12"/>
        <v>RTD Ice TeaFranceDecemberEUR (€)Fully-AutomatedOldCan1.5Small-scaleLow</v>
      </c>
      <c r="B772" t="s">
        <v>130</v>
      </c>
      <c r="C772" t="s">
        <v>130</v>
      </c>
      <c r="D772" t="s">
        <v>15</v>
      </c>
      <c r="E772" s="12" t="s">
        <v>182</v>
      </c>
      <c r="F772" t="s">
        <v>187</v>
      </c>
      <c r="G772" t="s">
        <v>12</v>
      </c>
      <c r="H772" t="s">
        <v>72</v>
      </c>
      <c r="I772" t="s">
        <v>125</v>
      </c>
      <c r="J772" s="12">
        <v>1.5</v>
      </c>
      <c r="K772" t="s">
        <v>60</v>
      </c>
      <c r="L772" t="s">
        <v>13</v>
      </c>
      <c r="M772" t="s">
        <v>200</v>
      </c>
      <c r="O772" t="s">
        <v>197</v>
      </c>
      <c r="P772">
        <v>8</v>
      </c>
      <c r="Q772" t="s">
        <v>202</v>
      </c>
      <c r="R772" s="6">
        <v>0.48274598963824539</v>
      </c>
      <c r="S772" s="6">
        <v>10.821647501209734</v>
      </c>
      <c r="T772" s="6">
        <v>6.7752003272128798</v>
      </c>
      <c r="U772" s="6">
        <v>60.341971078522313</v>
      </c>
      <c r="V772" s="6">
        <v>7.0517619911497659E-2</v>
      </c>
      <c r="W772" s="6">
        <v>2.3766691415084185</v>
      </c>
      <c r="X772" s="6">
        <v>1.1240965663599154</v>
      </c>
      <c r="Y772" s="6">
        <v>11.025441031531166</v>
      </c>
    </row>
    <row r="773" spans="1:25" x14ac:dyDescent="0.25">
      <c r="A773" t="str">
        <f t="shared" si="12"/>
        <v>RTD Ice TeaFranceDecemberEUR (€)Fully-AutomatedOldCan1.5Small-scaleMedium</v>
      </c>
      <c r="B773" t="s">
        <v>130</v>
      </c>
      <c r="C773" t="s">
        <v>130</v>
      </c>
      <c r="D773" t="s">
        <v>15</v>
      </c>
      <c r="E773" s="12" t="s">
        <v>182</v>
      </c>
      <c r="F773" t="s">
        <v>187</v>
      </c>
      <c r="G773" t="s">
        <v>12</v>
      </c>
      <c r="H773" t="s">
        <v>72</v>
      </c>
      <c r="I773" t="s">
        <v>125</v>
      </c>
      <c r="J773" s="12">
        <v>1.5</v>
      </c>
      <c r="K773" t="s">
        <v>60</v>
      </c>
      <c r="L773" t="s">
        <v>63</v>
      </c>
      <c r="M773" t="s">
        <v>200</v>
      </c>
      <c r="O773" t="s">
        <v>197</v>
      </c>
      <c r="P773">
        <v>8</v>
      </c>
      <c r="Q773" t="s">
        <v>202</v>
      </c>
      <c r="R773" s="6">
        <v>0.50107317934590667</v>
      </c>
      <c r="S773" s="6">
        <v>11.233115348539258</v>
      </c>
      <c r="T773" s="6">
        <v>7.0325765763804586</v>
      </c>
      <c r="U773" s="6">
        <v>62.634217025593884</v>
      </c>
      <c r="V773" s="6">
        <v>7.3000782707886527E-2</v>
      </c>
      <c r="W773" s="6">
        <v>2.4591369279146753</v>
      </c>
      <c r="X773" s="6">
        <v>1.1628911050180859</v>
      </c>
      <c r="Y773" s="6">
        <v>11.406269550992434</v>
      </c>
    </row>
    <row r="774" spans="1:25" x14ac:dyDescent="0.25">
      <c r="A774" t="str">
        <f t="shared" si="12"/>
        <v>RTD Ice TeaFranceDecemberEUR (€)Fully-AutomatedOldCan1.5Small-scaleHigh</v>
      </c>
      <c r="B774" t="s">
        <v>130</v>
      </c>
      <c r="C774" t="s">
        <v>130</v>
      </c>
      <c r="D774" t="s">
        <v>15</v>
      </c>
      <c r="E774" s="12" t="s">
        <v>182</v>
      </c>
      <c r="F774" t="s">
        <v>187</v>
      </c>
      <c r="G774" t="s">
        <v>12</v>
      </c>
      <c r="H774" t="s">
        <v>72</v>
      </c>
      <c r="I774" t="s">
        <v>125</v>
      </c>
      <c r="J774" s="12">
        <v>1.5</v>
      </c>
      <c r="K774" t="s">
        <v>60</v>
      </c>
      <c r="L774" t="s">
        <v>11</v>
      </c>
      <c r="M774" t="s">
        <v>200</v>
      </c>
      <c r="O774" t="s">
        <v>197</v>
      </c>
      <c r="P774">
        <v>8</v>
      </c>
      <c r="Q774" t="s">
        <v>202</v>
      </c>
      <c r="R774" s="6">
        <v>0.52086654423018053</v>
      </c>
      <c r="S774" s="6">
        <v>11.677500623655146</v>
      </c>
      <c r="T774" s="6">
        <v>7.3105429254814434</v>
      </c>
      <c r="U774" s="6">
        <v>65.10984264843114</v>
      </c>
      <c r="V774" s="6">
        <v>7.5682598527986492E-2</v>
      </c>
      <c r="W774" s="6">
        <v>2.5482021372334329</v>
      </c>
      <c r="X774" s="6">
        <v>1.2047892067689101</v>
      </c>
      <c r="Y774" s="6">
        <v>11.817564352010605</v>
      </c>
    </row>
    <row r="775" spans="1:25" x14ac:dyDescent="0.25">
      <c r="A775" t="str">
        <f t="shared" si="12"/>
        <v>RTD Ice TeaFranceDecemberEUR (€)Fully-AutomatedOldCan1.5High-scaleLow</v>
      </c>
      <c r="B775" t="s">
        <v>130</v>
      </c>
      <c r="C775" t="s">
        <v>130</v>
      </c>
      <c r="D775" t="s">
        <v>15</v>
      </c>
      <c r="E775" s="12" t="s">
        <v>182</v>
      </c>
      <c r="F775" t="s">
        <v>187</v>
      </c>
      <c r="G775" t="s">
        <v>12</v>
      </c>
      <c r="H775" t="s">
        <v>72</v>
      </c>
      <c r="I775" t="s">
        <v>125</v>
      </c>
      <c r="J775" s="12">
        <v>1.5</v>
      </c>
      <c r="K775" t="s">
        <v>107</v>
      </c>
      <c r="L775" t="s">
        <v>13</v>
      </c>
      <c r="M775" t="s">
        <v>199</v>
      </c>
      <c r="O775" t="s">
        <v>197</v>
      </c>
      <c r="P775">
        <v>12</v>
      </c>
      <c r="Q775" t="s">
        <v>203</v>
      </c>
      <c r="R775" s="6">
        <v>0.48025036674262261</v>
      </c>
      <c r="S775" s="6">
        <v>10.772254112952902</v>
      </c>
      <c r="T775" s="6">
        <v>6.7418331876705491</v>
      </c>
      <c r="U775" s="6">
        <v>60.044540496657511</v>
      </c>
      <c r="V775" s="6">
        <v>6.3745967523945721E-2</v>
      </c>
      <c r="W775" s="6">
        <v>2.1711810983453845</v>
      </c>
      <c r="X775" s="6">
        <v>1.0204472282738803</v>
      </c>
      <c r="Y775" s="6">
        <v>10.017522389619618</v>
      </c>
    </row>
    <row r="776" spans="1:25" x14ac:dyDescent="0.25">
      <c r="A776" t="str">
        <f t="shared" si="12"/>
        <v>RTD Ice TeaFranceDecemberEUR (€)Fully-AutomatedOldCan1.5High-scaleMedium</v>
      </c>
      <c r="B776" t="s">
        <v>130</v>
      </c>
      <c r="C776" t="s">
        <v>130</v>
      </c>
      <c r="D776" t="s">
        <v>15</v>
      </c>
      <c r="E776" s="12" t="s">
        <v>182</v>
      </c>
      <c r="F776" t="s">
        <v>187</v>
      </c>
      <c r="G776" t="s">
        <v>12</v>
      </c>
      <c r="H776" t="s">
        <v>72</v>
      </c>
      <c r="I776" t="s">
        <v>125</v>
      </c>
      <c r="J776" s="12">
        <v>1.5</v>
      </c>
      <c r="K776" t="s">
        <v>107</v>
      </c>
      <c r="L776" t="s">
        <v>63</v>
      </c>
      <c r="M776" t="s">
        <v>199</v>
      </c>
      <c r="O776" t="s">
        <v>197</v>
      </c>
      <c r="P776">
        <v>12</v>
      </c>
      <c r="Q776" t="s">
        <v>203</v>
      </c>
      <c r="R776" s="6">
        <v>0.49857755645028368</v>
      </c>
      <c r="S776" s="6">
        <v>11.183721960282426</v>
      </c>
      <c r="T776" s="6">
        <v>6.9992094368381288</v>
      </c>
      <c r="U776" s="6">
        <v>62.336786443729054</v>
      </c>
      <c r="V776" s="6">
        <v>6.6055058737959166E-2</v>
      </c>
      <c r="W776" s="6">
        <v>2.2490037095644504</v>
      </c>
      <c r="X776" s="6">
        <v>1.0567995825073038</v>
      </c>
      <c r="Y776" s="6">
        <v>10.374720651292099</v>
      </c>
    </row>
    <row r="777" spans="1:25" x14ac:dyDescent="0.25">
      <c r="A777" t="str">
        <f t="shared" si="12"/>
        <v>RTD Ice TeaFranceDecemberEUR (€)Fully-AutomatedOldCan1.5High-scaleHigh</v>
      </c>
      <c r="B777" t="s">
        <v>130</v>
      </c>
      <c r="C777" t="s">
        <v>130</v>
      </c>
      <c r="D777" t="s">
        <v>15</v>
      </c>
      <c r="E777" s="12" t="s">
        <v>182</v>
      </c>
      <c r="F777" t="s">
        <v>187</v>
      </c>
      <c r="G777" t="s">
        <v>12</v>
      </c>
      <c r="H777" t="s">
        <v>72</v>
      </c>
      <c r="I777" t="s">
        <v>125</v>
      </c>
      <c r="J777" s="12">
        <v>1.5</v>
      </c>
      <c r="K777" t="s">
        <v>107</v>
      </c>
      <c r="L777" t="s">
        <v>11</v>
      </c>
      <c r="M777" t="s">
        <v>199</v>
      </c>
      <c r="O777" t="s">
        <v>197</v>
      </c>
      <c r="P777">
        <v>12</v>
      </c>
      <c r="Q777" t="s">
        <v>203</v>
      </c>
      <c r="R777" s="6">
        <v>0.51837092133455764</v>
      </c>
      <c r="S777" s="6">
        <v>11.628107235398311</v>
      </c>
      <c r="T777" s="6">
        <v>7.2771757859391144</v>
      </c>
      <c r="U777" s="6">
        <v>64.812412066566324</v>
      </c>
      <c r="V777" s="6">
        <v>6.8548877249093684E-2</v>
      </c>
      <c r="W777" s="6">
        <v>2.3330521296810418</v>
      </c>
      <c r="X777" s="6">
        <v>1.0960601250794006</v>
      </c>
      <c r="Y777" s="6">
        <v>10.760494773898376</v>
      </c>
    </row>
    <row r="778" spans="1:25" x14ac:dyDescent="0.25">
      <c r="A778" t="str">
        <f t="shared" si="12"/>
        <v>RTD Ice TeaFranceDecemberEUR (€)Fully-AutomatedOldCan1.5Medium-scaleLow</v>
      </c>
      <c r="B778" t="s">
        <v>130</v>
      </c>
      <c r="C778" t="s">
        <v>130</v>
      </c>
      <c r="D778" t="s">
        <v>15</v>
      </c>
      <c r="E778" s="12" t="s">
        <v>182</v>
      </c>
      <c r="F778" t="s">
        <v>187</v>
      </c>
      <c r="G778" t="s">
        <v>12</v>
      </c>
      <c r="H778" t="s">
        <v>72</v>
      </c>
      <c r="I778" t="s">
        <v>125</v>
      </c>
      <c r="J778" s="12">
        <v>1.5</v>
      </c>
      <c r="K778" t="s">
        <v>62</v>
      </c>
      <c r="L778" t="s">
        <v>13</v>
      </c>
      <c r="M778" t="s">
        <v>199</v>
      </c>
      <c r="O778" t="s">
        <v>197</v>
      </c>
      <c r="P778">
        <v>12</v>
      </c>
      <c r="Q778" t="s">
        <v>203</v>
      </c>
      <c r="R778" s="6">
        <v>0.48118622532848115</v>
      </c>
      <c r="S778" s="6">
        <v>10.790776633549212</v>
      </c>
      <c r="T778" s="6">
        <v>6.754345864998923</v>
      </c>
      <c r="U778" s="6">
        <v>60.156076964856823</v>
      </c>
      <c r="V778" s="6">
        <v>6.4588139241117434E-2</v>
      </c>
      <c r="W778" s="6">
        <v>2.2029486564564089</v>
      </c>
      <c r="X778" s="6">
        <v>1.0355044319148563</v>
      </c>
      <c r="Y778" s="6">
        <v>10.165096866895762</v>
      </c>
    </row>
    <row r="779" spans="1:25" x14ac:dyDescent="0.25">
      <c r="A779" t="str">
        <f t="shared" si="12"/>
        <v>RTD Ice TeaFranceDecemberEUR (€)Fully-AutomatedOldCan1.5Medium-scaleMedium</v>
      </c>
      <c r="B779" t="s">
        <v>130</v>
      </c>
      <c r="C779" t="s">
        <v>130</v>
      </c>
      <c r="D779" t="s">
        <v>15</v>
      </c>
      <c r="E779" s="12" t="s">
        <v>182</v>
      </c>
      <c r="F779" t="s">
        <v>187</v>
      </c>
      <c r="G779" t="s">
        <v>12</v>
      </c>
      <c r="H779" t="s">
        <v>72</v>
      </c>
      <c r="I779" t="s">
        <v>125</v>
      </c>
      <c r="J779" s="12">
        <v>1.5</v>
      </c>
      <c r="K779" t="s">
        <v>62</v>
      </c>
      <c r="L779" t="s">
        <v>63</v>
      </c>
      <c r="M779" t="s">
        <v>199</v>
      </c>
      <c r="O779" t="s">
        <v>197</v>
      </c>
      <c r="P779">
        <v>12</v>
      </c>
      <c r="Q779" t="s">
        <v>203</v>
      </c>
      <c r="R779" s="6">
        <v>0.49951341503614233</v>
      </c>
      <c r="S779" s="6">
        <v>11.202244480878738</v>
      </c>
      <c r="T779" s="6">
        <v>7.0117221141665027</v>
      </c>
      <c r="U779" s="6">
        <v>62.448322911928379</v>
      </c>
      <c r="V779" s="6">
        <v>6.6897230455130879E-2</v>
      </c>
      <c r="W779" s="6">
        <v>2.2807712676754748</v>
      </c>
      <c r="X779" s="6">
        <v>1.0718567861482797</v>
      </c>
      <c r="Y779" s="6">
        <v>10.522295128568246</v>
      </c>
    </row>
    <row r="780" spans="1:25" x14ac:dyDescent="0.25">
      <c r="A780" t="str">
        <f t="shared" si="12"/>
        <v>RTD Ice TeaFranceDecemberEUR (€)Fully-AutomatedOldCan1.5Medium-scaleHigh</v>
      </c>
      <c r="B780" t="s">
        <v>130</v>
      </c>
      <c r="C780" t="s">
        <v>130</v>
      </c>
      <c r="D780" t="s">
        <v>15</v>
      </c>
      <c r="E780" s="12" t="s">
        <v>182</v>
      </c>
      <c r="F780" t="s">
        <v>187</v>
      </c>
      <c r="G780" t="s">
        <v>12</v>
      </c>
      <c r="H780" t="s">
        <v>72</v>
      </c>
      <c r="I780" t="s">
        <v>125</v>
      </c>
      <c r="J780" s="12">
        <v>1.5</v>
      </c>
      <c r="K780" t="s">
        <v>62</v>
      </c>
      <c r="L780" t="s">
        <v>11</v>
      </c>
      <c r="M780" t="s">
        <v>199</v>
      </c>
      <c r="O780" t="s">
        <v>197</v>
      </c>
      <c r="P780">
        <v>12</v>
      </c>
      <c r="Q780" t="s">
        <v>203</v>
      </c>
      <c r="R780" s="6">
        <v>0.51930677992041618</v>
      </c>
      <c r="S780" s="6">
        <v>11.646629755994624</v>
      </c>
      <c r="T780" s="6">
        <v>7.2896884632674865</v>
      </c>
      <c r="U780" s="6">
        <v>64.923948534765628</v>
      </c>
      <c r="V780" s="6">
        <v>6.9391048966265426E-2</v>
      </c>
      <c r="W780" s="6">
        <v>2.3648196877920657</v>
      </c>
      <c r="X780" s="6">
        <v>1.1111173287203764</v>
      </c>
      <c r="Y780" s="6">
        <v>10.908069251174524</v>
      </c>
    </row>
    <row r="781" spans="1:25" x14ac:dyDescent="0.25">
      <c r="A781" t="str">
        <f t="shared" si="12"/>
        <v>RTD Ice TeaFranceDecemberEUR (€)Fully-AutomatedOldCan1.5Small-scaleLow</v>
      </c>
      <c r="B781" t="s">
        <v>130</v>
      </c>
      <c r="C781" t="s">
        <v>130</v>
      </c>
      <c r="D781" t="s">
        <v>15</v>
      </c>
      <c r="E781" s="12" t="s">
        <v>182</v>
      </c>
      <c r="F781" t="s">
        <v>187</v>
      </c>
      <c r="G781" t="s">
        <v>12</v>
      </c>
      <c r="H781" t="s">
        <v>72</v>
      </c>
      <c r="I781" t="s">
        <v>125</v>
      </c>
      <c r="J781" s="12">
        <v>1.5</v>
      </c>
      <c r="K781" t="s">
        <v>60</v>
      </c>
      <c r="L781" t="s">
        <v>13</v>
      </c>
      <c r="M781" t="s">
        <v>199</v>
      </c>
      <c r="O781" t="s">
        <v>197</v>
      </c>
      <c r="P781">
        <v>12</v>
      </c>
      <c r="Q781" t="s">
        <v>203</v>
      </c>
      <c r="R781" s="6">
        <v>0.48274598963824539</v>
      </c>
      <c r="S781" s="6">
        <v>10.821647501209734</v>
      </c>
      <c r="T781" s="6">
        <v>6.7752003272128798</v>
      </c>
      <c r="U781" s="6">
        <v>60.341971078522313</v>
      </c>
      <c r="V781" s="6">
        <v>6.5991758769736966E-2</v>
      </c>
      <c r="W781" s="6">
        <v>2.2558945866414484</v>
      </c>
      <c r="X781" s="6">
        <v>1.0605997713164825</v>
      </c>
      <c r="Y781" s="6">
        <v>10.411054329022672</v>
      </c>
    </row>
    <row r="782" spans="1:25" x14ac:dyDescent="0.25">
      <c r="A782" t="str">
        <f t="shared" si="12"/>
        <v>RTD Ice TeaFranceDecemberEUR (€)Fully-AutomatedOldCan1.5Small-scaleMedium</v>
      </c>
      <c r="B782" t="s">
        <v>130</v>
      </c>
      <c r="C782" t="s">
        <v>130</v>
      </c>
      <c r="D782" t="s">
        <v>15</v>
      </c>
      <c r="E782" s="12" t="s">
        <v>182</v>
      </c>
      <c r="F782" t="s">
        <v>187</v>
      </c>
      <c r="G782" t="s">
        <v>12</v>
      </c>
      <c r="H782" t="s">
        <v>72</v>
      </c>
      <c r="I782" t="s">
        <v>125</v>
      </c>
      <c r="J782" s="12">
        <v>1.5</v>
      </c>
      <c r="K782" t="s">
        <v>60</v>
      </c>
      <c r="L782" t="s">
        <v>63</v>
      </c>
      <c r="M782" t="s">
        <v>199</v>
      </c>
      <c r="O782" t="s">
        <v>197</v>
      </c>
      <c r="P782">
        <v>12</v>
      </c>
      <c r="Q782" t="s">
        <v>203</v>
      </c>
      <c r="R782" s="6">
        <v>0.50107317934590667</v>
      </c>
      <c r="S782" s="6">
        <v>11.233115348539258</v>
      </c>
      <c r="T782" s="6">
        <v>7.0325765763804586</v>
      </c>
      <c r="U782" s="6">
        <v>62.634217025593884</v>
      </c>
      <c r="V782" s="6">
        <v>6.8300849983750425E-2</v>
      </c>
      <c r="W782" s="6">
        <v>2.3337171978605147</v>
      </c>
      <c r="X782" s="6">
        <v>1.0969521255499057</v>
      </c>
      <c r="Y782" s="6">
        <v>10.768252590695154</v>
      </c>
    </row>
    <row r="783" spans="1:25" x14ac:dyDescent="0.25">
      <c r="A783" t="str">
        <f t="shared" si="12"/>
        <v>RTD Ice TeaFranceDecemberEUR (€)Fully-AutomatedOldCan1.5Small-scaleHigh</v>
      </c>
      <c r="B783" t="s">
        <v>130</v>
      </c>
      <c r="C783" t="s">
        <v>130</v>
      </c>
      <c r="D783" t="s">
        <v>15</v>
      </c>
      <c r="E783" s="12" t="s">
        <v>182</v>
      </c>
      <c r="F783" t="s">
        <v>187</v>
      </c>
      <c r="G783" t="s">
        <v>12</v>
      </c>
      <c r="H783" t="s">
        <v>72</v>
      </c>
      <c r="I783" t="s">
        <v>125</v>
      </c>
      <c r="J783" s="12">
        <v>1.5</v>
      </c>
      <c r="K783" t="s">
        <v>60</v>
      </c>
      <c r="L783" t="s">
        <v>11</v>
      </c>
      <c r="M783" t="s">
        <v>199</v>
      </c>
      <c r="O783" t="s">
        <v>197</v>
      </c>
      <c r="P783">
        <v>12</v>
      </c>
      <c r="Q783" t="s">
        <v>203</v>
      </c>
      <c r="R783" s="6">
        <v>0.52086654423018053</v>
      </c>
      <c r="S783" s="6">
        <v>11.677500623655146</v>
      </c>
      <c r="T783" s="6">
        <v>7.3105429254814434</v>
      </c>
      <c r="U783" s="6">
        <v>65.10984264843114</v>
      </c>
      <c r="V783" s="6">
        <v>7.0794668494884944E-2</v>
      </c>
      <c r="W783" s="6">
        <v>2.4177656179771057</v>
      </c>
      <c r="X783" s="6">
        <v>1.1362126681220026</v>
      </c>
      <c r="Y783" s="6">
        <v>11.15402671330143</v>
      </c>
    </row>
    <row r="784" spans="1:25" x14ac:dyDescent="0.25">
      <c r="A784" t="str">
        <f t="shared" si="12"/>
        <v>RTD Ice TeaFranceDecemberEUR (€)Fully-AutomatedOldCan1.5High-scaleLow</v>
      </c>
      <c r="B784" t="s">
        <v>130</v>
      </c>
      <c r="C784" t="s">
        <v>130</v>
      </c>
      <c r="D784" t="s">
        <v>15</v>
      </c>
      <c r="E784" s="12" t="s">
        <v>182</v>
      </c>
      <c r="F784" t="s">
        <v>187</v>
      </c>
      <c r="G784" t="s">
        <v>12</v>
      </c>
      <c r="H784" t="s">
        <v>72</v>
      </c>
      <c r="I784" t="s">
        <v>125</v>
      </c>
      <c r="J784" s="12">
        <v>1.5</v>
      </c>
      <c r="K784" t="s">
        <v>107</v>
      </c>
      <c r="L784" t="s">
        <v>13</v>
      </c>
      <c r="M784" t="s">
        <v>200</v>
      </c>
      <c r="O784" t="s">
        <v>197</v>
      </c>
      <c r="P784">
        <v>12</v>
      </c>
      <c r="Q784" t="s">
        <v>203</v>
      </c>
      <c r="R784" s="6">
        <v>0.48025036674262261</v>
      </c>
      <c r="S784" s="6">
        <v>10.772254112952902</v>
      </c>
      <c r="T784" s="6">
        <v>6.7418331876705491</v>
      </c>
      <c r="U784" s="6">
        <v>60.044540496657511</v>
      </c>
      <c r="V784" s="6">
        <v>6.3745967523945721E-2</v>
      </c>
      <c r="W784" s="6">
        <v>2.1711810983453845</v>
      </c>
      <c r="X784" s="6">
        <v>1.0204472282738803</v>
      </c>
      <c r="Y784" s="6">
        <v>10.017522389619618</v>
      </c>
    </row>
    <row r="785" spans="1:25" x14ac:dyDescent="0.25">
      <c r="A785" t="str">
        <f t="shared" si="12"/>
        <v>RTD Ice TeaFranceDecemberEUR (€)Fully-AutomatedOldCan1.5High-scaleMedium</v>
      </c>
      <c r="B785" t="s">
        <v>130</v>
      </c>
      <c r="C785" t="s">
        <v>130</v>
      </c>
      <c r="D785" t="s">
        <v>15</v>
      </c>
      <c r="E785" s="12" t="s">
        <v>182</v>
      </c>
      <c r="F785" t="s">
        <v>187</v>
      </c>
      <c r="G785" t="s">
        <v>12</v>
      </c>
      <c r="H785" t="s">
        <v>72</v>
      </c>
      <c r="I785" t="s">
        <v>125</v>
      </c>
      <c r="J785" s="12">
        <v>1.5</v>
      </c>
      <c r="K785" t="s">
        <v>107</v>
      </c>
      <c r="L785" t="s">
        <v>63</v>
      </c>
      <c r="M785" t="s">
        <v>200</v>
      </c>
      <c r="O785" t="s">
        <v>197</v>
      </c>
      <c r="P785">
        <v>12</v>
      </c>
      <c r="Q785" t="s">
        <v>203</v>
      </c>
      <c r="R785" s="6">
        <v>0.49857755645028368</v>
      </c>
      <c r="S785" s="6">
        <v>11.183721960282426</v>
      </c>
      <c r="T785" s="6">
        <v>6.9992094368381288</v>
      </c>
      <c r="U785" s="6">
        <v>62.336786443729054</v>
      </c>
      <c r="V785" s="6">
        <v>6.6055058737959166E-2</v>
      </c>
      <c r="W785" s="6">
        <v>2.2490037095644504</v>
      </c>
      <c r="X785" s="6">
        <v>1.0567995825073038</v>
      </c>
      <c r="Y785" s="6">
        <v>10.374720651292099</v>
      </c>
    </row>
    <row r="786" spans="1:25" x14ac:dyDescent="0.25">
      <c r="A786" t="str">
        <f t="shared" si="12"/>
        <v>RTD Ice TeaFranceDecemberEUR (€)Fully-AutomatedOldCan1.5High-scaleHigh</v>
      </c>
      <c r="B786" t="s">
        <v>130</v>
      </c>
      <c r="C786" t="s">
        <v>130</v>
      </c>
      <c r="D786" t="s">
        <v>15</v>
      </c>
      <c r="E786" s="12" t="s">
        <v>182</v>
      </c>
      <c r="F786" t="s">
        <v>187</v>
      </c>
      <c r="G786" t="s">
        <v>12</v>
      </c>
      <c r="H786" t="s">
        <v>72</v>
      </c>
      <c r="I786" t="s">
        <v>125</v>
      </c>
      <c r="J786" s="12">
        <v>1.5</v>
      </c>
      <c r="K786" t="s">
        <v>107</v>
      </c>
      <c r="L786" t="s">
        <v>11</v>
      </c>
      <c r="M786" t="s">
        <v>200</v>
      </c>
      <c r="O786" t="s">
        <v>197</v>
      </c>
      <c r="P786">
        <v>12</v>
      </c>
      <c r="Q786" t="s">
        <v>203</v>
      </c>
      <c r="R786" s="6">
        <v>0.51837092133455764</v>
      </c>
      <c r="S786" s="6">
        <v>11.628107235398311</v>
      </c>
      <c r="T786" s="6">
        <v>7.2771757859391144</v>
      </c>
      <c r="U786" s="6">
        <v>64.812412066566324</v>
      </c>
      <c r="V786" s="6">
        <v>6.8548877249093684E-2</v>
      </c>
      <c r="W786" s="6">
        <v>2.3330521296810418</v>
      </c>
      <c r="X786" s="6">
        <v>1.0960601250794006</v>
      </c>
      <c r="Y786" s="6">
        <v>10.760494773898376</v>
      </c>
    </row>
    <row r="787" spans="1:25" x14ac:dyDescent="0.25">
      <c r="A787" t="str">
        <f t="shared" si="12"/>
        <v>RTD Ice TeaFranceDecemberEUR (€)Fully-AutomatedOldCan1.5Medium-scaleLow</v>
      </c>
      <c r="B787" t="s">
        <v>130</v>
      </c>
      <c r="C787" t="s">
        <v>130</v>
      </c>
      <c r="D787" t="s">
        <v>15</v>
      </c>
      <c r="E787" s="12" t="s">
        <v>182</v>
      </c>
      <c r="F787" t="s">
        <v>187</v>
      </c>
      <c r="G787" t="s">
        <v>12</v>
      </c>
      <c r="H787" t="s">
        <v>72</v>
      </c>
      <c r="I787" t="s">
        <v>125</v>
      </c>
      <c r="J787" s="12">
        <v>1.5</v>
      </c>
      <c r="K787" t="s">
        <v>62</v>
      </c>
      <c r="L787" t="s">
        <v>13</v>
      </c>
      <c r="M787" t="s">
        <v>200</v>
      </c>
      <c r="O787" t="s">
        <v>197</v>
      </c>
      <c r="P787">
        <v>12</v>
      </c>
      <c r="Q787" t="s">
        <v>203</v>
      </c>
      <c r="R787" s="6">
        <v>0.48118622532848115</v>
      </c>
      <c r="S787" s="6">
        <v>10.790776633549212</v>
      </c>
      <c r="T787" s="6">
        <v>6.754345864998923</v>
      </c>
      <c r="U787" s="6">
        <v>60.156076964856823</v>
      </c>
      <c r="V787" s="6">
        <v>6.4588139241117434E-2</v>
      </c>
      <c r="W787" s="6">
        <v>2.2029486564564089</v>
      </c>
      <c r="X787" s="6">
        <v>1.0355044319148563</v>
      </c>
      <c r="Y787" s="6">
        <v>10.165096866895762</v>
      </c>
    </row>
    <row r="788" spans="1:25" x14ac:dyDescent="0.25">
      <c r="A788" t="str">
        <f t="shared" si="12"/>
        <v>RTD Ice TeaFranceDecemberEUR (€)Fully-AutomatedOldCan1.5Medium-scaleMedium</v>
      </c>
      <c r="B788" t="s">
        <v>130</v>
      </c>
      <c r="C788" t="s">
        <v>130</v>
      </c>
      <c r="D788" t="s">
        <v>15</v>
      </c>
      <c r="E788" s="12" t="s">
        <v>182</v>
      </c>
      <c r="F788" t="s">
        <v>187</v>
      </c>
      <c r="G788" t="s">
        <v>12</v>
      </c>
      <c r="H788" t="s">
        <v>72</v>
      </c>
      <c r="I788" t="s">
        <v>125</v>
      </c>
      <c r="J788" s="12">
        <v>1.5</v>
      </c>
      <c r="K788" t="s">
        <v>62</v>
      </c>
      <c r="L788" t="s">
        <v>63</v>
      </c>
      <c r="M788" t="s">
        <v>200</v>
      </c>
      <c r="O788" t="s">
        <v>197</v>
      </c>
      <c r="P788">
        <v>12</v>
      </c>
      <c r="Q788" t="s">
        <v>203</v>
      </c>
      <c r="R788" s="6">
        <v>0.49951341503614233</v>
      </c>
      <c r="S788" s="6">
        <v>11.202244480878738</v>
      </c>
      <c r="T788" s="6">
        <v>7.0117221141665027</v>
      </c>
      <c r="U788" s="6">
        <v>62.448322911928379</v>
      </c>
      <c r="V788" s="6">
        <v>6.6897230455130879E-2</v>
      </c>
      <c r="W788" s="6">
        <v>2.2807712676754748</v>
      </c>
      <c r="X788" s="6">
        <v>1.0718567861482797</v>
      </c>
      <c r="Y788" s="6">
        <v>10.522295128568246</v>
      </c>
    </row>
    <row r="789" spans="1:25" x14ac:dyDescent="0.25">
      <c r="A789" t="str">
        <f t="shared" si="12"/>
        <v>RTD Ice TeaFranceDecemberEUR (€)Fully-AutomatedOldCan1.5Medium-scaleHigh</v>
      </c>
      <c r="B789" t="s">
        <v>130</v>
      </c>
      <c r="C789" t="s">
        <v>130</v>
      </c>
      <c r="D789" t="s">
        <v>15</v>
      </c>
      <c r="E789" s="12" t="s">
        <v>182</v>
      </c>
      <c r="F789" t="s">
        <v>187</v>
      </c>
      <c r="G789" t="s">
        <v>12</v>
      </c>
      <c r="H789" t="s">
        <v>72</v>
      </c>
      <c r="I789" t="s">
        <v>125</v>
      </c>
      <c r="J789" s="12">
        <v>1.5</v>
      </c>
      <c r="K789" t="s">
        <v>62</v>
      </c>
      <c r="L789" t="s">
        <v>11</v>
      </c>
      <c r="M789" t="s">
        <v>200</v>
      </c>
      <c r="O789" t="s">
        <v>197</v>
      </c>
      <c r="P789">
        <v>12</v>
      </c>
      <c r="Q789" t="s">
        <v>203</v>
      </c>
      <c r="R789" s="6">
        <v>0.51930677992041618</v>
      </c>
      <c r="S789" s="6">
        <v>11.646629755994624</v>
      </c>
      <c r="T789" s="6">
        <v>7.2896884632674865</v>
      </c>
      <c r="U789" s="6">
        <v>64.923948534765628</v>
      </c>
      <c r="V789" s="6">
        <v>6.9391048966265426E-2</v>
      </c>
      <c r="W789" s="6">
        <v>2.3648196877920657</v>
      </c>
      <c r="X789" s="6">
        <v>1.1111173287203764</v>
      </c>
      <c r="Y789" s="6">
        <v>10.908069251174524</v>
      </c>
    </row>
    <row r="790" spans="1:25" x14ac:dyDescent="0.25">
      <c r="A790" t="str">
        <f t="shared" si="12"/>
        <v>RTD Ice TeaFranceDecemberEUR (€)Fully-AutomatedOldCan1.5Small-scaleLow</v>
      </c>
      <c r="B790" t="s">
        <v>130</v>
      </c>
      <c r="C790" t="s">
        <v>130</v>
      </c>
      <c r="D790" t="s">
        <v>15</v>
      </c>
      <c r="E790" s="12" t="s">
        <v>182</v>
      </c>
      <c r="F790" t="s">
        <v>187</v>
      </c>
      <c r="G790" t="s">
        <v>12</v>
      </c>
      <c r="H790" t="s">
        <v>72</v>
      </c>
      <c r="I790" t="s">
        <v>125</v>
      </c>
      <c r="J790" s="12">
        <v>1.5</v>
      </c>
      <c r="K790" t="s">
        <v>60</v>
      </c>
      <c r="L790" t="s">
        <v>13</v>
      </c>
      <c r="M790" t="s">
        <v>200</v>
      </c>
      <c r="O790" t="s">
        <v>197</v>
      </c>
      <c r="P790">
        <v>12</v>
      </c>
      <c r="Q790" t="s">
        <v>203</v>
      </c>
      <c r="R790" s="6">
        <v>0.48274598963824539</v>
      </c>
      <c r="S790" s="6">
        <v>10.821647501209734</v>
      </c>
      <c r="T790" s="6">
        <v>6.7752003272128798</v>
      </c>
      <c r="U790" s="6">
        <v>60.341971078522313</v>
      </c>
      <c r="V790" s="6">
        <v>6.5991758769736966E-2</v>
      </c>
      <c r="W790" s="6">
        <v>2.2558945866414484</v>
      </c>
      <c r="X790" s="6">
        <v>1.0605997713164825</v>
      </c>
      <c r="Y790" s="6">
        <v>10.411054329022672</v>
      </c>
    </row>
    <row r="791" spans="1:25" x14ac:dyDescent="0.25">
      <c r="A791" t="str">
        <f t="shared" si="12"/>
        <v>RTD Ice TeaFranceDecemberEUR (€)Fully-AutomatedOldCan1.5Small-scaleMedium</v>
      </c>
      <c r="B791" t="s">
        <v>130</v>
      </c>
      <c r="C791" t="s">
        <v>130</v>
      </c>
      <c r="D791" t="s">
        <v>15</v>
      </c>
      <c r="E791" s="12" t="s">
        <v>182</v>
      </c>
      <c r="F791" t="s">
        <v>187</v>
      </c>
      <c r="G791" t="s">
        <v>12</v>
      </c>
      <c r="H791" t="s">
        <v>72</v>
      </c>
      <c r="I791" t="s">
        <v>125</v>
      </c>
      <c r="J791" s="12">
        <v>1.5</v>
      </c>
      <c r="K791" t="s">
        <v>60</v>
      </c>
      <c r="L791" t="s">
        <v>63</v>
      </c>
      <c r="M791" t="s">
        <v>200</v>
      </c>
      <c r="O791" t="s">
        <v>197</v>
      </c>
      <c r="P791">
        <v>12</v>
      </c>
      <c r="Q791" t="s">
        <v>203</v>
      </c>
      <c r="R791" s="6">
        <v>0.50107317934590667</v>
      </c>
      <c r="S791" s="6">
        <v>11.233115348539258</v>
      </c>
      <c r="T791" s="6">
        <v>7.0325765763804586</v>
      </c>
      <c r="U791" s="6">
        <v>62.634217025593884</v>
      </c>
      <c r="V791" s="6">
        <v>6.8300849983750425E-2</v>
      </c>
      <c r="W791" s="6">
        <v>2.3337171978605147</v>
      </c>
      <c r="X791" s="6">
        <v>1.0969521255499057</v>
      </c>
      <c r="Y791" s="6">
        <v>10.768252590695154</v>
      </c>
    </row>
    <row r="792" spans="1:25" x14ac:dyDescent="0.25">
      <c r="A792" t="str">
        <f t="shared" si="12"/>
        <v>RTD Ice TeaFranceDecemberEUR (€)Fully-AutomatedOldCan1.5Small-scaleHigh</v>
      </c>
      <c r="B792" t="s">
        <v>130</v>
      </c>
      <c r="C792" t="s">
        <v>130</v>
      </c>
      <c r="D792" t="s">
        <v>15</v>
      </c>
      <c r="E792" s="12" t="s">
        <v>182</v>
      </c>
      <c r="F792" t="s">
        <v>187</v>
      </c>
      <c r="G792" t="s">
        <v>12</v>
      </c>
      <c r="H792" t="s">
        <v>72</v>
      </c>
      <c r="I792" t="s">
        <v>125</v>
      </c>
      <c r="J792" s="12">
        <v>1.5</v>
      </c>
      <c r="K792" t="s">
        <v>60</v>
      </c>
      <c r="L792" t="s">
        <v>11</v>
      </c>
      <c r="M792" t="s">
        <v>200</v>
      </c>
      <c r="O792" t="s">
        <v>197</v>
      </c>
      <c r="P792">
        <v>12</v>
      </c>
      <c r="Q792" t="s">
        <v>203</v>
      </c>
      <c r="R792" s="6">
        <v>0.52086654423018053</v>
      </c>
      <c r="S792" s="6">
        <v>11.677500623655146</v>
      </c>
      <c r="T792" s="6">
        <v>7.3105429254814434</v>
      </c>
      <c r="U792" s="6">
        <v>65.10984264843114</v>
      </c>
      <c r="V792" s="6">
        <v>7.0794668494884944E-2</v>
      </c>
      <c r="W792" s="6">
        <v>2.4177656179771057</v>
      </c>
      <c r="X792" s="6">
        <v>1.1362126681220026</v>
      </c>
      <c r="Y792" s="6">
        <v>11.15402671330143</v>
      </c>
    </row>
    <row r="793" spans="1:25" x14ac:dyDescent="0.25">
      <c r="A793" t="str">
        <f t="shared" si="12"/>
        <v>RTD Ice TeaFranceDecemberEUR (€)Fully-AutomatedOldCan1.5High-scaleLow</v>
      </c>
      <c r="B793" t="s">
        <v>130</v>
      </c>
      <c r="C793" t="s">
        <v>130</v>
      </c>
      <c r="D793" t="s">
        <v>15</v>
      </c>
      <c r="E793" s="12" t="s">
        <v>182</v>
      </c>
      <c r="F793" t="s">
        <v>187</v>
      </c>
      <c r="G793" t="s">
        <v>12</v>
      </c>
      <c r="H793" t="s">
        <v>72</v>
      </c>
      <c r="I793" t="s">
        <v>125</v>
      </c>
      <c r="J793" s="12">
        <v>1.5</v>
      </c>
      <c r="K793" t="s">
        <v>107</v>
      </c>
      <c r="L793" t="s">
        <v>13</v>
      </c>
      <c r="M793" t="s">
        <v>199</v>
      </c>
      <c r="O793" t="s">
        <v>197</v>
      </c>
      <c r="P793">
        <v>24</v>
      </c>
      <c r="Q793" t="s">
        <v>204</v>
      </c>
      <c r="R793" s="6">
        <v>0.48025036674262261</v>
      </c>
      <c r="S793" s="6">
        <v>10.772254112952902</v>
      </c>
      <c r="T793" s="6">
        <v>6.7418331876705491</v>
      </c>
      <c r="U793" s="6">
        <v>60.044540496657511</v>
      </c>
      <c r="V793" s="6">
        <v>4.735538687576852E-2</v>
      </c>
      <c r="W793" s="6">
        <v>1.7112394854783335</v>
      </c>
      <c r="X793" s="6">
        <v>0.77056061306984169</v>
      </c>
      <c r="Y793" s="6">
        <v>7.6105576058479061</v>
      </c>
    </row>
    <row r="794" spans="1:25" x14ac:dyDescent="0.25">
      <c r="A794" t="str">
        <f t="shared" si="12"/>
        <v>RTD Ice TeaFranceDecemberEUR (€)Fully-AutomatedOldCan1.5High-scaleMedium</v>
      </c>
      <c r="B794" t="s">
        <v>130</v>
      </c>
      <c r="C794" t="s">
        <v>130</v>
      </c>
      <c r="D794" t="s">
        <v>15</v>
      </c>
      <c r="E794" s="12" t="s">
        <v>182</v>
      </c>
      <c r="F794" t="s">
        <v>187</v>
      </c>
      <c r="G794" t="s">
        <v>12</v>
      </c>
      <c r="H794" t="s">
        <v>72</v>
      </c>
      <c r="I794" t="s">
        <v>125</v>
      </c>
      <c r="J794" s="12">
        <v>1.5</v>
      </c>
      <c r="K794" t="s">
        <v>107</v>
      </c>
      <c r="L794" t="s">
        <v>63</v>
      </c>
      <c r="M794" t="s">
        <v>199</v>
      </c>
      <c r="O794" t="s">
        <v>197</v>
      </c>
      <c r="P794">
        <v>24</v>
      </c>
      <c r="Q794" t="s">
        <v>204</v>
      </c>
      <c r="R794" s="6">
        <v>0.49857755645028368</v>
      </c>
      <c r="S794" s="6">
        <v>11.183721960282426</v>
      </c>
      <c r="T794" s="6">
        <v>6.9992094368381288</v>
      </c>
      <c r="U794" s="6">
        <v>62.336786443729054</v>
      </c>
      <c r="V794" s="6">
        <v>4.9067093674797703E-2</v>
      </c>
      <c r="W794" s="6">
        <v>1.7722532551879375</v>
      </c>
      <c r="X794" s="6">
        <v>0.79776524221513978</v>
      </c>
      <c r="Y794" s="6">
        <v>7.8796631154511694</v>
      </c>
    </row>
    <row r="795" spans="1:25" x14ac:dyDescent="0.25">
      <c r="A795" t="str">
        <f t="shared" si="12"/>
        <v>RTD Ice TeaFranceDecemberEUR (€)Fully-AutomatedOldCan1.5High-scaleHigh</v>
      </c>
      <c r="B795" t="s">
        <v>130</v>
      </c>
      <c r="C795" t="s">
        <v>130</v>
      </c>
      <c r="D795" t="s">
        <v>15</v>
      </c>
      <c r="E795" s="12" t="s">
        <v>182</v>
      </c>
      <c r="F795" t="s">
        <v>187</v>
      </c>
      <c r="G795" t="s">
        <v>12</v>
      </c>
      <c r="H795" t="s">
        <v>72</v>
      </c>
      <c r="I795" t="s">
        <v>125</v>
      </c>
      <c r="J795" s="12">
        <v>1.5</v>
      </c>
      <c r="K795" t="s">
        <v>107</v>
      </c>
      <c r="L795" t="s">
        <v>11</v>
      </c>
      <c r="M795" t="s">
        <v>199</v>
      </c>
      <c r="O795" t="s">
        <v>197</v>
      </c>
      <c r="P795">
        <v>24</v>
      </c>
      <c r="Q795" t="s">
        <v>204</v>
      </c>
      <c r="R795" s="6">
        <v>0.51837092133455764</v>
      </c>
      <c r="S795" s="6">
        <v>11.628107235398311</v>
      </c>
      <c r="T795" s="6">
        <v>7.2771757859391144</v>
      </c>
      <c r="U795" s="6">
        <v>64.812412066566324</v>
      </c>
      <c r="V795" s="6">
        <v>5.0915737017749194E-2</v>
      </c>
      <c r="W795" s="6">
        <v>1.8381481264743091</v>
      </c>
      <c r="X795" s="6">
        <v>0.8271462416920613</v>
      </c>
      <c r="Y795" s="6">
        <v>8.170297065822691</v>
      </c>
    </row>
    <row r="796" spans="1:25" x14ac:dyDescent="0.25">
      <c r="A796" t="str">
        <f t="shared" si="12"/>
        <v>RTD Ice TeaFranceDecemberEUR (€)Fully-AutomatedOldCan1.5Medium-scaleLow</v>
      </c>
      <c r="B796" t="s">
        <v>130</v>
      </c>
      <c r="C796" t="s">
        <v>130</v>
      </c>
      <c r="D796" t="s">
        <v>15</v>
      </c>
      <c r="E796" s="12" t="s">
        <v>182</v>
      </c>
      <c r="F796" t="s">
        <v>187</v>
      </c>
      <c r="G796" t="s">
        <v>12</v>
      </c>
      <c r="H796" t="s">
        <v>72</v>
      </c>
      <c r="I796" t="s">
        <v>125</v>
      </c>
      <c r="J796" s="12">
        <v>1.5</v>
      </c>
      <c r="K796" t="s">
        <v>62</v>
      </c>
      <c r="L796" t="s">
        <v>13</v>
      </c>
      <c r="M796" t="s">
        <v>199</v>
      </c>
      <c r="O796" t="s">
        <v>197</v>
      </c>
      <c r="P796">
        <v>24</v>
      </c>
      <c r="Q796" t="s">
        <v>204</v>
      </c>
      <c r="R796" s="6">
        <v>0.48118622532848115</v>
      </c>
      <c r="S796" s="6">
        <v>10.790776633549212</v>
      </c>
      <c r="T796" s="6">
        <v>6.754345864998923</v>
      </c>
      <c r="U796" s="6">
        <v>60.156076964856823</v>
      </c>
      <c r="V796" s="6">
        <v>4.7982912128293781E-2</v>
      </c>
      <c r="W796" s="6">
        <v>1.737279110184101</v>
      </c>
      <c r="X796" s="6">
        <v>0.7826063759826225</v>
      </c>
      <c r="Y796" s="6">
        <v>7.7289937756310501</v>
      </c>
    </row>
    <row r="797" spans="1:25" x14ac:dyDescent="0.25">
      <c r="A797" t="str">
        <f t="shared" si="12"/>
        <v>RTD Ice TeaFranceDecemberEUR (€)Fully-AutomatedOldCan1.5Medium-scaleMedium</v>
      </c>
      <c r="B797" t="s">
        <v>130</v>
      </c>
      <c r="C797" t="s">
        <v>130</v>
      </c>
      <c r="D797" t="s">
        <v>15</v>
      </c>
      <c r="E797" s="12" t="s">
        <v>182</v>
      </c>
      <c r="F797" t="s">
        <v>187</v>
      </c>
      <c r="G797" t="s">
        <v>12</v>
      </c>
      <c r="H797" t="s">
        <v>72</v>
      </c>
      <c r="I797" t="s">
        <v>125</v>
      </c>
      <c r="J797" s="12">
        <v>1.5</v>
      </c>
      <c r="K797" t="s">
        <v>62</v>
      </c>
      <c r="L797" t="s">
        <v>63</v>
      </c>
      <c r="M797" t="s">
        <v>199</v>
      </c>
      <c r="O797" t="s">
        <v>197</v>
      </c>
      <c r="P797">
        <v>24</v>
      </c>
      <c r="Q797" t="s">
        <v>204</v>
      </c>
      <c r="R797" s="6">
        <v>0.49951341503614233</v>
      </c>
      <c r="S797" s="6">
        <v>11.202244480878738</v>
      </c>
      <c r="T797" s="6">
        <v>7.0117221141665027</v>
      </c>
      <c r="U797" s="6">
        <v>62.448322911928379</v>
      </c>
      <c r="V797" s="6">
        <v>4.9694618927322957E-2</v>
      </c>
      <c r="W797" s="6">
        <v>1.7982928798937046</v>
      </c>
      <c r="X797" s="6">
        <v>0.80981100512792059</v>
      </c>
      <c r="Y797" s="6">
        <v>7.9980992852343125</v>
      </c>
    </row>
    <row r="798" spans="1:25" x14ac:dyDescent="0.25">
      <c r="A798" t="str">
        <f t="shared" si="12"/>
        <v>RTD Ice TeaFranceDecemberEUR (€)Fully-AutomatedOldCan1.5Medium-scaleHigh</v>
      </c>
      <c r="B798" t="s">
        <v>130</v>
      </c>
      <c r="C798" t="s">
        <v>130</v>
      </c>
      <c r="D798" t="s">
        <v>15</v>
      </c>
      <c r="E798" s="12" t="s">
        <v>182</v>
      </c>
      <c r="F798" t="s">
        <v>187</v>
      </c>
      <c r="G798" t="s">
        <v>12</v>
      </c>
      <c r="H798" t="s">
        <v>72</v>
      </c>
      <c r="I798" t="s">
        <v>125</v>
      </c>
      <c r="J798" s="12">
        <v>1.5</v>
      </c>
      <c r="K798" t="s">
        <v>62</v>
      </c>
      <c r="L798" t="s">
        <v>11</v>
      </c>
      <c r="M798" t="s">
        <v>199</v>
      </c>
      <c r="O798" t="s">
        <v>197</v>
      </c>
      <c r="P798">
        <v>24</v>
      </c>
      <c r="Q798" t="s">
        <v>204</v>
      </c>
      <c r="R798" s="6">
        <v>0.51930677992041618</v>
      </c>
      <c r="S798" s="6">
        <v>11.646629755994624</v>
      </c>
      <c r="T798" s="6">
        <v>7.2896884632674865</v>
      </c>
      <c r="U798" s="6">
        <v>64.923948534765628</v>
      </c>
      <c r="V798" s="6">
        <v>5.1543262270274462E-2</v>
      </c>
      <c r="W798" s="6">
        <v>1.8641877511800764</v>
      </c>
      <c r="X798" s="6">
        <v>0.83919200460484189</v>
      </c>
      <c r="Y798" s="6">
        <v>8.2887332356058359</v>
      </c>
    </row>
    <row r="799" spans="1:25" x14ac:dyDescent="0.25">
      <c r="A799" t="str">
        <f t="shared" si="12"/>
        <v>RTD Ice TeaFranceDecemberEUR (€)Fully-AutomatedOldCan1.5Small-scaleLow</v>
      </c>
      <c r="B799" t="s">
        <v>130</v>
      </c>
      <c r="C799" t="s">
        <v>130</v>
      </c>
      <c r="D799" t="s">
        <v>15</v>
      </c>
      <c r="E799" s="12" t="s">
        <v>182</v>
      </c>
      <c r="F799" t="s">
        <v>187</v>
      </c>
      <c r="G799" t="s">
        <v>12</v>
      </c>
      <c r="H799" t="s">
        <v>72</v>
      </c>
      <c r="I799" t="s">
        <v>125</v>
      </c>
      <c r="J799" s="12">
        <v>1.5</v>
      </c>
      <c r="K799" t="s">
        <v>60</v>
      </c>
      <c r="L799" t="s">
        <v>13</v>
      </c>
      <c r="M799" t="s">
        <v>199</v>
      </c>
      <c r="O799" t="s">
        <v>197</v>
      </c>
      <c r="P799">
        <v>24</v>
      </c>
      <c r="Q799" t="s">
        <v>204</v>
      </c>
      <c r="R799" s="6">
        <v>0.48274598963824539</v>
      </c>
      <c r="S799" s="6">
        <v>10.821647501209734</v>
      </c>
      <c r="T799" s="6">
        <v>6.7752003272128798</v>
      </c>
      <c r="U799" s="6">
        <v>60.341971078522313</v>
      </c>
      <c r="V799" s="6">
        <v>4.90287875491692E-2</v>
      </c>
      <c r="W799" s="6">
        <v>1.7806784846937125</v>
      </c>
      <c r="X799" s="6">
        <v>0.80268264750392349</v>
      </c>
      <c r="Y799" s="6">
        <v>7.9263873919362924</v>
      </c>
    </row>
    <row r="800" spans="1:25" x14ac:dyDescent="0.25">
      <c r="A800" t="str">
        <f t="shared" si="12"/>
        <v>RTD Ice TeaFranceDecemberEUR (€)Fully-AutomatedOldCan1.5Small-scaleMedium</v>
      </c>
      <c r="B800" t="s">
        <v>130</v>
      </c>
      <c r="C800" t="s">
        <v>130</v>
      </c>
      <c r="D800" t="s">
        <v>15</v>
      </c>
      <c r="E800" s="12" t="s">
        <v>182</v>
      </c>
      <c r="F800" t="s">
        <v>187</v>
      </c>
      <c r="G800" t="s">
        <v>12</v>
      </c>
      <c r="H800" t="s">
        <v>72</v>
      </c>
      <c r="I800" t="s">
        <v>125</v>
      </c>
      <c r="J800" s="12">
        <v>1.5</v>
      </c>
      <c r="K800" t="s">
        <v>60</v>
      </c>
      <c r="L800" t="s">
        <v>63</v>
      </c>
      <c r="M800" t="s">
        <v>199</v>
      </c>
      <c r="O800" t="s">
        <v>197</v>
      </c>
      <c r="P800">
        <v>24</v>
      </c>
      <c r="Q800" t="s">
        <v>204</v>
      </c>
      <c r="R800" s="6">
        <v>0.50107317934590667</v>
      </c>
      <c r="S800" s="6">
        <v>11.233115348539258</v>
      </c>
      <c r="T800" s="6">
        <v>7.0325765763804586</v>
      </c>
      <c r="U800" s="6">
        <v>62.634217025593884</v>
      </c>
      <c r="V800" s="6">
        <v>5.0740494348198377E-2</v>
      </c>
      <c r="W800" s="6">
        <v>1.8416922544033161</v>
      </c>
      <c r="X800" s="6">
        <v>0.82988727664922146</v>
      </c>
      <c r="Y800" s="6">
        <v>8.1954929015395557</v>
      </c>
    </row>
    <row r="801" spans="1:25" x14ac:dyDescent="0.25">
      <c r="A801" t="str">
        <f t="shared" si="12"/>
        <v>RTD Ice TeaFranceDecemberEUR (€)Fully-AutomatedOldCan1.5Small-scaleHigh</v>
      </c>
      <c r="B801" t="s">
        <v>130</v>
      </c>
      <c r="C801" t="s">
        <v>130</v>
      </c>
      <c r="D801" t="s">
        <v>15</v>
      </c>
      <c r="E801" s="12" t="s">
        <v>182</v>
      </c>
      <c r="F801" t="s">
        <v>187</v>
      </c>
      <c r="G801" t="s">
        <v>12</v>
      </c>
      <c r="H801" t="s">
        <v>72</v>
      </c>
      <c r="I801" t="s">
        <v>125</v>
      </c>
      <c r="J801" s="12">
        <v>1.5</v>
      </c>
      <c r="K801" t="s">
        <v>60</v>
      </c>
      <c r="L801" t="s">
        <v>11</v>
      </c>
      <c r="M801" t="s">
        <v>199</v>
      </c>
      <c r="O801" t="s">
        <v>197</v>
      </c>
      <c r="P801">
        <v>24</v>
      </c>
      <c r="Q801" t="s">
        <v>204</v>
      </c>
      <c r="R801" s="6">
        <v>0.52086654423018053</v>
      </c>
      <c r="S801" s="6">
        <v>11.677500623655146</v>
      </c>
      <c r="T801" s="6">
        <v>7.3105429254814434</v>
      </c>
      <c r="U801" s="6">
        <v>65.10984264843114</v>
      </c>
      <c r="V801" s="6">
        <v>5.2589137691149868E-2</v>
      </c>
      <c r="W801" s="6">
        <v>1.9075871256896879</v>
      </c>
      <c r="X801" s="6">
        <v>0.85926827612614298</v>
      </c>
      <c r="Y801" s="6">
        <v>8.4861268519110755</v>
      </c>
    </row>
    <row r="802" spans="1:25" x14ac:dyDescent="0.25">
      <c r="A802" t="str">
        <f t="shared" si="12"/>
        <v>RTD Ice TeaFranceDecemberEUR (€)Fully-AutomatedOldCan1.5High-scaleLow</v>
      </c>
      <c r="B802" t="s">
        <v>130</v>
      </c>
      <c r="C802" t="s">
        <v>130</v>
      </c>
      <c r="D802" t="s">
        <v>15</v>
      </c>
      <c r="E802" s="12" t="s">
        <v>182</v>
      </c>
      <c r="F802" t="s">
        <v>187</v>
      </c>
      <c r="G802" t="s">
        <v>12</v>
      </c>
      <c r="H802" t="s">
        <v>72</v>
      </c>
      <c r="I802" t="s">
        <v>125</v>
      </c>
      <c r="J802" s="12">
        <v>1.5</v>
      </c>
      <c r="K802" t="s">
        <v>107</v>
      </c>
      <c r="L802" t="s">
        <v>13</v>
      </c>
      <c r="M802" t="s">
        <v>200</v>
      </c>
      <c r="O802" t="s">
        <v>197</v>
      </c>
      <c r="P802">
        <v>24</v>
      </c>
      <c r="Q802" t="s">
        <v>204</v>
      </c>
      <c r="R802" s="6">
        <v>0.48025036674262261</v>
      </c>
      <c r="S802" s="6">
        <v>10.772254112952902</v>
      </c>
      <c r="T802" s="6">
        <v>6.7418331876705491</v>
      </c>
      <c r="U802" s="6">
        <v>60.044540496657511</v>
      </c>
      <c r="V802" s="6">
        <v>4.735538687576852E-2</v>
      </c>
      <c r="W802" s="6">
        <v>1.7112394854783335</v>
      </c>
      <c r="X802" s="6">
        <v>0.77056061306984169</v>
      </c>
      <c r="Y802" s="6">
        <v>7.6105576058479061</v>
      </c>
    </row>
    <row r="803" spans="1:25" x14ac:dyDescent="0.25">
      <c r="A803" t="str">
        <f t="shared" si="12"/>
        <v>RTD Ice TeaFranceDecemberEUR (€)Fully-AutomatedOldCan1.5High-scaleMedium</v>
      </c>
      <c r="B803" t="s">
        <v>130</v>
      </c>
      <c r="C803" t="s">
        <v>130</v>
      </c>
      <c r="D803" t="s">
        <v>15</v>
      </c>
      <c r="E803" s="12" t="s">
        <v>182</v>
      </c>
      <c r="F803" t="s">
        <v>187</v>
      </c>
      <c r="G803" t="s">
        <v>12</v>
      </c>
      <c r="H803" t="s">
        <v>72</v>
      </c>
      <c r="I803" t="s">
        <v>125</v>
      </c>
      <c r="J803" s="12">
        <v>1.5</v>
      </c>
      <c r="K803" t="s">
        <v>107</v>
      </c>
      <c r="L803" t="s">
        <v>63</v>
      </c>
      <c r="M803" t="s">
        <v>200</v>
      </c>
      <c r="O803" t="s">
        <v>197</v>
      </c>
      <c r="P803">
        <v>24</v>
      </c>
      <c r="Q803" t="s">
        <v>204</v>
      </c>
      <c r="R803" s="6">
        <v>0.49857755645028368</v>
      </c>
      <c r="S803" s="6">
        <v>11.183721960282426</v>
      </c>
      <c r="T803" s="6">
        <v>6.9992094368381288</v>
      </c>
      <c r="U803" s="6">
        <v>62.336786443729054</v>
      </c>
      <c r="V803" s="6">
        <v>4.9067093674797703E-2</v>
      </c>
      <c r="W803" s="6">
        <v>1.7722532551879375</v>
      </c>
      <c r="X803" s="6">
        <v>0.79776524221513978</v>
      </c>
      <c r="Y803" s="6">
        <v>7.8796631154511694</v>
      </c>
    </row>
    <row r="804" spans="1:25" x14ac:dyDescent="0.25">
      <c r="A804" t="str">
        <f t="shared" si="12"/>
        <v>RTD Ice TeaFranceDecemberEUR (€)Fully-AutomatedOldCan1.5High-scaleHigh</v>
      </c>
      <c r="B804" t="s">
        <v>130</v>
      </c>
      <c r="C804" t="s">
        <v>130</v>
      </c>
      <c r="D804" t="s">
        <v>15</v>
      </c>
      <c r="E804" s="12" t="s">
        <v>182</v>
      </c>
      <c r="F804" t="s">
        <v>187</v>
      </c>
      <c r="G804" t="s">
        <v>12</v>
      </c>
      <c r="H804" t="s">
        <v>72</v>
      </c>
      <c r="I804" t="s">
        <v>125</v>
      </c>
      <c r="J804" s="12">
        <v>1.5</v>
      </c>
      <c r="K804" t="s">
        <v>107</v>
      </c>
      <c r="L804" t="s">
        <v>11</v>
      </c>
      <c r="M804" t="s">
        <v>200</v>
      </c>
      <c r="O804" t="s">
        <v>197</v>
      </c>
      <c r="P804">
        <v>24</v>
      </c>
      <c r="Q804" t="s">
        <v>204</v>
      </c>
      <c r="R804" s="6">
        <v>0.51837092133455764</v>
      </c>
      <c r="S804" s="6">
        <v>11.628107235398311</v>
      </c>
      <c r="T804" s="6">
        <v>7.2771757859391144</v>
      </c>
      <c r="U804" s="6">
        <v>64.812412066566324</v>
      </c>
      <c r="V804" s="6">
        <v>5.0915737017749194E-2</v>
      </c>
      <c r="W804" s="6">
        <v>1.8381481264743091</v>
      </c>
      <c r="X804" s="6">
        <v>0.8271462416920613</v>
      </c>
      <c r="Y804" s="6">
        <v>8.170297065822691</v>
      </c>
    </row>
    <row r="805" spans="1:25" x14ac:dyDescent="0.25">
      <c r="A805" t="str">
        <f t="shared" si="12"/>
        <v>RTD Ice TeaFranceDecemberEUR (€)Fully-AutomatedOldCan1.5Medium-scaleLow</v>
      </c>
      <c r="B805" t="s">
        <v>130</v>
      </c>
      <c r="C805" t="s">
        <v>130</v>
      </c>
      <c r="D805" t="s">
        <v>15</v>
      </c>
      <c r="E805" s="12" t="s">
        <v>182</v>
      </c>
      <c r="F805" t="s">
        <v>187</v>
      </c>
      <c r="G805" t="s">
        <v>12</v>
      </c>
      <c r="H805" t="s">
        <v>72</v>
      </c>
      <c r="I805" t="s">
        <v>125</v>
      </c>
      <c r="J805" s="12">
        <v>1.5</v>
      </c>
      <c r="K805" t="s">
        <v>62</v>
      </c>
      <c r="L805" t="s">
        <v>13</v>
      </c>
      <c r="M805" t="s">
        <v>200</v>
      </c>
      <c r="O805" t="s">
        <v>197</v>
      </c>
      <c r="P805">
        <v>24</v>
      </c>
      <c r="Q805" t="s">
        <v>204</v>
      </c>
      <c r="R805" s="6">
        <v>0.48118622532848115</v>
      </c>
      <c r="S805" s="6">
        <v>10.790776633549212</v>
      </c>
      <c r="T805" s="6">
        <v>6.754345864998923</v>
      </c>
      <c r="U805" s="6">
        <v>60.156076964856823</v>
      </c>
      <c r="V805" s="6">
        <v>4.7982912128293781E-2</v>
      </c>
      <c r="W805" s="6">
        <v>1.737279110184101</v>
      </c>
      <c r="X805" s="6">
        <v>0.7826063759826225</v>
      </c>
      <c r="Y805" s="6">
        <v>7.7289937756310501</v>
      </c>
    </row>
    <row r="806" spans="1:25" x14ac:dyDescent="0.25">
      <c r="A806" t="str">
        <f t="shared" si="12"/>
        <v>RTD Ice TeaFranceDecemberEUR (€)Fully-AutomatedOldCan1.5Medium-scaleMedium</v>
      </c>
      <c r="B806" t="s">
        <v>130</v>
      </c>
      <c r="C806" t="s">
        <v>130</v>
      </c>
      <c r="D806" t="s">
        <v>15</v>
      </c>
      <c r="E806" s="12" t="s">
        <v>182</v>
      </c>
      <c r="F806" t="s">
        <v>187</v>
      </c>
      <c r="G806" t="s">
        <v>12</v>
      </c>
      <c r="H806" t="s">
        <v>72</v>
      </c>
      <c r="I806" t="s">
        <v>125</v>
      </c>
      <c r="J806" s="12">
        <v>1.5</v>
      </c>
      <c r="K806" t="s">
        <v>62</v>
      </c>
      <c r="L806" t="s">
        <v>63</v>
      </c>
      <c r="M806" t="s">
        <v>200</v>
      </c>
      <c r="O806" t="s">
        <v>197</v>
      </c>
      <c r="P806">
        <v>24</v>
      </c>
      <c r="Q806" t="s">
        <v>204</v>
      </c>
      <c r="R806" s="6">
        <v>0.49951341503614233</v>
      </c>
      <c r="S806" s="6">
        <v>11.202244480878738</v>
      </c>
      <c r="T806" s="6">
        <v>7.0117221141665027</v>
      </c>
      <c r="U806" s="6">
        <v>62.448322911928379</v>
      </c>
      <c r="V806" s="6">
        <v>4.9694618927322957E-2</v>
      </c>
      <c r="W806" s="6">
        <v>1.7982928798937046</v>
      </c>
      <c r="X806" s="6">
        <v>0.80981100512792059</v>
      </c>
      <c r="Y806" s="6">
        <v>7.9980992852343125</v>
      </c>
    </row>
    <row r="807" spans="1:25" x14ac:dyDescent="0.25">
      <c r="A807" t="str">
        <f t="shared" si="12"/>
        <v>RTD Ice TeaFranceDecemberEUR (€)Fully-AutomatedOldCan1.5Medium-scaleHigh</v>
      </c>
      <c r="B807" t="s">
        <v>130</v>
      </c>
      <c r="C807" t="s">
        <v>130</v>
      </c>
      <c r="D807" t="s">
        <v>15</v>
      </c>
      <c r="E807" s="12" t="s">
        <v>182</v>
      </c>
      <c r="F807" t="s">
        <v>187</v>
      </c>
      <c r="G807" t="s">
        <v>12</v>
      </c>
      <c r="H807" t="s">
        <v>72</v>
      </c>
      <c r="I807" t="s">
        <v>125</v>
      </c>
      <c r="J807" s="12">
        <v>1.5</v>
      </c>
      <c r="K807" t="s">
        <v>62</v>
      </c>
      <c r="L807" t="s">
        <v>11</v>
      </c>
      <c r="M807" t="s">
        <v>200</v>
      </c>
      <c r="O807" t="s">
        <v>197</v>
      </c>
      <c r="P807">
        <v>24</v>
      </c>
      <c r="Q807" t="s">
        <v>204</v>
      </c>
      <c r="R807" s="6">
        <v>0.51930677992041618</v>
      </c>
      <c r="S807" s="6">
        <v>11.646629755994624</v>
      </c>
      <c r="T807" s="6">
        <v>7.2896884632674865</v>
      </c>
      <c r="U807" s="6">
        <v>64.923948534765628</v>
      </c>
      <c r="V807" s="6">
        <v>5.1543262270274462E-2</v>
      </c>
      <c r="W807" s="6">
        <v>1.8641877511800764</v>
      </c>
      <c r="X807" s="6">
        <v>0.83919200460484189</v>
      </c>
      <c r="Y807" s="6">
        <v>8.2887332356058359</v>
      </c>
    </row>
    <row r="808" spans="1:25" x14ac:dyDescent="0.25">
      <c r="A808" t="str">
        <f t="shared" si="12"/>
        <v>RTD Ice TeaFranceDecemberEUR (€)Fully-AutomatedOldCan1.5Small-scaleLow</v>
      </c>
      <c r="B808" t="s">
        <v>130</v>
      </c>
      <c r="C808" t="s">
        <v>130</v>
      </c>
      <c r="D808" t="s">
        <v>15</v>
      </c>
      <c r="E808" s="12" t="s">
        <v>182</v>
      </c>
      <c r="F808" t="s">
        <v>187</v>
      </c>
      <c r="G808" t="s">
        <v>12</v>
      </c>
      <c r="H808" t="s">
        <v>72</v>
      </c>
      <c r="I808" t="s">
        <v>125</v>
      </c>
      <c r="J808" s="12">
        <v>1.5</v>
      </c>
      <c r="K808" t="s">
        <v>60</v>
      </c>
      <c r="L808" t="s">
        <v>13</v>
      </c>
      <c r="M808" t="s">
        <v>200</v>
      </c>
      <c r="O808" t="s">
        <v>197</v>
      </c>
      <c r="P808">
        <v>24</v>
      </c>
      <c r="Q808" t="s">
        <v>204</v>
      </c>
      <c r="R808" s="6">
        <v>0.48274598963824539</v>
      </c>
      <c r="S808" s="6">
        <v>10.821647501209734</v>
      </c>
      <c r="T808" s="6">
        <v>6.7752003272128798</v>
      </c>
      <c r="U808" s="6">
        <v>60.341971078522313</v>
      </c>
      <c r="V808" s="6">
        <v>4.90287875491692E-2</v>
      </c>
      <c r="W808" s="6">
        <v>1.7806784846937125</v>
      </c>
      <c r="X808" s="6">
        <v>0.80268264750392349</v>
      </c>
      <c r="Y808" s="6">
        <v>7.9263873919362924</v>
      </c>
    </row>
    <row r="809" spans="1:25" x14ac:dyDescent="0.25">
      <c r="A809" t="str">
        <f t="shared" si="12"/>
        <v>RTD Ice TeaFranceDecemberEUR (€)Fully-AutomatedOldCan1.5Small-scaleMedium</v>
      </c>
      <c r="B809" t="s">
        <v>130</v>
      </c>
      <c r="C809" t="s">
        <v>130</v>
      </c>
      <c r="D809" t="s">
        <v>15</v>
      </c>
      <c r="E809" s="12" t="s">
        <v>182</v>
      </c>
      <c r="F809" t="s">
        <v>187</v>
      </c>
      <c r="G809" t="s">
        <v>12</v>
      </c>
      <c r="H809" t="s">
        <v>72</v>
      </c>
      <c r="I809" t="s">
        <v>125</v>
      </c>
      <c r="J809" s="12">
        <v>1.5</v>
      </c>
      <c r="K809" t="s">
        <v>60</v>
      </c>
      <c r="L809" t="s">
        <v>63</v>
      </c>
      <c r="M809" t="s">
        <v>200</v>
      </c>
      <c r="O809" t="s">
        <v>197</v>
      </c>
      <c r="P809">
        <v>24</v>
      </c>
      <c r="Q809" t="s">
        <v>204</v>
      </c>
      <c r="R809" s="6">
        <v>0.50107317934590667</v>
      </c>
      <c r="S809" s="6">
        <v>11.233115348539258</v>
      </c>
      <c r="T809" s="6">
        <v>7.0325765763804586</v>
      </c>
      <c r="U809" s="6">
        <v>62.634217025593884</v>
      </c>
      <c r="V809" s="6">
        <v>5.0740494348198377E-2</v>
      </c>
      <c r="W809" s="6">
        <v>1.8416922544033161</v>
      </c>
      <c r="X809" s="6">
        <v>0.82988727664922146</v>
      </c>
      <c r="Y809" s="6">
        <v>8.1954929015395557</v>
      </c>
    </row>
    <row r="810" spans="1:25" x14ac:dyDescent="0.25">
      <c r="A810" t="str">
        <f t="shared" si="12"/>
        <v>RTD Ice TeaFranceDecemberEUR (€)Fully-AutomatedOldCan1.5Small-scaleHigh</v>
      </c>
      <c r="B810" t="s">
        <v>130</v>
      </c>
      <c r="C810" t="s">
        <v>130</v>
      </c>
      <c r="D810" t="s">
        <v>15</v>
      </c>
      <c r="E810" s="12" t="s">
        <v>182</v>
      </c>
      <c r="F810" t="s">
        <v>187</v>
      </c>
      <c r="G810" t="s">
        <v>12</v>
      </c>
      <c r="H810" t="s">
        <v>72</v>
      </c>
      <c r="I810" t="s">
        <v>125</v>
      </c>
      <c r="J810" s="12">
        <v>1.5</v>
      </c>
      <c r="K810" t="s">
        <v>60</v>
      </c>
      <c r="L810" t="s">
        <v>11</v>
      </c>
      <c r="M810" t="s">
        <v>200</v>
      </c>
      <c r="O810" t="s">
        <v>197</v>
      </c>
      <c r="P810">
        <v>24</v>
      </c>
      <c r="Q810" t="s">
        <v>204</v>
      </c>
      <c r="R810" s="6">
        <v>0.52086654423018053</v>
      </c>
      <c r="S810" s="6">
        <v>11.677500623655146</v>
      </c>
      <c r="T810" s="6">
        <v>7.3105429254814434</v>
      </c>
      <c r="U810" s="6">
        <v>65.10984264843114</v>
      </c>
      <c r="V810" s="6">
        <v>5.2589137691149868E-2</v>
      </c>
      <c r="W810" s="6">
        <v>1.9075871256896879</v>
      </c>
      <c r="X810" s="6">
        <v>0.85926827612614298</v>
      </c>
      <c r="Y810" s="6">
        <v>8.4861268519110755</v>
      </c>
    </row>
    <row r="811" spans="1:25" x14ac:dyDescent="0.25">
      <c r="A811" t="str">
        <f t="shared" si="12"/>
        <v>RTD Ice TeaFranceDecemberEUR (€)Fully-AutomatedOldCan2High-scaleLow</v>
      </c>
      <c r="B811" t="s">
        <v>130</v>
      </c>
      <c r="C811" t="s">
        <v>130</v>
      </c>
      <c r="D811" t="s">
        <v>15</v>
      </c>
      <c r="E811" s="12" t="s">
        <v>182</v>
      </c>
      <c r="F811" t="s">
        <v>187</v>
      </c>
      <c r="G811" t="s">
        <v>12</v>
      </c>
      <c r="H811" t="s">
        <v>72</v>
      </c>
      <c r="I811" t="s">
        <v>125</v>
      </c>
      <c r="J811" s="12">
        <v>2</v>
      </c>
      <c r="K811" t="s">
        <v>107</v>
      </c>
      <c r="L811" t="s">
        <v>13</v>
      </c>
      <c r="M811" t="s">
        <v>199</v>
      </c>
      <c r="O811" t="s">
        <v>197</v>
      </c>
      <c r="P811">
        <v>4</v>
      </c>
      <c r="Q811" t="s">
        <v>198</v>
      </c>
      <c r="R811" s="6">
        <v>0.48025036674262261</v>
      </c>
      <c r="S811" s="6">
        <v>10.772254112952902</v>
      </c>
      <c r="T811" s="6">
        <v>6.7418331876705491</v>
      </c>
      <c r="U811" s="6">
        <v>60.044540496657511</v>
      </c>
      <c r="V811" s="6">
        <v>6.1483177440265963E-2</v>
      </c>
      <c r="W811" s="6">
        <v>2.0054747085161866</v>
      </c>
      <c r="X811" s="6">
        <v>0.96298463424629777</v>
      </c>
      <c r="Y811" s="6">
        <v>9.4260472590785351</v>
      </c>
    </row>
    <row r="812" spans="1:25" x14ac:dyDescent="0.25">
      <c r="A812" t="str">
        <f t="shared" si="12"/>
        <v>RTD Ice TeaFranceDecemberEUR (€)Fully-AutomatedOldCan2High-scaleMedium</v>
      </c>
      <c r="B812" t="s">
        <v>130</v>
      </c>
      <c r="C812" t="s">
        <v>130</v>
      </c>
      <c r="D812" t="s">
        <v>15</v>
      </c>
      <c r="E812" s="12" t="s">
        <v>182</v>
      </c>
      <c r="F812" t="s">
        <v>187</v>
      </c>
      <c r="G812" t="s">
        <v>12</v>
      </c>
      <c r="H812" t="s">
        <v>72</v>
      </c>
      <c r="I812" t="s">
        <v>125</v>
      </c>
      <c r="J812" s="12">
        <v>2</v>
      </c>
      <c r="K812" t="s">
        <v>107</v>
      </c>
      <c r="L812" t="s">
        <v>63</v>
      </c>
      <c r="M812" t="s">
        <v>199</v>
      </c>
      <c r="O812" t="s">
        <v>197</v>
      </c>
      <c r="P812">
        <v>4</v>
      </c>
      <c r="Q812" t="s">
        <v>198</v>
      </c>
      <c r="R812" s="6">
        <v>0.49857755645028368</v>
      </c>
      <c r="S812" s="6">
        <v>11.183721960282426</v>
      </c>
      <c r="T812" s="6">
        <v>6.9992094368381288</v>
      </c>
      <c r="U812" s="6">
        <v>62.336786443729054</v>
      </c>
      <c r="V812" s="6">
        <v>6.3705238266445585E-2</v>
      </c>
      <c r="W812" s="6">
        <v>2.0769239970495139</v>
      </c>
      <c r="X812" s="6">
        <v>0.99712688870942945</v>
      </c>
      <c r="Y812" s="6">
        <v>9.7604964772686671</v>
      </c>
    </row>
    <row r="813" spans="1:25" x14ac:dyDescent="0.25">
      <c r="A813" t="str">
        <f t="shared" si="12"/>
        <v>RTD Ice TeaFranceDecemberEUR (€)Fully-AutomatedOldCan2High-scaleHigh</v>
      </c>
      <c r="B813" t="s">
        <v>130</v>
      </c>
      <c r="C813" t="s">
        <v>130</v>
      </c>
      <c r="D813" t="s">
        <v>15</v>
      </c>
      <c r="E813" s="12" t="s">
        <v>182</v>
      </c>
      <c r="F813" t="s">
        <v>187</v>
      </c>
      <c r="G813" t="s">
        <v>12</v>
      </c>
      <c r="H813" t="s">
        <v>72</v>
      </c>
      <c r="I813" t="s">
        <v>125</v>
      </c>
      <c r="J813" s="12">
        <v>2</v>
      </c>
      <c r="K813" t="s">
        <v>107</v>
      </c>
      <c r="L813" t="s">
        <v>11</v>
      </c>
      <c r="M813" t="s">
        <v>199</v>
      </c>
      <c r="O813" t="s">
        <v>197</v>
      </c>
      <c r="P813">
        <v>4</v>
      </c>
      <c r="Q813" t="s">
        <v>198</v>
      </c>
      <c r="R813" s="6">
        <v>0.51837092133455764</v>
      </c>
      <c r="S813" s="6">
        <v>11.628107235398311</v>
      </c>
      <c r="T813" s="6">
        <v>7.2771757859391144</v>
      </c>
      <c r="U813" s="6">
        <v>64.812412066566324</v>
      </c>
      <c r="V813" s="6">
        <v>6.6105063958719554E-2</v>
      </c>
      <c r="W813" s="6">
        <v>2.1540892286655078</v>
      </c>
      <c r="X813" s="6">
        <v>1.0340005235296115</v>
      </c>
      <c r="Y813" s="6">
        <v>10.121701632914007</v>
      </c>
    </row>
    <row r="814" spans="1:25" x14ac:dyDescent="0.25">
      <c r="A814" t="str">
        <f t="shared" si="12"/>
        <v>RTD Ice TeaFranceDecemberEUR (€)Fully-AutomatedOldCan2Medium-scaleLow</v>
      </c>
      <c r="B814" t="s">
        <v>130</v>
      </c>
      <c r="C814" t="s">
        <v>130</v>
      </c>
      <c r="D814" t="s">
        <v>15</v>
      </c>
      <c r="E814" s="12" t="s">
        <v>182</v>
      </c>
      <c r="F814" t="s">
        <v>187</v>
      </c>
      <c r="G814" t="s">
        <v>12</v>
      </c>
      <c r="H814" t="s">
        <v>72</v>
      </c>
      <c r="I814" t="s">
        <v>125</v>
      </c>
      <c r="J814" s="12">
        <v>2</v>
      </c>
      <c r="K814" t="s">
        <v>62</v>
      </c>
      <c r="L814" t="s">
        <v>13</v>
      </c>
      <c r="M814" t="s">
        <v>199</v>
      </c>
      <c r="O814" t="s">
        <v>197</v>
      </c>
      <c r="P814">
        <v>4</v>
      </c>
      <c r="Q814" t="s">
        <v>198</v>
      </c>
      <c r="R814" s="6">
        <v>0.48118622532848115</v>
      </c>
      <c r="S814" s="6">
        <v>10.790776633549212</v>
      </c>
      <c r="T814" s="6">
        <v>6.754345864998923</v>
      </c>
      <c r="U814" s="6">
        <v>60.156076964856823</v>
      </c>
      <c r="V814" s="6">
        <v>6.2325349157437683E-2</v>
      </c>
      <c r="W814" s="6">
        <v>2.0372422666272101</v>
      </c>
      <c r="X814" s="6">
        <v>0.97804183788727361</v>
      </c>
      <c r="Y814" s="6">
        <v>9.5736217363546814</v>
      </c>
    </row>
    <row r="815" spans="1:25" x14ac:dyDescent="0.25">
      <c r="A815" t="str">
        <f t="shared" si="12"/>
        <v>RTD Ice TeaFranceDecemberEUR (€)Fully-AutomatedOldCan2Medium-scaleMedium</v>
      </c>
      <c r="B815" t="s">
        <v>130</v>
      </c>
      <c r="C815" t="s">
        <v>130</v>
      </c>
      <c r="D815" t="s">
        <v>15</v>
      </c>
      <c r="E815" s="12" t="s">
        <v>182</v>
      </c>
      <c r="F815" t="s">
        <v>187</v>
      </c>
      <c r="G815" t="s">
        <v>12</v>
      </c>
      <c r="H815" t="s">
        <v>72</v>
      </c>
      <c r="I815" t="s">
        <v>125</v>
      </c>
      <c r="J815" s="12">
        <v>2</v>
      </c>
      <c r="K815" t="s">
        <v>62</v>
      </c>
      <c r="L815" t="s">
        <v>63</v>
      </c>
      <c r="M815" t="s">
        <v>199</v>
      </c>
      <c r="O815" t="s">
        <v>197</v>
      </c>
      <c r="P815">
        <v>4</v>
      </c>
      <c r="Q815" t="s">
        <v>198</v>
      </c>
      <c r="R815" s="6">
        <v>0.49951341503614233</v>
      </c>
      <c r="S815" s="6">
        <v>11.202244480878738</v>
      </c>
      <c r="T815" s="6">
        <v>7.0117221141665027</v>
      </c>
      <c r="U815" s="6">
        <v>62.448322911928379</v>
      </c>
      <c r="V815" s="6">
        <v>6.4547409983617299E-2</v>
      </c>
      <c r="W815" s="6">
        <v>2.1086915551605379</v>
      </c>
      <c r="X815" s="6">
        <v>1.0121840923504051</v>
      </c>
      <c r="Y815" s="6">
        <v>9.9080709545448133</v>
      </c>
    </row>
    <row r="816" spans="1:25" x14ac:dyDescent="0.25">
      <c r="A816" t="str">
        <f t="shared" si="12"/>
        <v>RTD Ice TeaFranceDecemberEUR (€)Fully-AutomatedOldCan2Medium-scaleHigh</v>
      </c>
      <c r="B816" t="s">
        <v>130</v>
      </c>
      <c r="C816" t="s">
        <v>130</v>
      </c>
      <c r="D816" t="s">
        <v>15</v>
      </c>
      <c r="E816" s="12" t="s">
        <v>182</v>
      </c>
      <c r="F816" t="s">
        <v>187</v>
      </c>
      <c r="G816" t="s">
        <v>12</v>
      </c>
      <c r="H816" t="s">
        <v>72</v>
      </c>
      <c r="I816" t="s">
        <v>125</v>
      </c>
      <c r="J816" s="12">
        <v>2</v>
      </c>
      <c r="K816" t="s">
        <v>62</v>
      </c>
      <c r="L816" t="s">
        <v>11</v>
      </c>
      <c r="M816" t="s">
        <v>199</v>
      </c>
      <c r="O816" t="s">
        <v>197</v>
      </c>
      <c r="P816">
        <v>4</v>
      </c>
      <c r="Q816" t="s">
        <v>198</v>
      </c>
      <c r="R816" s="6">
        <v>0.51930677992041618</v>
      </c>
      <c r="S816" s="6">
        <v>11.646629755994624</v>
      </c>
      <c r="T816" s="6">
        <v>7.2896884632674865</v>
      </c>
      <c r="U816" s="6">
        <v>64.923948534765628</v>
      </c>
      <c r="V816" s="6">
        <v>6.6947235675891267E-2</v>
      </c>
      <c r="W816" s="6">
        <v>2.1858567867765317</v>
      </c>
      <c r="X816" s="6">
        <v>1.049057727170587</v>
      </c>
      <c r="Y816" s="6">
        <v>10.269276110190152</v>
      </c>
    </row>
    <row r="817" spans="1:25" x14ac:dyDescent="0.25">
      <c r="A817" t="str">
        <f t="shared" si="12"/>
        <v>RTD Ice TeaFranceDecemberEUR (€)Fully-AutomatedOldCan2Small-scaleLow</v>
      </c>
      <c r="B817" t="s">
        <v>130</v>
      </c>
      <c r="C817" t="s">
        <v>130</v>
      </c>
      <c r="D817" t="s">
        <v>15</v>
      </c>
      <c r="E817" s="12" t="s">
        <v>182</v>
      </c>
      <c r="F817" t="s">
        <v>187</v>
      </c>
      <c r="G817" t="s">
        <v>12</v>
      </c>
      <c r="H817" t="s">
        <v>72</v>
      </c>
      <c r="I817" t="s">
        <v>125</v>
      </c>
      <c r="J817" s="12">
        <v>2</v>
      </c>
      <c r="K817" t="s">
        <v>60</v>
      </c>
      <c r="L817" t="s">
        <v>13</v>
      </c>
      <c r="M817" t="s">
        <v>199</v>
      </c>
      <c r="O817" t="s">
        <v>197</v>
      </c>
      <c r="P817">
        <v>4</v>
      </c>
      <c r="Q817" t="s">
        <v>198</v>
      </c>
      <c r="R817" s="6">
        <v>0.48274598963824539</v>
      </c>
      <c r="S817" s="6">
        <v>10.821647501209734</v>
      </c>
      <c r="T817" s="6">
        <v>6.7752003272128798</v>
      </c>
      <c r="U817" s="6">
        <v>60.341971078522313</v>
      </c>
      <c r="V817" s="6">
        <v>6.3728968686057208E-2</v>
      </c>
      <c r="W817" s="6">
        <v>2.0901881968122504</v>
      </c>
      <c r="X817" s="6">
        <v>1.0031371772889002</v>
      </c>
      <c r="Y817" s="6">
        <v>9.8195791984815894</v>
      </c>
    </row>
    <row r="818" spans="1:25" x14ac:dyDescent="0.25">
      <c r="A818" t="str">
        <f t="shared" si="12"/>
        <v>RTD Ice TeaFranceDecemberEUR (€)Fully-AutomatedOldCan2Small-scaleMedium</v>
      </c>
      <c r="B818" t="s">
        <v>130</v>
      </c>
      <c r="C818" t="s">
        <v>130</v>
      </c>
      <c r="D818" t="s">
        <v>15</v>
      </c>
      <c r="E818" s="12" t="s">
        <v>182</v>
      </c>
      <c r="F818" t="s">
        <v>187</v>
      </c>
      <c r="G818" t="s">
        <v>12</v>
      </c>
      <c r="H818" t="s">
        <v>72</v>
      </c>
      <c r="I818" t="s">
        <v>125</v>
      </c>
      <c r="J818" s="12">
        <v>2</v>
      </c>
      <c r="K818" t="s">
        <v>60</v>
      </c>
      <c r="L818" t="s">
        <v>63</v>
      </c>
      <c r="M818" t="s">
        <v>199</v>
      </c>
      <c r="O818" t="s">
        <v>197</v>
      </c>
      <c r="P818">
        <v>4</v>
      </c>
      <c r="Q818" t="s">
        <v>198</v>
      </c>
      <c r="R818" s="6">
        <v>0.50107317934590667</v>
      </c>
      <c r="S818" s="6">
        <v>11.233115348539258</v>
      </c>
      <c r="T818" s="6">
        <v>7.0325765763804586</v>
      </c>
      <c r="U818" s="6">
        <v>62.634217025593884</v>
      </c>
      <c r="V818" s="6">
        <v>6.5951029512236817E-2</v>
      </c>
      <c r="W818" s="6">
        <v>2.1616374853455778</v>
      </c>
      <c r="X818" s="6">
        <v>1.0372794317520313</v>
      </c>
      <c r="Y818" s="6">
        <v>10.154028416671721</v>
      </c>
    </row>
    <row r="819" spans="1:25" x14ac:dyDescent="0.25">
      <c r="A819" t="str">
        <f t="shared" si="12"/>
        <v>RTD Ice TeaFranceDecemberEUR (€)Fully-AutomatedOldCan2Small-scaleHigh</v>
      </c>
      <c r="B819" t="s">
        <v>130</v>
      </c>
      <c r="C819" t="s">
        <v>130</v>
      </c>
      <c r="D819" t="s">
        <v>15</v>
      </c>
      <c r="E819" s="12" t="s">
        <v>182</v>
      </c>
      <c r="F819" t="s">
        <v>187</v>
      </c>
      <c r="G819" t="s">
        <v>12</v>
      </c>
      <c r="H819" t="s">
        <v>72</v>
      </c>
      <c r="I819" t="s">
        <v>125</v>
      </c>
      <c r="J819" s="12">
        <v>2</v>
      </c>
      <c r="K819" t="s">
        <v>60</v>
      </c>
      <c r="L819" t="s">
        <v>11</v>
      </c>
      <c r="M819" t="s">
        <v>199</v>
      </c>
      <c r="O819" t="s">
        <v>197</v>
      </c>
      <c r="P819">
        <v>4</v>
      </c>
      <c r="Q819" t="s">
        <v>198</v>
      </c>
      <c r="R819" s="6">
        <v>0.52086654423018053</v>
      </c>
      <c r="S819" s="6">
        <v>11.677500623655146</v>
      </c>
      <c r="T819" s="6">
        <v>7.3105429254814434</v>
      </c>
      <c r="U819" s="6">
        <v>65.10984264843114</v>
      </c>
      <c r="V819" s="6">
        <v>6.8350855204510813E-2</v>
      </c>
      <c r="W819" s="6">
        <v>2.2388027169615716</v>
      </c>
      <c r="X819" s="6">
        <v>1.0741530665722134</v>
      </c>
      <c r="Y819" s="6">
        <v>10.515233572317062</v>
      </c>
    </row>
    <row r="820" spans="1:25" x14ac:dyDescent="0.25">
      <c r="A820" t="str">
        <f t="shared" si="12"/>
        <v>RTD Ice TeaFranceDecemberEUR (€)Fully-AutomatedOldCan2High-scaleLow</v>
      </c>
      <c r="B820" t="s">
        <v>130</v>
      </c>
      <c r="C820" t="s">
        <v>130</v>
      </c>
      <c r="D820" t="s">
        <v>15</v>
      </c>
      <c r="E820" s="12" t="s">
        <v>182</v>
      </c>
      <c r="F820" t="s">
        <v>187</v>
      </c>
      <c r="G820" t="s">
        <v>12</v>
      </c>
      <c r="H820" t="s">
        <v>72</v>
      </c>
      <c r="I820" t="s">
        <v>125</v>
      </c>
      <c r="J820" s="12">
        <v>2</v>
      </c>
      <c r="K820" t="s">
        <v>107</v>
      </c>
      <c r="L820" t="s">
        <v>13</v>
      </c>
      <c r="M820" t="s">
        <v>200</v>
      </c>
      <c r="O820" t="s">
        <v>197</v>
      </c>
      <c r="P820">
        <v>4</v>
      </c>
      <c r="Q820" t="s">
        <v>198</v>
      </c>
      <c r="R820" s="6">
        <v>0.48025036674262261</v>
      </c>
      <c r="S820" s="6">
        <v>10.772254112952902</v>
      </c>
      <c r="T820" s="6">
        <v>6.7418331876705491</v>
      </c>
      <c r="U820" s="6">
        <v>60.044540496657511</v>
      </c>
      <c r="V820" s="6">
        <v>6.1483177440265963E-2</v>
      </c>
      <c r="W820" s="6">
        <v>2.0054747085161866</v>
      </c>
      <c r="X820" s="6">
        <v>0.96298463424629777</v>
      </c>
      <c r="Y820" s="6">
        <v>9.4260472590785351</v>
      </c>
    </row>
    <row r="821" spans="1:25" x14ac:dyDescent="0.25">
      <c r="A821" t="str">
        <f t="shared" si="12"/>
        <v>RTD Ice TeaFranceDecemberEUR (€)Fully-AutomatedOldCan2High-scaleMedium</v>
      </c>
      <c r="B821" t="s">
        <v>130</v>
      </c>
      <c r="C821" t="s">
        <v>130</v>
      </c>
      <c r="D821" t="s">
        <v>15</v>
      </c>
      <c r="E821" s="12" t="s">
        <v>182</v>
      </c>
      <c r="F821" t="s">
        <v>187</v>
      </c>
      <c r="G821" t="s">
        <v>12</v>
      </c>
      <c r="H821" t="s">
        <v>72</v>
      </c>
      <c r="I821" t="s">
        <v>125</v>
      </c>
      <c r="J821" s="12">
        <v>2</v>
      </c>
      <c r="K821" t="s">
        <v>107</v>
      </c>
      <c r="L821" t="s">
        <v>63</v>
      </c>
      <c r="M821" t="s">
        <v>200</v>
      </c>
      <c r="O821" t="s">
        <v>197</v>
      </c>
      <c r="P821">
        <v>4</v>
      </c>
      <c r="Q821" t="s">
        <v>198</v>
      </c>
      <c r="R821" s="6">
        <v>0.49857755645028368</v>
      </c>
      <c r="S821" s="6">
        <v>11.183721960282426</v>
      </c>
      <c r="T821" s="6">
        <v>6.9992094368381288</v>
      </c>
      <c r="U821" s="6">
        <v>62.336786443729054</v>
      </c>
      <c r="V821" s="6">
        <v>6.3705238266445585E-2</v>
      </c>
      <c r="W821" s="6">
        <v>2.0769239970495139</v>
      </c>
      <c r="X821" s="6">
        <v>0.99712688870942945</v>
      </c>
      <c r="Y821" s="6">
        <v>9.7604964772686671</v>
      </c>
    </row>
    <row r="822" spans="1:25" x14ac:dyDescent="0.25">
      <c r="A822" t="str">
        <f t="shared" si="12"/>
        <v>RTD Ice TeaFranceDecemberEUR (€)Fully-AutomatedOldCan2High-scaleHigh</v>
      </c>
      <c r="B822" t="s">
        <v>130</v>
      </c>
      <c r="C822" t="s">
        <v>130</v>
      </c>
      <c r="D822" t="s">
        <v>15</v>
      </c>
      <c r="E822" s="12" t="s">
        <v>182</v>
      </c>
      <c r="F822" t="s">
        <v>187</v>
      </c>
      <c r="G822" t="s">
        <v>12</v>
      </c>
      <c r="H822" t="s">
        <v>72</v>
      </c>
      <c r="I822" t="s">
        <v>125</v>
      </c>
      <c r="J822" s="12">
        <v>2</v>
      </c>
      <c r="K822" t="s">
        <v>107</v>
      </c>
      <c r="L822" t="s">
        <v>11</v>
      </c>
      <c r="M822" t="s">
        <v>200</v>
      </c>
      <c r="O822" t="s">
        <v>197</v>
      </c>
      <c r="P822">
        <v>4</v>
      </c>
      <c r="Q822" t="s">
        <v>198</v>
      </c>
      <c r="R822" s="6">
        <v>0.51837092133455764</v>
      </c>
      <c r="S822" s="6">
        <v>11.628107235398311</v>
      </c>
      <c r="T822" s="6">
        <v>7.2771757859391144</v>
      </c>
      <c r="U822" s="6">
        <v>64.812412066566324</v>
      </c>
      <c r="V822" s="6">
        <v>6.6105063958719554E-2</v>
      </c>
      <c r="W822" s="6">
        <v>2.1540892286655078</v>
      </c>
      <c r="X822" s="6">
        <v>1.0340005235296115</v>
      </c>
      <c r="Y822" s="6">
        <v>10.121701632914007</v>
      </c>
    </row>
    <row r="823" spans="1:25" x14ac:dyDescent="0.25">
      <c r="A823" t="str">
        <f t="shared" si="12"/>
        <v>RTD Ice TeaFranceDecemberEUR (€)Fully-AutomatedOldCan2Medium-scaleLow</v>
      </c>
      <c r="B823" t="s">
        <v>130</v>
      </c>
      <c r="C823" t="s">
        <v>130</v>
      </c>
      <c r="D823" t="s">
        <v>15</v>
      </c>
      <c r="E823" s="12" t="s">
        <v>182</v>
      </c>
      <c r="F823" t="s">
        <v>187</v>
      </c>
      <c r="G823" t="s">
        <v>12</v>
      </c>
      <c r="H823" t="s">
        <v>72</v>
      </c>
      <c r="I823" t="s">
        <v>125</v>
      </c>
      <c r="J823" s="12">
        <v>2</v>
      </c>
      <c r="K823" t="s">
        <v>62</v>
      </c>
      <c r="L823" t="s">
        <v>13</v>
      </c>
      <c r="M823" t="s">
        <v>200</v>
      </c>
      <c r="O823" t="s">
        <v>197</v>
      </c>
      <c r="P823">
        <v>4</v>
      </c>
      <c r="Q823" t="s">
        <v>198</v>
      </c>
      <c r="R823" s="6">
        <v>0.48118622532848115</v>
      </c>
      <c r="S823" s="6">
        <v>10.790776633549212</v>
      </c>
      <c r="T823" s="6">
        <v>6.754345864998923</v>
      </c>
      <c r="U823" s="6">
        <v>60.156076964856823</v>
      </c>
      <c r="V823" s="6">
        <v>6.2325349157437683E-2</v>
      </c>
      <c r="W823" s="6">
        <v>2.0372422666272101</v>
      </c>
      <c r="X823" s="6">
        <v>0.97804183788727361</v>
      </c>
      <c r="Y823" s="6">
        <v>9.5736217363546814</v>
      </c>
    </row>
    <row r="824" spans="1:25" x14ac:dyDescent="0.25">
      <c r="A824" t="str">
        <f t="shared" si="12"/>
        <v>RTD Ice TeaFranceDecemberEUR (€)Fully-AutomatedOldCan2Medium-scaleMedium</v>
      </c>
      <c r="B824" t="s">
        <v>130</v>
      </c>
      <c r="C824" t="s">
        <v>130</v>
      </c>
      <c r="D824" t="s">
        <v>15</v>
      </c>
      <c r="E824" s="12" t="s">
        <v>182</v>
      </c>
      <c r="F824" t="s">
        <v>187</v>
      </c>
      <c r="G824" t="s">
        <v>12</v>
      </c>
      <c r="H824" t="s">
        <v>72</v>
      </c>
      <c r="I824" t="s">
        <v>125</v>
      </c>
      <c r="J824" s="12">
        <v>2</v>
      </c>
      <c r="K824" t="s">
        <v>62</v>
      </c>
      <c r="L824" t="s">
        <v>63</v>
      </c>
      <c r="M824" t="s">
        <v>200</v>
      </c>
      <c r="O824" t="s">
        <v>197</v>
      </c>
      <c r="P824">
        <v>4</v>
      </c>
      <c r="Q824" t="s">
        <v>198</v>
      </c>
      <c r="R824" s="6">
        <v>0.49951341503614233</v>
      </c>
      <c r="S824" s="6">
        <v>11.202244480878738</v>
      </c>
      <c r="T824" s="6">
        <v>7.0117221141665027</v>
      </c>
      <c r="U824" s="6">
        <v>62.448322911928379</v>
      </c>
      <c r="V824" s="6">
        <v>6.4547409983617299E-2</v>
      </c>
      <c r="W824" s="6">
        <v>2.1086915551605379</v>
      </c>
      <c r="X824" s="6">
        <v>1.0121840923504051</v>
      </c>
      <c r="Y824" s="6">
        <v>9.9080709545448133</v>
      </c>
    </row>
    <row r="825" spans="1:25" x14ac:dyDescent="0.25">
      <c r="A825" t="str">
        <f t="shared" si="12"/>
        <v>RTD Ice TeaFranceDecemberEUR (€)Fully-AutomatedOldCan2Medium-scaleHigh</v>
      </c>
      <c r="B825" t="s">
        <v>130</v>
      </c>
      <c r="C825" t="s">
        <v>130</v>
      </c>
      <c r="D825" t="s">
        <v>15</v>
      </c>
      <c r="E825" s="12" t="s">
        <v>182</v>
      </c>
      <c r="F825" t="s">
        <v>187</v>
      </c>
      <c r="G825" t="s">
        <v>12</v>
      </c>
      <c r="H825" t="s">
        <v>72</v>
      </c>
      <c r="I825" t="s">
        <v>125</v>
      </c>
      <c r="J825" s="12">
        <v>2</v>
      </c>
      <c r="K825" t="s">
        <v>62</v>
      </c>
      <c r="L825" t="s">
        <v>11</v>
      </c>
      <c r="M825" t="s">
        <v>200</v>
      </c>
      <c r="O825" t="s">
        <v>197</v>
      </c>
      <c r="P825">
        <v>4</v>
      </c>
      <c r="Q825" t="s">
        <v>198</v>
      </c>
      <c r="R825" s="6">
        <v>0.51930677992041618</v>
      </c>
      <c r="S825" s="6">
        <v>11.646629755994624</v>
      </c>
      <c r="T825" s="6">
        <v>7.2896884632674865</v>
      </c>
      <c r="U825" s="6">
        <v>64.923948534765628</v>
      </c>
      <c r="V825" s="6">
        <v>6.6947235675891267E-2</v>
      </c>
      <c r="W825" s="6">
        <v>2.1858567867765317</v>
      </c>
      <c r="X825" s="6">
        <v>1.049057727170587</v>
      </c>
      <c r="Y825" s="6">
        <v>10.269276110190152</v>
      </c>
    </row>
    <row r="826" spans="1:25" x14ac:dyDescent="0.25">
      <c r="A826" t="str">
        <f t="shared" si="12"/>
        <v>RTD Ice TeaFranceDecemberEUR (€)Fully-AutomatedOldCan2Small-scaleLow</v>
      </c>
      <c r="B826" t="s">
        <v>130</v>
      </c>
      <c r="C826" t="s">
        <v>130</v>
      </c>
      <c r="D826" t="s">
        <v>15</v>
      </c>
      <c r="E826" s="12" t="s">
        <v>182</v>
      </c>
      <c r="F826" t="s">
        <v>187</v>
      </c>
      <c r="G826" t="s">
        <v>12</v>
      </c>
      <c r="H826" t="s">
        <v>72</v>
      </c>
      <c r="I826" t="s">
        <v>125</v>
      </c>
      <c r="J826" s="12">
        <v>2</v>
      </c>
      <c r="K826" t="s">
        <v>60</v>
      </c>
      <c r="L826" t="s">
        <v>13</v>
      </c>
      <c r="M826" t="s">
        <v>200</v>
      </c>
      <c r="O826" t="s">
        <v>197</v>
      </c>
      <c r="P826">
        <v>4</v>
      </c>
      <c r="Q826" t="s">
        <v>198</v>
      </c>
      <c r="R826" s="6">
        <v>0.48274598963824539</v>
      </c>
      <c r="S826" s="6">
        <v>10.821647501209734</v>
      </c>
      <c r="T826" s="6">
        <v>6.7752003272128798</v>
      </c>
      <c r="U826" s="6">
        <v>60.341971078522313</v>
      </c>
      <c r="V826" s="6">
        <v>6.3728968686057208E-2</v>
      </c>
      <c r="W826" s="6">
        <v>2.0901881968122504</v>
      </c>
      <c r="X826" s="6">
        <v>1.0031371772889002</v>
      </c>
      <c r="Y826" s="6">
        <v>9.8195791984815894</v>
      </c>
    </row>
    <row r="827" spans="1:25" x14ac:dyDescent="0.25">
      <c r="A827" t="str">
        <f t="shared" si="12"/>
        <v>RTD Ice TeaFranceDecemberEUR (€)Fully-AutomatedOldCan2Small-scaleMedium</v>
      </c>
      <c r="B827" t="s">
        <v>130</v>
      </c>
      <c r="C827" t="s">
        <v>130</v>
      </c>
      <c r="D827" t="s">
        <v>15</v>
      </c>
      <c r="E827" s="12" t="s">
        <v>182</v>
      </c>
      <c r="F827" t="s">
        <v>187</v>
      </c>
      <c r="G827" t="s">
        <v>12</v>
      </c>
      <c r="H827" t="s">
        <v>72</v>
      </c>
      <c r="I827" t="s">
        <v>125</v>
      </c>
      <c r="J827" s="12">
        <v>2</v>
      </c>
      <c r="K827" t="s">
        <v>60</v>
      </c>
      <c r="L827" t="s">
        <v>63</v>
      </c>
      <c r="M827" t="s">
        <v>200</v>
      </c>
      <c r="O827" t="s">
        <v>197</v>
      </c>
      <c r="P827">
        <v>4</v>
      </c>
      <c r="Q827" t="s">
        <v>198</v>
      </c>
      <c r="R827" s="6">
        <v>0.50107317934590667</v>
      </c>
      <c r="S827" s="6">
        <v>11.233115348539258</v>
      </c>
      <c r="T827" s="6">
        <v>7.0325765763804586</v>
      </c>
      <c r="U827" s="6">
        <v>62.634217025593884</v>
      </c>
      <c r="V827" s="6">
        <v>6.5951029512236817E-2</v>
      </c>
      <c r="W827" s="6">
        <v>2.1616374853455778</v>
      </c>
      <c r="X827" s="6">
        <v>1.0372794317520313</v>
      </c>
      <c r="Y827" s="6">
        <v>10.154028416671721</v>
      </c>
    </row>
    <row r="828" spans="1:25" x14ac:dyDescent="0.25">
      <c r="A828" t="str">
        <f t="shared" si="12"/>
        <v>RTD Ice TeaFranceDecemberEUR (€)Fully-AutomatedOldCan2Small-scaleHigh</v>
      </c>
      <c r="B828" t="s">
        <v>130</v>
      </c>
      <c r="C828" t="s">
        <v>130</v>
      </c>
      <c r="D828" t="s">
        <v>15</v>
      </c>
      <c r="E828" s="12" t="s">
        <v>182</v>
      </c>
      <c r="F828" t="s">
        <v>187</v>
      </c>
      <c r="G828" t="s">
        <v>12</v>
      </c>
      <c r="H828" t="s">
        <v>72</v>
      </c>
      <c r="I828" t="s">
        <v>125</v>
      </c>
      <c r="J828" s="12">
        <v>2</v>
      </c>
      <c r="K828" t="s">
        <v>60</v>
      </c>
      <c r="L828" t="s">
        <v>11</v>
      </c>
      <c r="M828" t="s">
        <v>200</v>
      </c>
      <c r="O828" t="s">
        <v>197</v>
      </c>
      <c r="P828">
        <v>4</v>
      </c>
      <c r="Q828" t="s">
        <v>198</v>
      </c>
      <c r="R828" s="6">
        <v>0.52086654423018053</v>
      </c>
      <c r="S828" s="6">
        <v>11.677500623655146</v>
      </c>
      <c r="T828" s="6">
        <v>7.3105429254814434</v>
      </c>
      <c r="U828" s="6">
        <v>65.10984264843114</v>
      </c>
      <c r="V828" s="6">
        <v>6.8350855204510813E-2</v>
      </c>
      <c r="W828" s="6">
        <v>2.2388027169615716</v>
      </c>
      <c r="X828" s="6">
        <v>1.0741530665722134</v>
      </c>
      <c r="Y828" s="6">
        <v>10.515233572317062</v>
      </c>
    </row>
    <row r="829" spans="1:25" x14ac:dyDescent="0.25">
      <c r="A829" t="str">
        <f t="shared" si="12"/>
        <v>RTD Ice TeaFranceDecemberEUR (€)Fully-AutomatedOldCan2High-scaleLow</v>
      </c>
      <c r="B829" t="s">
        <v>130</v>
      </c>
      <c r="C829" t="s">
        <v>130</v>
      </c>
      <c r="D829" t="s">
        <v>15</v>
      </c>
      <c r="E829" s="12" t="s">
        <v>182</v>
      </c>
      <c r="F829" t="s">
        <v>187</v>
      </c>
      <c r="G829" t="s">
        <v>12</v>
      </c>
      <c r="H829" t="s">
        <v>72</v>
      </c>
      <c r="I829" t="s">
        <v>125</v>
      </c>
      <c r="J829" s="12">
        <v>2</v>
      </c>
      <c r="K829" t="s">
        <v>107</v>
      </c>
      <c r="L829" t="s">
        <v>13</v>
      </c>
      <c r="M829" t="s">
        <v>199</v>
      </c>
      <c r="O829" t="s">
        <v>197</v>
      </c>
      <c r="P829">
        <v>6</v>
      </c>
      <c r="Q829" t="s">
        <v>201</v>
      </c>
      <c r="R829" s="6">
        <v>0.48025036674262261</v>
      </c>
      <c r="S829" s="6">
        <v>10.772254112952902</v>
      </c>
      <c r="T829" s="6">
        <v>6.7418331876705491</v>
      </c>
      <c r="U829" s="6">
        <v>60.044540496657511</v>
      </c>
      <c r="V829" s="6">
        <v>5.5428683606747312E-2</v>
      </c>
      <c r="W829" s="6">
        <v>1.8439079315461888</v>
      </c>
      <c r="X829" s="6">
        <v>0.87804147271370558</v>
      </c>
      <c r="Y829" s="6">
        <v>8.6041483131717627</v>
      </c>
    </row>
    <row r="830" spans="1:25" x14ac:dyDescent="0.25">
      <c r="A830" t="str">
        <f t="shared" si="12"/>
        <v>RTD Ice TeaFranceDecemberEUR (€)Fully-AutomatedOldCan2High-scaleMedium</v>
      </c>
      <c r="B830" t="s">
        <v>130</v>
      </c>
      <c r="C830" t="s">
        <v>130</v>
      </c>
      <c r="D830" t="s">
        <v>15</v>
      </c>
      <c r="E830" s="12" t="s">
        <v>182</v>
      </c>
      <c r="F830" t="s">
        <v>187</v>
      </c>
      <c r="G830" t="s">
        <v>12</v>
      </c>
      <c r="H830" t="s">
        <v>72</v>
      </c>
      <c r="I830" t="s">
        <v>125</v>
      </c>
      <c r="J830" s="12">
        <v>2</v>
      </c>
      <c r="K830" t="s">
        <v>107</v>
      </c>
      <c r="L830" t="s">
        <v>63</v>
      </c>
      <c r="M830" t="s">
        <v>199</v>
      </c>
      <c r="O830" t="s">
        <v>197</v>
      </c>
      <c r="P830">
        <v>6</v>
      </c>
      <c r="Q830" t="s">
        <v>201</v>
      </c>
      <c r="R830" s="6">
        <v>0.49857755645028368</v>
      </c>
      <c r="S830" s="6">
        <v>11.183721960282426</v>
      </c>
      <c r="T830" s="6">
        <v>6.9992094368381288</v>
      </c>
      <c r="U830" s="6">
        <v>62.336786443729054</v>
      </c>
      <c r="V830" s="6">
        <v>5.7417879285483905E-2</v>
      </c>
      <c r="W830" s="6">
        <v>1.9091431132729781</v>
      </c>
      <c r="X830" s="6">
        <v>0.90891668250250679</v>
      </c>
      <c r="Y830" s="6">
        <v>8.9069860334424042</v>
      </c>
    </row>
    <row r="831" spans="1:25" x14ac:dyDescent="0.25">
      <c r="A831" t="str">
        <f t="shared" si="12"/>
        <v>RTD Ice TeaFranceDecemberEUR (€)Fully-AutomatedOldCan2High-scaleHigh</v>
      </c>
      <c r="B831" t="s">
        <v>130</v>
      </c>
      <c r="C831" t="s">
        <v>130</v>
      </c>
      <c r="D831" t="s">
        <v>15</v>
      </c>
      <c r="E831" s="12" t="s">
        <v>182</v>
      </c>
      <c r="F831" t="s">
        <v>187</v>
      </c>
      <c r="G831" t="s">
        <v>12</v>
      </c>
      <c r="H831" t="s">
        <v>72</v>
      </c>
      <c r="I831" t="s">
        <v>125</v>
      </c>
      <c r="J831" s="12">
        <v>2</v>
      </c>
      <c r="K831" t="s">
        <v>107</v>
      </c>
      <c r="L831" t="s">
        <v>11</v>
      </c>
      <c r="M831" t="s">
        <v>199</v>
      </c>
      <c r="O831" t="s">
        <v>197</v>
      </c>
      <c r="P831">
        <v>6</v>
      </c>
      <c r="Q831" t="s">
        <v>201</v>
      </c>
      <c r="R831" s="6">
        <v>0.51837092133455764</v>
      </c>
      <c r="S831" s="6">
        <v>11.628107235398311</v>
      </c>
      <c r="T831" s="6">
        <v>7.2771757859391144</v>
      </c>
      <c r="U831" s="6">
        <v>64.812412066566324</v>
      </c>
      <c r="V831" s="6">
        <v>5.9566210618519418E-2</v>
      </c>
      <c r="W831" s="6">
        <v>1.9795971095379106</v>
      </c>
      <c r="X831" s="6">
        <v>0.94226190907441187</v>
      </c>
      <c r="Y831" s="6">
        <v>9.2340507713346973</v>
      </c>
    </row>
    <row r="832" spans="1:25" x14ac:dyDescent="0.25">
      <c r="A832" t="str">
        <f t="shared" si="12"/>
        <v>RTD Ice TeaFranceDecemberEUR (€)Fully-AutomatedOldCan2Medium-scaleLow</v>
      </c>
      <c r="B832" t="s">
        <v>130</v>
      </c>
      <c r="C832" t="s">
        <v>130</v>
      </c>
      <c r="D832" t="s">
        <v>15</v>
      </c>
      <c r="E832" s="12" t="s">
        <v>182</v>
      </c>
      <c r="F832" t="s">
        <v>187</v>
      </c>
      <c r="G832" t="s">
        <v>12</v>
      </c>
      <c r="H832" t="s">
        <v>72</v>
      </c>
      <c r="I832" t="s">
        <v>125</v>
      </c>
      <c r="J832" s="12">
        <v>2</v>
      </c>
      <c r="K832" t="s">
        <v>62</v>
      </c>
      <c r="L832" t="s">
        <v>13</v>
      </c>
      <c r="M832" t="s">
        <v>199</v>
      </c>
      <c r="O832" t="s">
        <v>197</v>
      </c>
      <c r="P832">
        <v>6</v>
      </c>
      <c r="Q832" t="s">
        <v>201</v>
      </c>
      <c r="R832" s="6">
        <v>0.48118622532848115</v>
      </c>
      <c r="S832" s="6">
        <v>10.790776633549212</v>
      </c>
      <c r="T832" s="6">
        <v>6.754345864998923</v>
      </c>
      <c r="U832" s="6">
        <v>60.156076964856823</v>
      </c>
      <c r="V832" s="6">
        <v>5.6270855323919032E-2</v>
      </c>
      <c r="W832" s="6">
        <v>1.8756754896572128</v>
      </c>
      <c r="X832" s="6">
        <v>0.89309867635468143</v>
      </c>
      <c r="Y832" s="6">
        <v>8.7517227904479107</v>
      </c>
    </row>
    <row r="833" spans="1:25" x14ac:dyDescent="0.25">
      <c r="A833" t="str">
        <f t="shared" si="12"/>
        <v>RTD Ice TeaFranceDecemberEUR (€)Fully-AutomatedOldCan2Medium-scaleMedium</v>
      </c>
      <c r="B833" t="s">
        <v>130</v>
      </c>
      <c r="C833" t="s">
        <v>130</v>
      </c>
      <c r="D833" t="s">
        <v>15</v>
      </c>
      <c r="E833" s="12" t="s">
        <v>182</v>
      </c>
      <c r="F833" t="s">
        <v>187</v>
      </c>
      <c r="G833" t="s">
        <v>12</v>
      </c>
      <c r="H833" t="s">
        <v>72</v>
      </c>
      <c r="I833" t="s">
        <v>125</v>
      </c>
      <c r="J833" s="12">
        <v>2</v>
      </c>
      <c r="K833" t="s">
        <v>62</v>
      </c>
      <c r="L833" t="s">
        <v>63</v>
      </c>
      <c r="M833" t="s">
        <v>199</v>
      </c>
      <c r="O833" t="s">
        <v>197</v>
      </c>
      <c r="P833">
        <v>6</v>
      </c>
      <c r="Q833" t="s">
        <v>201</v>
      </c>
      <c r="R833" s="6">
        <v>0.49951341503614233</v>
      </c>
      <c r="S833" s="6">
        <v>11.202244480878738</v>
      </c>
      <c r="T833" s="6">
        <v>7.0117221141665027</v>
      </c>
      <c r="U833" s="6">
        <v>62.448322911928379</v>
      </c>
      <c r="V833" s="6">
        <v>5.8260051002655619E-2</v>
      </c>
      <c r="W833" s="6">
        <v>1.9409106713840025</v>
      </c>
      <c r="X833" s="6">
        <v>0.92397388614348253</v>
      </c>
      <c r="Y833" s="6">
        <v>9.0545605107185505</v>
      </c>
    </row>
    <row r="834" spans="1:25" x14ac:dyDescent="0.25">
      <c r="A834" t="str">
        <f t="shared" ref="A834:A897" si="13">C834&amp;D834&amp;E834&amp;F834&amp;G834&amp;H834&amp;I834&amp;J834&amp;K834&amp;L834</f>
        <v>RTD Ice TeaFranceDecemberEUR (€)Fully-AutomatedOldCan2Medium-scaleHigh</v>
      </c>
      <c r="B834" t="s">
        <v>130</v>
      </c>
      <c r="C834" t="s">
        <v>130</v>
      </c>
      <c r="D834" t="s">
        <v>15</v>
      </c>
      <c r="E834" s="12" t="s">
        <v>182</v>
      </c>
      <c r="F834" t="s">
        <v>187</v>
      </c>
      <c r="G834" t="s">
        <v>12</v>
      </c>
      <c r="H834" t="s">
        <v>72</v>
      </c>
      <c r="I834" t="s">
        <v>125</v>
      </c>
      <c r="J834" s="12">
        <v>2</v>
      </c>
      <c r="K834" t="s">
        <v>62</v>
      </c>
      <c r="L834" t="s">
        <v>11</v>
      </c>
      <c r="M834" t="s">
        <v>199</v>
      </c>
      <c r="O834" t="s">
        <v>197</v>
      </c>
      <c r="P834">
        <v>6</v>
      </c>
      <c r="Q834" t="s">
        <v>201</v>
      </c>
      <c r="R834" s="6">
        <v>0.51930677992041618</v>
      </c>
      <c r="S834" s="6">
        <v>11.646629755994624</v>
      </c>
      <c r="T834" s="6">
        <v>7.2896884632674865</v>
      </c>
      <c r="U834" s="6">
        <v>64.923948534765628</v>
      </c>
      <c r="V834" s="6">
        <v>6.0408382335691124E-2</v>
      </c>
      <c r="W834" s="6">
        <v>2.0113646676489343</v>
      </c>
      <c r="X834" s="6">
        <v>0.9573191127153875</v>
      </c>
      <c r="Y834" s="6">
        <v>9.3816252486108418</v>
      </c>
    </row>
    <row r="835" spans="1:25" x14ac:dyDescent="0.25">
      <c r="A835" t="str">
        <f t="shared" si="13"/>
        <v>RTD Ice TeaFranceDecemberEUR (€)Fully-AutomatedOldCan2Small-scaleLow</v>
      </c>
      <c r="B835" t="s">
        <v>130</v>
      </c>
      <c r="C835" t="s">
        <v>130</v>
      </c>
      <c r="D835" t="s">
        <v>15</v>
      </c>
      <c r="E835" s="12" t="s">
        <v>182</v>
      </c>
      <c r="F835" t="s">
        <v>187</v>
      </c>
      <c r="G835" t="s">
        <v>12</v>
      </c>
      <c r="H835" t="s">
        <v>72</v>
      </c>
      <c r="I835" t="s">
        <v>125</v>
      </c>
      <c r="J835" s="12">
        <v>2</v>
      </c>
      <c r="K835" t="s">
        <v>60</v>
      </c>
      <c r="L835" t="s">
        <v>13</v>
      </c>
      <c r="M835" t="s">
        <v>199</v>
      </c>
      <c r="O835" t="s">
        <v>197</v>
      </c>
      <c r="P835">
        <v>6</v>
      </c>
      <c r="Q835" t="s">
        <v>201</v>
      </c>
      <c r="R835" s="6">
        <v>0.48274598963824539</v>
      </c>
      <c r="S835" s="6">
        <v>10.821647501209734</v>
      </c>
      <c r="T835" s="6">
        <v>6.7752003272128798</v>
      </c>
      <c r="U835" s="6">
        <v>60.341971078522313</v>
      </c>
      <c r="V835" s="6">
        <v>5.767447485253855E-2</v>
      </c>
      <c r="W835" s="6">
        <v>1.9286214198422529</v>
      </c>
      <c r="X835" s="6">
        <v>0.91819401575630799</v>
      </c>
      <c r="Y835" s="6">
        <v>8.9976802525748187</v>
      </c>
    </row>
    <row r="836" spans="1:25" x14ac:dyDescent="0.25">
      <c r="A836" t="str">
        <f t="shared" si="13"/>
        <v>RTD Ice TeaFranceDecemberEUR (€)Fully-AutomatedOldCan2Small-scaleMedium</v>
      </c>
      <c r="B836" t="s">
        <v>130</v>
      </c>
      <c r="C836" t="s">
        <v>130</v>
      </c>
      <c r="D836" t="s">
        <v>15</v>
      </c>
      <c r="E836" s="12" t="s">
        <v>182</v>
      </c>
      <c r="F836" t="s">
        <v>187</v>
      </c>
      <c r="G836" t="s">
        <v>12</v>
      </c>
      <c r="H836" t="s">
        <v>72</v>
      </c>
      <c r="I836" t="s">
        <v>125</v>
      </c>
      <c r="J836" s="12">
        <v>2</v>
      </c>
      <c r="K836" t="s">
        <v>60</v>
      </c>
      <c r="L836" t="s">
        <v>63</v>
      </c>
      <c r="M836" t="s">
        <v>199</v>
      </c>
      <c r="O836" t="s">
        <v>197</v>
      </c>
      <c r="P836">
        <v>6</v>
      </c>
      <c r="Q836" t="s">
        <v>201</v>
      </c>
      <c r="R836" s="6">
        <v>0.50107317934590667</v>
      </c>
      <c r="S836" s="6">
        <v>11.233115348539258</v>
      </c>
      <c r="T836" s="6">
        <v>7.0325765763804586</v>
      </c>
      <c r="U836" s="6">
        <v>62.634217025593884</v>
      </c>
      <c r="V836" s="6">
        <v>5.9663670531275151E-2</v>
      </c>
      <c r="W836" s="6">
        <v>1.993856601569042</v>
      </c>
      <c r="X836" s="6">
        <v>0.94906922554510886</v>
      </c>
      <c r="Y836" s="6">
        <v>9.3005179728454586</v>
      </c>
    </row>
    <row r="837" spans="1:25" x14ac:dyDescent="0.25">
      <c r="A837" t="str">
        <f t="shared" si="13"/>
        <v>RTD Ice TeaFranceDecemberEUR (€)Fully-AutomatedOldCan2Small-scaleHigh</v>
      </c>
      <c r="B837" t="s">
        <v>130</v>
      </c>
      <c r="C837" t="s">
        <v>130</v>
      </c>
      <c r="D837" t="s">
        <v>15</v>
      </c>
      <c r="E837" s="12" t="s">
        <v>182</v>
      </c>
      <c r="F837" t="s">
        <v>187</v>
      </c>
      <c r="G837" t="s">
        <v>12</v>
      </c>
      <c r="H837" t="s">
        <v>72</v>
      </c>
      <c r="I837" t="s">
        <v>125</v>
      </c>
      <c r="J837" s="12">
        <v>2</v>
      </c>
      <c r="K837" t="s">
        <v>60</v>
      </c>
      <c r="L837" t="s">
        <v>11</v>
      </c>
      <c r="M837" t="s">
        <v>199</v>
      </c>
      <c r="O837" t="s">
        <v>197</v>
      </c>
      <c r="P837">
        <v>6</v>
      </c>
      <c r="Q837" t="s">
        <v>201</v>
      </c>
      <c r="R837" s="6">
        <v>0.52086654423018053</v>
      </c>
      <c r="S837" s="6">
        <v>11.677500623655146</v>
      </c>
      <c r="T837" s="6">
        <v>7.3105429254814434</v>
      </c>
      <c r="U837" s="6">
        <v>65.10984264843114</v>
      </c>
      <c r="V837" s="6">
        <v>6.1812001864310663E-2</v>
      </c>
      <c r="W837" s="6">
        <v>2.0643105978339742</v>
      </c>
      <c r="X837" s="6">
        <v>0.98241445211701384</v>
      </c>
      <c r="Y837" s="6">
        <v>9.6275827107377481</v>
      </c>
    </row>
    <row r="838" spans="1:25" x14ac:dyDescent="0.25">
      <c r="A838" t="str">
        <f t="shared" si="13"/>
        <v>RTD Ice TeaFranceDecemberEUR (€)Fully-AutomatedOldCan2High-scaleLow</v>
      </c>
      <c r="B838" t="s">
        <v>130</v>
      </c>
      <c r="C838" t="s">
        <v>130</v>
      </c>
      <c r="D838" t="s">
        <v>15</v>
      </c>
      <c r="E838" s="12" t="s">
        <v>182</v>
      </c>
      <c r="F838" t="s">
        <v>187</v>
      </c>
      <c r="G838" t="s">
        <v>12</v>
      </c>
      <c r="H838" t="s">
        <v>72</v>
      </c>
      <c r="I838" t="s">
        <v>125</v>
      </c>
      <c r="J838" s="12">
        <v>2</v>
      </c>
      <c r="K838" t="s">
        <v>107</v>
      </c>
      <c r="L838" t="s">
        <v>13</v>
      </c>
      <c r="M838" t="s">
        <v>200</v>
      </c>
      <c r="O838" t="s">
        <v>197</v>
      </c>
      <c r="P838">
        <v>6</v>
      </c>
      <c r="Q838" t="s">
        <v>201</v>
      </c>
      <c r="R838" s="6">
        <v>0.48025036674262261</v>
      </c>
      <c r="S838" s="6">
        <v>10.772254112952902</v>
      </c>
      <c r="T838" s="6">
        <v>6.7418331876705491</v>
      </c>
      <c r="U838" s="6">
        <v>60.044540496657511</v>
      </c>
      <c r="V838" s="6">
        <v>5.5428683606747312E-2</v>
      </c>
      <c r="W838" s="6">
        <v>1.8439079315461888</v>
      </c>
      <c r="X838" s="6">
        <v>0.87804147271370558</v>
      </c>
      <c r="Y838" s="6">
        <v>8.6041483131717627</v>
      </c>
    </row>
    <row r="839" spans="1:25" x14ac:dyDescent="0.25">
      <c r="A839" t="str">
        <f t="shared" si="13"/>
        <v>RTD Ice TeaFranceDecemberEUR (€)Fully-AutomatedOldCan2High-scaleMedium</v>
      </c>
      <c r="B839" t="s">
        <v>130</v>
      </c>
      <c r="C839" t="s">
        <v>130</v>
      </c>
      <c r="D839" t="s">
        <v>15</v>
      </c>
      <c r="E839" s="12" t="s">
        <v>182</v>
      </c>
      <c r="F839" t="s">
        <v>187</v>
      </c>
      <c r="G839" t="s">
        <v>12</v>
      </c>
      <c r="H839" t="s">
        <v>72</v>
      </c>
      <c r="I839" t="s">
        <v>125</v>
      </c>
      <c r="J839" s="12">
        <v>2</v>
      </c>
      <c r="K839" t="s">
        <v>107</v>
      </c>
      <c r="L839" t="s">
        <v>63</v>
      </c>
      <c r="M839" t="s">
        <v>200</v>
      </c>
      <c r="O839" t="s">
        <v>197</v>
      </c>
      <c r="P839">
        <v>6</v>
      </c>
      <c r="Q839" t="s">
        <v>201</v>
      </c>
      <c r="R839" s="6">
        <v>0.49857755645028368</v>
      </c>
      <c r="S839" s="6">
        <v>11.183721960282426</v>
      </c>
      <c r="T839" s="6">
        <v>6.9992094368381288</v>
      </c>
      <c r="U839" s="6">
        <v>62.336786443729054</v>
      </c>
      <c r="V839" s="6">
        <v>5.7417879285483905E-2</v>
      </c>
      <c r="W839" s="6">
        <v>1.9091431132729781</v>
      </c>
      <c r="X839" s="6">
        <v>0.90891668250250679</v>
      </c>
      <c r="Y839" s="6">
        <v>8.9069860334424042</v>
      </c>
    </row>
    <row r="840" spans="1:25" x14ac:dyDescent="0.25">
      <c r="A840" t="str">
        <f t="shared" si="13"/>
        <v>RTD Ice TeaFranceDecemberEUR (€)Fully-AutomatedOldCan2High-scaleHigh</v>
      </c>
      <c r="B840" t="s">
        <v>130</v>
      </c>
      <c r="C840" t="s">
        <v>130</v>
      </c>
      <c r="D840" t="s">
        <v>15</v>
      </c>
      <c r="E840" s="12" t="s">
        <v>182</v>
      </c>
      <c r="F840" t="s">
        <v>187</v>
      </c>
      <c r="G840" t="s">
        <v>12</v>
      </c>
      <c r="H840" t="s">
        <v>72</v>
      </c>
      <c r="I840" t="s">
        <v>125</v>
      </c>
      <c r="J840" s="12">
        <v>2</v>
      </c>
      <c r="K840" t="s">
        <v>107</v>
      </c>
      <c r="L840" t="s">
        <v>11</v>
      </c>
      <c r="M840" t="s">
        <v>200</v>
      </c>
      <c r="O840" t="s">
        <v>197</v>
      </c>
      <c r="P840">
        <v>6</v>
      </c>
      <c r="Q840" t="s">
        <v>201</v>
      </c>
      <c r="R840" s="6">
        <v>0.51837092133455764</v>
      </c>
      <c r="S840" s="6">
        <v>11.628107235398311</v>
      </c>
      <c r="T840" s="6">
        <v>7.2771757859391144</v>
      </c>
      <c r="U840" s="6">
        <v>64.812412066566324</v>
      </c>
      <c r="V840" s="6">
        <v>5.9566210618519418E-2</v>
      </c>
      <c r="W840" s="6">
        <v>1.9795971095379106</v>
      </c>
      <c r="X840" s="6">
        <v>0.94226190907441187</v>
      </c>
      <c r="Y840" s="6">
        <v>9.2340507713346973</v>
      </c>
    </row>
    <row r="841" spans="1:25" x14ac:dyDescent="0.25">
      <c r="A841" t="str">
        <f t="shared" si="13"/>
        <v>RTD Ice TeaFranceDecemberEUR (€)Fully-AutomatedOldCan2Medium-scaleLow</v>
      </c>
      <c r="B841" t="s">
        <v>130</v>
      </c>
      <c r="C841" t="s">
        <v>130</v>
      </c>
      <c r="D841" t="s">
        <v>15</v>
      </c>
      <c r="E841" s="12" t="s">
        <v>182</v>
      </c>
      <c r="F841" t="s">
        <v>187</v>
      </c>
      <c r="G841" t="s">
        <v>12</v>
      </c>
      <c r="H841" t="s">
        <v>72</v>
      </c>
      <c r="I841" t="s">
        <v>125</v>
      </c>
      <c r="J841" s="12">
        <v>2</v>
      </c>
      <c r="K841" t="s">
        <v>62</v>
      </c>
      <c r="L841" t="s">
        <v>13</v>
      </c>
      <c r="M841" t="s">
        <v>200</v>
      </c>
      <c r="O841" t="s">
        <v>197</v>
      </c>
      <c r="P841">
        <v>6</v>
      </c>
      <c r="Q841" t="s">
        <v>201</v>
      </c>
      <c r="R841" s="6">
        <v>0.48118622532848115</v>
      </c>
      <c r="S841" s="6">
        <v>10.790776633549212</v>
      </c>
      <c r="T841" s="6">
        <v>6.754345864998923</v>
      </c>
      <c r="U841" s="6">
        <v>60.156076964856823</v>
      </c>
      <c r="V841" s="6">
        <v>5.6270855323919032E-2</v>
      </c>
      <c r="W841" s="6">
        <v>1.8756754896572128</v>
      </c>
      <c r="X841" s="6">
        <v>0.89309867635468143</v>
      </c>
      <c r="Y841" s="6">
        <v>8.7517227904479107</v>
      </c>
    </row>
    <row r="842" spans="1:25" x14ac:dyDescent="0.25">
      <c r="A842" t="str">
        <f t="shared" si="13"/>
        <v>RTD Ice TeaFranceDecemberEUR (€)Fully-AutomatedOldCan2Medium-scaleMedium</v>
      </c>
      <c r="B842" t="s">
        <v>130</v>
      </c>
      <c r="C842" t="s">
        <v>130</v>
      </c>
      <c r="D842" t="s">
        <v>15</v>
      </c>
      <c r="E842" s="12" t="s">
        <v>182</v>
      </c>
      <c r="F842" t="s">
        <v>187</v>
      </c>
      <c r="G842" t="s">
        <v>12</v>
      </c>
      <c r="H842" t="s">
        <v>72</v>
      </c>
      <c r="I842" t="s">
        <v>125</v>
      </c>
      <c r="J842" s="12">
        <v>2</v>
      </c>
      <c r="K842" t="s">
        <v>62</v>
      </c>
      <c r="L842" t="s">
        <v>63</v>
      </c>
      <c r="M842" t="s">
        <v>200</v>
      </c>
      <c r="O842" t="s">
        <v>197</v>
      </c>
      <c r="P842">
        <v>6</v>
      </c>
      <c r="Q842" t="s">
        <v>201</v>
      </c>
      <c r="R842" s="6">
        <v>0.49951341503614233</v>
      </c>
      <c r="S842" s="6">
        <v>11.202244480878738</v>
      </c>
      <c r="T842" s="6">
        <v>7.0117221141665027</v>
      </c>
      <c r="U842" s="6">
        <v>62.448322911928379</v>
      </c>
      <c r="V842" s="6">
        <v>5.8260051002655619E-2</v>
      </c>
      <c r="W842" s="6">
        <v>1.9409106713840025</v>
      </c>
      <c r="X842" s="6">
        <v>0.92397388614348253</v>
      </c>
      <c r="Y842" s="6">
        <v>9.0545605107185505</v>
      </c>
    </row>
    <row r="843" spans="1:25" x14ac:dyDescent="0.25">
      <c r="A843" t="str">
        <f t="shared" si="13"/>
        <v>RTD Ice TeaFranceDecemberEUR (€)Fully-AutomatedOldCan2Medium-scaleHigh</v>
      </c>
      <c r="B843" t="s">
        <v>130</v>
      </c>
      <c r="C843" t="s">
        <v>130</v>
      </c>
      <c r="D843" t="s">
        <v>15</v>
      </c>
      <c r="E843" s="12" t="s">
        <v>182</v>
      </c>
      <c r="F843" t="s">
        <v>187</v>
      </c>
      <c r="G843" t="s">
        <v>12</v>
      </c>
      <c r="H843" t="s">
        <v>72</v>
      </c>
      <c r="I843" t="s">
        <v>125</v>
      </c>
      <c r="J843" s="12">
        <v>2</v>
      </c>
      <c r="K843" t="s">
        <v>62</v>
      </c>
      <c r="L843" t="s">
        <v>11</v>
      </c>
      <c r="M843" t="s">
        <v>200</v>
      </c>
      <c r="O843" t="s">
        <v>197</v>
      </c>
      <c r="P843">
        <v>6</v>
      </c>
      <c r="Q843" t="s">
        <v>201</v>
      </c>
      <c r="R843" s="6">
        <v>0.51930677992041618</v>
      </c>
      <c r="S843" s="6">
        <v>11.646629755994624</v>
      </c>
      <c r="T843" s="6">
        <v>7.2896884632674865</v>
      </c>
      <c r="U843" s="6">
        <v>64.923948534765628</v>
      </c>
      <c r="V843" s="6">
        <v>6.0408382335691124E-2</v>
      </c>
      <c r="W843" s="6">
        <v>2.0113646676489343</v>
      </c>
      <c r="X843" s="6">
        <v>0.9573191127153875</v>
      </c>
      <c r="Y843" s="6">
        <v>9.3816252486108418</v>
      </c>
    </row>
    <row r="844" spans="1:25" x14ac:dyDescent="0.25">
      <c r="A844" t="str">
        <f t="shared" si="13"/>
        <v>RTD Ice TeaFranceDecemberEUR (€)Fully-AutomatedOldCan2Small-scaleLow</v>
      </c>
      <c r="B844" t="s">
        <v>130</v>
      </c>
      <c r="C844" t="s">
        <v>130</v>
      </c>
      <c r="D844" t="s">
        <v>15</v>
      </c>
      <c r="E844" s="12" t="s">
        <v>182</v>
      </c>
      <c r="F844" t="s">
        <v>187</v>
      </c>
      <c r="G844" t="s">
        <v>12</v>
      </c>
      <c r="H844" t="s">
        <v>72</v>
      </c>
      <c r="I844" t="s">
        <v>125</v>
      </c>
      <c r="J844" s="12">
        <v>2</v>
      </c>
      <c r="K844" t="s">
        <v>60</v>
      </c>
      <c r="L844" t="s">
        <v>13</v>
      </c>
      <c r="M844" t="s">
        <v>200</v>
      </c>
      <c r="O844" t="s">
        <v>197</v>
      </c>
      <c r="P844">
        <v>6</v>
      </c>
      <c r="Q844" t="s">
        <v>201</v>
      </c>
      <c r="R844" s="6">
        <v>0.48274598963824539</v>
      </c>
      <c r="S844" s="6">
        <v>10.821647501209734</v>
      </c>
      <c r="T844" s="6">
        <v>6.7752003272128798</v>
      </c>
      <c r="U844" s="6">
        <v>60.341971078522313</v>
      </c>
      <c r="V844" s="6">
        <v>5.767447485253855E-2</v>
      </c>
      <c r="W844" s="6">
        <v>1.9286214198422529</v>
      </c>
      <c r="X844" s="6">
        <v>0.91819401575630799</v>
      </c>
      <c r="Y844" s="6">
        <v>8.9976802525748187</v>
      </c>
    </row>
    <row r="845" spans="1:25" x14ac:dyDescent="0.25">
      <c r="A845" t="str">
        <f t="shared" si="13"/>
        <v>RTD Ice TeaFranceDecemberEUR (€)Fully-AutomatedOldCan2Small-scaleMedium</v>
      </c>
      <c r="B845" t="s">
        <v>130</v>
      </c>
      <c r="C845" t="s">
        <v>130</v>
      </c>
      <c r="D845" t="s">
        <v>15</v>
      </c>
      <c r="E845" s="12" t="s">
        <v>182</v>
      </c>
      <c r="F845" t="s">
        <v>187</v>
      </c>
      <c r="G845" t="s">
        <v>12</v>
      </c>
      <c r="H845" t="s">
        <v>72</v>
      </c>
      <c r="I845" t="s">
        <v>125</v>
      </c>
      <c r="J845" s="12">
        <v>2</v>
      </c>
      <c r="K845" t="s">
        <v>60</v>
      </c>
      <c r="L845" t="s">
        <v>63</v>
      </c>
      <c r="M845" t="s">
        <v>200</v>
      </c>
      <c r="O845" t="s">
        <v>197</v>
      </c>
      <c r="P845">
        <v>6</v>
      </c>
      <c r="Q845" t="s">
        <v>201</v>
      </c>
      <c r="R845" s="6">
        <v>0.50107317934590667</v>
      </c>
      <c r="S845" s="6">
        <v>11.233115348539258</v>
      </c>
      <c r="T845" s="6">
        <v>7.0325765763804586</v>
      </c>
      <c r="U845" s="6">
        <v>62.634217025593884</v>
      </c>
      <c r="V845" s="6">
        <v>5.9663670531275151E-2</v>
      </c>
      <c r="W845" s="6">
        <v>1.993856601569042</v>
      </c>
      <c r="X845" s="6">
        <v>0.94906922554510886</v>
      </c>
      <c r="Y845" s="6">
        <v>9.3005179728454586</v>
      </c>
    </row>
    <row r="846" spans="1:25" x14ac:dyDescent="0.25">
      <c r="A846" t="str">
        <f t="shared" si="13"/>
        <v>RTD Ice TeaFranceDecemberEUR (€)Fully-AutomatedOldCan2Small-scaleHigh</v>
      </c>
      <c r="B846" t="s">
        <v>130</v>
      </c>
      <c r="C846" t="s">
        <v>130</v>
      </c>
      <c r="D846" t="s">
        <v>15</v>
      </c>
      <c r="E846" s="12" t="s">
        <v>182</v>
      </c>
      <c r="F846" t="s">
        <v>187</v>
      </c>
      <c r="G846" t="s">
        <v>12</v>
      </c>
      <c r="H846" t="s">
        <v>72</v>
      </c>
      <c r="I846" t="s">
        <v>125</v>
      </c>
      <c r="J846" s="12">
        <v>2</v>
      </c>
      <c r="K846" t="s">
        <v>60</v>
      </c>
      <c r="L846" t="s">
        <v>11</v>
      </c>
      <c r="M846" t="s">
        <v>200</v>
      </c>
      <c r="O846" t="s">
        <v>197</v>
      </c>
      <c r="P846">
        <v>6</v>
      </c>
      <c r="Q846" t="s">
        <v>201</v>
      </c>
      <c r="R846" s="6">
        <v>0.52086654423018053</v>
      </c>
      <c r="S846" s="6">
        <v>11.677500623655146</v>
      </c>
      <c r="T846" s="6">
        <v>7.3105429254814434</v>
      </c>
      <c r="U846" s="6">
        <v>65.10984264843114</v>
      </c>
      <c r="V846" s="6">
        <v>6.1812001864310663E-2</v>
      </c>
      <c r="W846" s="6">
        <v>2.0643105978339742</v>
      </c>
      <c r="X846" s="6">
        <v>0.98241445211701384</v>
      </c>
      <c r="Y846" s="6">
        <v>9.6275827107377481</v>
      </c>
    </row>
    <row r="847" spans="1:25" x14ac:dyDescent="0.25">
      <c r="A847" t="str">
        <f t="shared" si="13"/>
        <v>RTD Ice TeaFranceDecemberEUR (€)Fully-AutomatedOldCan2High-scaleLow</v>
      </c>
      <c r="B847" t="s">
        <v>130</v>
      </c>
      <c r="C847" t="s">
        <v>130</v>
      </c>
      <c r="D847" t="s">
        <v>15</v>
      </c>
      <c r="E847" s="12" t="s">
        <v>182</v>
      </c>
      <c r="F847" t="s">
        <v>187</v>
      </c>
      <c r="G847" t="s">
        <v>12</v>
      </c>
      <c r="H847" t="s">
        <v>72</v>
      </c>
      <c r="I847" t="s">
        <v>125</v>
      </c>
      <c r="J847" s="12">
        <v>2</v>
      </c>
      <c r="K847" t="s">
        <v>107</v>
      </c>
      <c r="L847" t="s">
        <v>13</v>
      </c>
      <c r="M847" t="s">
        <v>199</v>
      </c>
      <c r="O847" t="s">
        <v>197</v>
      </c>
      <c r="P847">
        <v>8</v>
      </c>
      <c r="Q847" t="s">
        <v>202</v>
      </c>
      <c r="R847" s="6">
        <v>0.48025036674262261</v>
      </c>
      <c r="S847" s="6">
        <v>10.772254112952902</v>
      </c>
      <c r="T847" s="6">
        <v>6.7418331876705491</v>
      </c>
      <c r="U847" s="6">
        <v>60.044540496657511</v>
      </c>
      <c r="V847" s="6">
        <v>5.2131270489178802E-2</v>
      </c>
      <c r="W847" s="6">
        <v>1.7559150415716824</v>
      </c>
      <c r="X847" s="6">
        <v>0.83177952203920458</v>
      </c>
      <c r="Y847" s="6">
        <v>8.1565237156298611</v>
      </c>
    </row>
    <row r="848" spans="1:25" x14ac:dyDescent="0.25">
      <c r="A848" t="str">
        <f t="shared" si="13"/>
        <v>RTD Ice TeaFranceDecemberEUR (€)Fully-AutomatedOldCan2High-scaleMedium</v>
      </c>
      <c r="B848" t="s">
        <v>130</v>
      </c>
      <c r="C848" t="s">
        <v>130</v>
      </c>
      <c r="D848" t="s">
        <v>15</v>
      </c>
      <c r="E848" s="12" t="s">
        <v>182</v>
      </c>
      <c r="F848" t="s">
        <v>187</v>
      </c>
      <c r="G848" t="s">
        <v>12</v>
      </c>
      <c r="H848" t="s">
        <v>72</v>
      </c>
      <c r="I848" t="s">
        <v>125</v>
      </c>
      <c r="J848" s="12">
        <v>2</v>
      </c>
      <c r="K848" t="s">
        <v>107</v>
      </c>
      <c r="L848" t="s">
        <v>63</v>
      </c>
      <c r="M848" t="s">
        <v>199</v>
      </c>
      <c r="O848" t="s">
        <v>197</v>
      </c>
      <c r="P848">
        <v>8</v>
      </c>
      <c r="Q848" t="s">
        <v>202</v>
      </c>
      <c r="R848" s="6">
        <v>0.49857755645028368</v>
      </c>
      <c r="S848" s="6">
        <v>11.183721960282426</v>
      </c>
      <c r="T848" s="6">
        <v>6.9992094368381288</v>
      </c>
      <c r="U848" s="6">
        <v>62.336786443729054</v>
      </c>
      <c r="V848" s="6">
        <v>5.399364258647045E-2</v>
      </c>
      <c r="W848" s="6">
        <v>1.8177658813763753</v>
      </c>
      <c r="X848" s="6">
        <v>0.86087542603283262</v>
      </c>
      <c r="Y848" s="6">
        <v>8.4421451052258121</v>
      </c>
    </row>
    <row r="849" spans="1:25" x14ac:dyDescent="0.25">
      <c r="A849" t="str">
        <f t="shared" si="13"/>
        <v>RTD Ice TeaFranceDecemberEUR (€)Fully-AutomatedOldCan2High-scaleHigh</v>
      </c>
      <c r="B849" t="s">
        <v>130</v>
      </c>
      <c r="C849" t="s">
        <v>130</v>
      </c>
      <c r="D849" t="s">
        <v>15</v>
      </c>
      <c r="E849" s="12" t="s">
        <v>182</v>
      </c>
      <c r="F849" t="s">
        <v>187</v>
      </c>
      <c r="G849" t="s">
        <v>12</v>
      </c>
      <c r="H849" t="s">
        <v>72</v>
      </c>
      <c r="I849" t="s">
        <v>125</v>
      </c>
      <c r="J849" s="12">
        <v>2</v>
      </c>
      <c r="K849" t="s">
        <v>107</v>
      </c>
      <c r="L849" t="s">
        <v>11</v>
      </c>
      <c r="M849" t="s">
        <v>199</v>
      </c>
      <c r="O849" t="s">
        <v>197</v>
      </c>
      <c r="P849">
        <v>8</v>
      </c>
      <c r="Q849" t="s">
        <v>202</v>
      </c>
      <c r="R849" s="6">
        <v>0.51837092133455764</v>
      </c>
      <c r="S849" s="6">
        <v>11.628107235398311</v>
      </c>
      <c r="T849" s="6">
        <v>7.2771757859391144</v>
      </c>
      <c r="U849" s="6">
        <v>64.812412066566324</v>
      </c>
      <c r="V849" s="6">
        <v>5.600500445154543E-2</v>
      </c>
      <c r="W849" s="6">
        <v>1.8845647883654435</v>
      </c>
      <c r="X849" s="6">
        <v>0.89229900234595072</v>
      </c>
      <c r="Y849" s="6">
        <v>8.7506162059894397</v>
      </c>
    </row>
    <row r="850" spans="1:25" x14ac:dyDescent="0.25">
      <c r="A850" t="str">
        <f t="shared" si="13"/>
        <v>RTD Ice TeaFranceDecemberEUR (€)Fully-AutomatedOldCan2Medium-scaleLow</v>
      </c>
      <c r="B850" t="s">
        <v>130</v>
      </c>
      <c r="C850" t="s">
        <v>130</v>
      </c>
      <c r="D850" t="s">
        <v>15</v>
      </c>
      <c r="E850" s="12" t="s">
        <v>182</v>
      </c>
      <c r="F850" t="s">
        <v>187</v>
      </c>
      <c r="G850" t="s">
        <v>12</v>
      </c>
      <c r="H850" t="s">
        <v>72</v>
      </c>
      <c r="I850" t="s">
        <v>125</v>
      </c>
      <c r="J850" s="12">
        <v>2</v>
      </c>
      <c r="K850" t="s">
        <v>62</v>
      </c>
      <c r="L850" t="s">
        <v>13</v>
      </c>
      <c r="M850" t="s">
        <v>199</v>
      </c>
      <c r="O850" t="s">
        <v>197</v>
      </c>
      <c r="P850">
        <v>8</v>
      </c>
      <c r="Q850" t="s">
        <v>202</v>
      </c>
      <c r="R850" s="6">
        <v>0.48118622532848115</v>
      </c>
      <c r="S850" s="6">
        <v>10.790776633549212</v>
      </c>
      <c r="T850" s="6">
        <v>6.754345864998923</v>
      </c>
      <c r="U850" s="6">
        <v>60.156076964856823</v>
      </c>
      <c r="V850" s="6">
        <v>5.2973442206350516E-2</v>
      </c>
      <c r="W850" s="6">
        <v>1.7876825996827062</v>
      </c>
      <c r="X850" s="6">
        <v>0.84683672568018042</v>
      </c>
      <c r="Y850" s="6">
        <v>8.3040981929060074</v>
      </c>
    </row>
    <row r="851" spans="1:25" x14ac:dyDescent="0.25">
      <c r="A851" t="str">
        <f t="shared" si="13"/>
        <v>RTD Ice TeaFranceDecemberEUR (€)Fully-AutomatedOldCan2Medium-scaleMedium</v>
      </c>
      <c r="B851" t="s">
        <v>130</v>
      </c>
      <c r="C851" t="s">
        <v>130</v>
      </c>
      <c r="D851" t="s">
        <v>15</v>
      </c>
      <c r="E851" s="12" t="s">
        <v>182</v>
      </c>
      <c r="F851" t="s">
        <v>187</v>
      </c>
      <c r="G851" t="s">
        <v>12</v>
      </c>
      <c r="H851" t="s">
        <v>72</v>
      </c>
      <c r="I851" t="s">
        <v>125</v>
      </c>
      <c r="J851" s="12">
        <v>2</v>
      </c>
      <c r="K851" t="s">
        <v>62</v>
      </c>
      <c r="L851" t="s">
        <v>63</v>
      </c>
      <c r="M851" t="s">
        <v>199</v>
      </c>
      <c r="O851" t="s">
        <v>197</v>
      </c>
      <c r="P851">
        <v>8</v>
      </c>
      <c r="Q851" t="s">
        <v>202</v>
      </c>
      <c r="R851" s="6">
        <v>0.49951341503614233</v>
      </c>
      <c r="S851" s="6">
        <v>11.202244480878738</v>
      </c>
      <c r="T851" s="6">
        <v>7.0117221141665027</v>
      </c>
      <c r="U851" s="6">
        <v>62.448322911928379</v>
      </c>
      <c r="V851" s="6">
        <v>5.4835814303642164E-2</v>
      </c>
      <c r="W851" s="6">
        <v>1.8495334394873992</v>
      </c>
      <c r="X851" s="6">
        <v>0.87593262967380836</v>
      </c>
      <c r="Y851" s="6">
        <v>8.5897195825019566</v>
      </c>
    </row>
    <row r="852" spans="1:25" x14ac:dyDescent="0.25">
      <c r="A852" t="str">
        <f t="shared" si="13"/>
        <v>RTD Ice TeaFranceDecemberEUR (€)Fully-AutomatedOldCan2Medium-scaleHigh</v>
      </c>
      <c r="B852" t="s">
        <v>130</v>
      </c>
      <c r="C852" t="s">
        <v>130</v>
      </c>
      <c r="D852" t="s">
        <v>15</v>
      </c>
      <c r="E852" s="12" t="s">
        <v>182</v>
      </c>
      <c r="F852" t="s">
        <v>187</v>
      </c>
      <c r="G852" t="s">
        <v>12</v>
      </c>
      <c r="H852" t="s">
        <v>72</v>
      </c>
      <c r="I852" t="s">
        <v>125</v>
      </c>
      <c r="J852" s="12">
        <v>2</v>
      </c>
      <c r="K852" t="s">
        <v>62</v>
      </c>
      <c r="L852" t="s">
        <v>11</v>
      </c>
      <c r="M852" t="s">
        <v>199</v>
      </c>
      <c r="O852" t="s">
        <v>197</v>
      </c>
      <c r="P852">
        <v>8</v>
      </c>
      <c r="Q852" t="s">
        <v>202</v>
      </c>
      <c r="R852" s="6">
        <v>0.51930677992041618</v>
      </c>
      <c r="S852" s="6">
        <v>11.646629755994624</v>
      </c>
      <c r="T852" s="6">
        <v>7.2896884632674865</v>
      </c>
      <c r="U852" s="6">
        <v>64.923948534765628</v>
      </c>
      <c r="V852" s="6">
        <v>5.6847176168717137E-2</v>
      </c>
      <c r="W852" s="6">
        <v>1.9163323464764674</v>
      </c>
      <c r="X852" s="6">
        <v>0.90735620598692646</v>
      </c>
      <c r="Y852" s="6">
        <v>8.8981906832655859</v>
      </c>
    </row>
    <row r="853" spans="1:25" x14ac:dyDescent="0.25">
      <c r="A853" t="str">
        <f t="shared" si="13"/>
        <v>RTD Ice TeaFranceDecemberEUR (€)Fully-AutomatedOldCan2Small-scaleLow</v>
      </c>
      <c r="B853" t="s">
        <v>130</v>
      </c>
      <c r="C853" t="s">
        <v>130</v>
      </c>
      <c r="D853" t="s">
        <v>15</v>
      </c>
      <c r="E853" s="12" t="s">
        <v>182</v>
      </c>
      <c r="F853" t="s">
        <v>187</v>
      </c>
      <c r="G853" t="s">
        <v>12</v>
      </c>
      <c r="H853" t="s">
        <v>72</v>
      </c>
      <c r="I853" t="s">
        <v>125</v>
      </c>
      <c r="J853" s="12">
        <v>2</v>
      </c>
      <c r="K853" t="s">
        <v>60</v>
      </c>
      <c r="L853" t="s">
        <v>13</v>
      </c>
      <c r="M853" t="s">
        <v>199</v>
      </c>
      <c r="O853" t="s">
        <v>197</v>
      </c>
      <c r="P853">
        <v>8</v>
      </c>
      <c r="Q853" t="s">
        <v>202</v>
      </c>
      <c r="R853" s="6">
        <v>0.48274598963824539</v>
      </c>
      <c r="S853" s="6">
        <v>10.821647501209734</v>
      </c>
      <c r="T853" s="6">
        <v>6.7752003272128798</v>
      </c>
      <c r="U853" s="6">
        <v>60.341971078522313</v>
      </c>
      <c r="V853" s="6">
        <v>5.4377061734970041E-2</v>
      </c>
      <c r="W853" s="6">
        <v>1.8406285298677465</v>
      </c>
      <c r="X853" s="6">
        <v>0.87193206508180698</v>
      </c>
      <c r="Y853" s="6">
        <v>8.5500556550329172</v>
      </c>
    </row>
    <row r="854" spans="1:25" x14ac:dyDescent="0.25">
      <c r="A854" t="str">
        <f t="shared" si="13"/>
        <v>RTD Ice TeaFranceDecemberEUR (€)Fully-AutomatedOldCan2Small-scaleMedium</v>
      </c>
      <c r="B854" t="s">
        <v>130</v>
      </c>
      <c r="C854" t="s">
        <v>130</v>
      </c>
      <c r="D854" t="s">
        <v>15</v>
      </c>
      <c r="E854" s="12" t="s">
        <v>182</v>
      </c>
      <c r="F854" t="s">
        <v>187</v>
      </c>
      <c r="G854" t="s">
        <v>12</v>
      </c>
      <c r="H854" t="s">
        <v>72</v>
      </c>
      <c r="I854" t="s">
        <v>125</v>
      </c>
      <c r="J854" s="12">
        <v>2</v>
      </c>
      <c r="K854" t="s">
        <v>60</v>
      </c>
      <c r="L854" t="s">
        <v>63</v>
      </c>
      <c r="M854" t="s">
        <v>199</v>
      </c>
      <c r="O854" t="s">
        <v>197</v>
      </c>
      <c r="P854">
        <v>8</v>
      </c>
      <c r="Q854" t="s">
        <v>202</v>
      </c>
      <c r="R854" s="6">
        <v>0.50107317934590667</v>
      </c>
      <c r="S854" s="6">
        <v>11.233115348539258</v>
      </c>
      <c r="T854" s="6">
        <v>7.0325765763804586</v>
      </c>
      <c r="U854" s="6">
        <v>62.634217025593884</v>
      </c>
      <c r="V854" s="6">
        <v>5.6239433832261695E-2</v>
      </c>
      <c r="W854" s="6">
        <v>1.9024793696724391</v>
      </c>
      <c r="X854" s="6">
        <v>0.9010279690754347</v>
      </c>
      <c r="Y854" s="6">
        <v>8.8356770446288682</v>
      </c>
    </row>
    <row r="855" spans="1:25" x14ac:dyDescent="0.25">
      <c r="A855" t="str">
        <f t="shared" si="13"/>
        <v>RTD Ice TeaFranceDecemberEUR (€)Fully-AutomatedOldCan2Small-scaleHigh</v>
      </c>
      <c r="B855" t="s">
        <v>130</v>
      </c>
      <c r="C855" t="s">
        <v>130</v>
      </c>
      <c r="D855" t="s">
        <v>15</v>
      </c>
      <c r="E855" s="12" t="s">
        <v>182</v>
      </c>
      <c r="F855" t="s">
        <v>187</v>
      </c>
      <c r="G855" t="s">
        <v>12</v>
      </c>
      <c r="H855" t="s">
        <v>72</v>
      </c>
      <c r="I855" t="s">
        <v>125</v>
      </c>
      <c r="J855" s="12">
        <v>2</v>
      </c>
      <c r="K855" t="s">
        <v>60</v>
      </c>
      <c r="L855" t="s">
        <v>11</v>
      </c>
      <c r="M855" t="s">
        <v>199</v>
      </c>
      <c r="O855" t="s">
        <v>197</v>
      </c>
      <c r="P855">
        <v>8</v>
      </c>
      <c r="Q855" t="s">
        <v>202</v>
      </c>
      <c r="R855" s="6">
        <v>0.52086654423018053</v>
      </c>
      <c r="S855" s="6">
        <v>11.677500623655146</v>
      </c>
      <c r="T855" s="6">
        <v>7.3105429254814434</v>
      </c>
      <c r="U855" s="6">
        <v>65.10984264843114</v>
      </c>
      <c r="V855" s="6">
        <v>5.8250795697336669E-2</v>
      </c>
      <c r="W855" s="6">
        <v>1.9692782766615073</v>
      </c>
      <c r="X855" s="6">
        <v>0.93245154538855268</v>
      </c>
      <c r="Y855" s="6">
        <v>9.1441481453924958</v>
      </c>
    </row>
    <row r="856" spans="1:25" x14ac:dyDescent="0.25">
      <c r="A856" t="str">
        <f t="shared" si="13"/>
        <v>RTD Ice TeaFranceDecemberEUR (€)Fully-AutomatedOldCan2High-scaleLow</v>
      </c>
      <c r="B856" t="s">
        <v>130</v>
      </c>
      <c r="C856" t="s">
        <v>130</v>
      </c>
      <c r="D856" t="s">
        <v>15</v>
      </c>
      <c r="E856" s="12" t="s">
        <v>182</v>
      </c>
      <c r="F856" t="s">
        <v>187</v>
      </c>
      <c r="G856" t="s">
        <v>12</v>
      </c>
      <c r="H856" t="s">
        <v>72</v>
      </c>
      <c r="I856" t="s">
        <v>125</v>
      </c>
      <c r="J856" s="12">
        <v>2</v>
      </c>
      <c r="K856" t="s">
        <v>107</v>
      </c>
      <c r="L856" t="s">
        <v>13</v>
      </c>
      <c r="M856" t="s">
        <v>200</v>
      </c>
      <c r="O856" t="s">
        <v>197</v>
      </c>
      <c r="P856">
        <v>8</v>
      </c>
      <c r="Q856" t="s">
        <v>202</v>
      </c>
      <c r="R856" s="6">
        <v>0.48025036674262261</v>
      </c>
      <c r="S856" s="6">
        <v>10.772254112952902</v>
      </c>
      <c r="T856" s="6">
        <v>6.7418331876705491</v>
      </c>
      <c r="U856" s="6">
        <v>60.044540496657511</v>
      </c>
      <c r="V856" s="6">
        <v>5.2131270489178802E-2</v>
      </c>
      <c r="W856" s="6">
        <v>1.7559150415716824</v>
      </c>
      <c r="X856" s="6">
        <v>0.83177952203920458</v>
      </c>
      <c r="Y856" s="6">
        <v>8.1565237156298611</v>
      </c>
    </row>
    <row r="857" spans="1:25" x14ac:dyDescent="0.25">
      <c r="A857" t="str">
        <f t="shared" si="13"/>
        <v>RTD Ice TeaFranceDecemberEUR (€)Fully-AutomatedOldCan2High-scaleMedium</v>
      </c>
      <c r="B857" t="s">
        <v>130</v>
      </c>
      <c r="C857" t="s">
        <v>130</v>
      </c>
      <c r="D857" t="s">
        <v>15</v>
      </c>
      <c r="E857" s="12" t="s">
        <v>182</v>
      </c>
      <c r="F857" t="s">
        <v>187</v>
      </c>
      <c r="G857" t="s">
        <v>12</v>
      </c>
      <c r="H857" t="s">
        <v>72</v>
      </c>
      <c r="I857" t="s">
        <v>125</v>
      </c>
      <c r="J857" s="12">
        <v>2</v>
      </c>
      <c r="K857" t="s">
        <v>107</v>
      </c>
      <c r="L857" t="s">
        <v>63</v>
      </c>
      <c r="M857" t="s">
        <v>200</v>
      </c>
      <c r="O857" t="s">
        <v>197</v>
      </c>
      <c r="P857">
        <v>8</v>
      </c>
      <c r="Q857" t="s">
        <v>202</v>
      </c>
      <c r="R857" s="6">
        <v>0.49857755645028368</v>
      </c>
      <c r="S857" s="6">
        <v>11.183721960282426</v>
      </c>
      <c r="T857" s="6">
        <v>6.9992094368381288</v>
      </c>
      <c r="U857" s="6">
        <v>62.336786443729054</v>
      </c>
      <c r="V857" s="6">
        <v>5.399364258647045E-2</v>
      </c>
      <c r="W857" s="6">
        <v>1.8177658813763753</v>
      </c>
      <c r="X857" s="6">
        <v>0.86087542603283262</v>
      </c>
      <c r="Y857" s="6">
        <v>8.4421451052258121</v>
      </c>
    </row>
    <row r="858" spans="1:25" x14ac:dyDescent="0.25">
      <c r="A858" t="str">
        <f t="shared" si="13"/>
        <v>RTD Ice TeaFranceDecemberEUR (€)Fully-AutomatedOldCan2High-scaleHigh</v>
      </c>
      <c r="B858" t="s">
        <v>130</v>
      </c>
      <c r="C858" t="s">
        <v>130</v>
      </c>
      <c r="D858" t="s">
        <v>15</v>
      </c>
      <c r="E858" s="12" t="s">
        <v>182</v>
      </c>
      <c r="F858" t="s">
        <v>187</v>
      </c>
      <c r="G858" t="s">
        <v>12</v>
      </c>
      <c r="H858" t="s">
        <v>72</v>
      </c>
      <c r="I858" t="s">
        <v>125</v>
      </c>
      <c r="J858" s="12">
        <v>2</v>
      </c>
      <c r="K858" t="s">
        <v>107</v>
      </c>
      <c r="L858" t="s">
        <v>11</v>
      </c>
      <c r="M858" t="s">
        <v>200</v>
      </c>
      <c r="O858" t="s">
        <v>197</v>
      </c>
      <c r="P858">
        <v>8</v>
      </c>
      <c r="Q858" t="s">
        <v>202</v>
      </c>
      <c r="R858" s="6">
        <v>0.51837092133455764</v>
      </c>
      <c r="S858" s="6">
        <v>11.628107235398311</v>
      </c>
      <c r="T858" s="6">
        <v>7.2771757859391144</v>
      </c>
      <c r="U858" s="6">
        <v>64.812412066566324</v>
      </c>
      <c r="V858" s="6">
        <v>5.600500445154543E-2</v>
      </c>
      <c r="W858" s="6">
        <v>1.8845647883654435</v>
      </c>
      <c r="X858" s="6">
        <v>0.89229900234595072</v>
      </c>
      <c r="Y858" s="6">
        <v>8.7506162059894397</v>
      </c>
    </row>
    <row r="859" spans="1:25" x14ac:dyDescent="0.25">
      <c r="A859" t="str">
        <f t="shared" si="13"/>
        <v>RTD Ice TeaFranceDecemberEUR (€)Fully-AutomatedOldCan2Medium-scaleLow</v>
      </c>
      <c r="B859" t="s">
        <v>130</v>
      </c>
      <c r="C859" t="s">
        <v>130</v>
      </c>
      <c r="D859" t="s">
        <v>15</v>
      </c>
      <c r="E859" s="12" t="s">
        <v>182</v>
      </c>
      <c r="F859" t="s">
        <v>187</v>
      </c>
      <c r="G859" t="s">
        <v>12</v>
      </c>
      <c r="H859" t="s">
        <v>72</v>
      </c>
      <c r="I859" t="s">
        <v>125</v>
      </c>
      <c r="J859" s="12">
        <v>2</v>
      </c>
      <c r="K859" t="s">
        <v>62</v>
      </c>
      <c r="L859" t="s">
        <v>13</v>
      </c>
      <c r="M859" t="s">
        <v>200</v>
      </c>
      <c r="O859" t="s">
        <v>197</v>
      </c>
      <c r="P859">
        <v>8</v>
      </c>
      <c r="Q859" t="s">
        <v>202</v>
      </c>
      <c r="R859" s="6">
        <v>0.48118622532848115</v>
      </c>
      <c r="S859" s="6">
        <v>10.790776633549212</v>
      </c>
      <c r="T859" s="6">
        <v>6.754345864998923</v>
      </c>
      <c r="U859" s="6">
        <v>60.156076964856823</v>
      </c>
      <c r="V859" s="6">
        <v>5.2973442206350516E-2</v>
      </c>
      <c r="W859" s="6">
        <v>1.7876825996827062</v>
      </c>
      <c r="X859" s="6">
        <v>0.84683672568018042</v>
      </c>
      <c r="Y859" s="6">
        <v>8.3040981929060074</v>
      </c>
    </row>
    <row r="860" spans="1:25" x14ac:dyDescent="0.25">
      <c r="A860" t="str">
        <f t="shared" si="13"/>
        <v>RTD Ice TeaFranceDecemberEUR (€)Fully-AutomatedOldCan2Medium-scaleMedium</v>
      </c>
      <c r="B860" t="s">
        <v>130</v>
      </c>
      <c r="C860" t="s">
        <v>130</v>
      </c>
      <c r="D860" t="s">
        <v>15</v>
      </c>
      <c r="E860" s="12" t="s">
        <v>182</v>
      </c>
      <c r="F860" t="s">
        <v>187</v>
      </c>
      <c r="G860" t="s">
        <v>12</v>
      </c>
      <c r="H860" t="s">
        <v>72</v>
      </c>
      <c r="I860" t="s">
        <v>125</v>
      </c>
      <c r="J860" s="12">
        <v>2</v>
      </c>
      <c r="K860" t="s">
        <v>62</v>
      </c>
      <c r="L860" t="s">
        <v>63</v>
      </c>
      <c r="M860" t="s">
        <v>200</v>
      </c>
      <c r="O860" t="s">
        <v>197</v>
      </c>
      <c r="P860">
        <v>8</v>
      </c>
      <c r="Q860" t="s">
        <v>202</v>
      </c>
      <c r="R860" s="6">
        <v>0.49951341503614233</v>
      </c>
      <c r="S860" s="6">
        <v>11.202244480878738</v>
      </c>
      <c r="T860" s="6">
        <v>7.0117221141665027</v>
      </c>
      <c r="U860" s="6">
        <v>62.448322911928379</v>
      </c>
      <c r="V860" s="6">
        <v>5.4835814303642164E-2</v>
      </c>
      <c r="W860" s="6">
        <v>1.8495334394873992</v>
      </c>
      <c r="X860" s="6">
        <v>0.87593262967380836</v>
      </c>
      <c r="Y860" s="6">
        <v>8.5897195825019566</v>
      </c>
    </row>
    <row r="861" spans="1:25" x14ac:dyDescent="0.25">
      <c r="A861" t="str">
        <f t="shared" si="13"/>
        <v>RTD Ice TeaFranceDecemberEUR (€)Fully-AutomatedOldCan2Medium-scaleHigh</v>
      </c>
      <c r="B861" t="s">
        <v>130</v>
      </c>
      <c r="C861" t="s">
        <v>130</v>
      </c>
      <c r="D861" t="s">
        <v>15</v>
      </c>
      <c r="E861" s="12" t="s">
        <v>182</v>
      </c>
      <c r="F861" t="s">
        <v>187</v>
      </c>
      <c r="G861" t="s">
        <v>12</v>
      </c>
      <c r="H861" t="s">
        <v>72</v>
      </c>
      <c r="I861" t="s">
        <v>125</v>
      </c>
      <c r="J861" s="12">
        <v>2</v>
      </c>
      <c r="K861" t="s">
        <v>62</v>
      </c>
      <c r="L861" t="s">
        <v>11</v>
      </c>
      <c r="M861" t="s">
        <v>200</v>
      </c>
      <c r="O861" t="s">
        <v>197</v>
      </c>
      <c r="P861">
        <v>8</v>
      </c>
      <c r="Q861" t="s">
        <v>202</v>
      </c>
      <c r="R861" s="6">
        <v>0.51930677992041618</v>
      </c>
      <c r="S861" s="6">
        <v>11.646629755994624</v>
      </c>
      <c r="T861" s="6">
        <v>7.2896884632674865</v>
      </c>
      <c r="U861" s="6">
        <v>64.923948534765628</v>
      </c>
      <c r="V861" s="6">
        <v>5.6847176168717137E-2</v>
      </c>
      <c r="W861" s="6">
        <v>1.9163323464764674</v>
      </c>
      <c r="X861" s="6">
        <v>0.90735620598692646</v>
      </c>
      <c r="Y861" s="6">
        <v>8.8981906832655859</v>
      </c>
    </row>
    <row r="862" spans="1:25" x14ac:dyDescent="0.25">
      <c r="A862" t="str">
        <f t="shared" si="13"/>
        <v>RTD Ice TeaFranceDecemberEUR (€)Fully-AutomatedOldCan2Small-scaleLow</v>
      </c>
      <c r="B862" t="s">
        <v>130</v>
      </c>
      <c r="C862" t="s">
        <v>130</v>
      </c>
      <c r="D862" t="s">
        <v>15</v>
      </c>
      <c r="E862" s="12" t="s">
        <v>182</v>
      </c>
      <c r="F862" t="s">
        <v>187</v>
      </c>
      <c r="G862" t="s">
        <v>12</v>
      </c>
      <c r="H862" t="s">
        <v>72</v>
      </c>
      <c r="I862" t="s">
        <v>125</v>
      </c>
      <c r="J862" s="12">
        <v>2</v>
      </c>
      <c r="K862" t="s">
        <v>60</v>
      </c>
      <c r="L862" t="s">
        <v>13</v>
      </c>
      <c r="M862" t="s">
        <v>200</v>
      </c>
      <c r="O862" t="s">
        <v>197</v>
      </c>
      <c r="P862">
        <v>8</v>
      </c>
      <c r="Q862" t="s">
        <v>202</v>
      </c>
      <c r="R862" s="6">
        <v>0.48274598963824539</v>
      </c>
      <c r="S862" s="6">
        <v>10.821647501209734</v>
      </c>
      <c r="T862" s="6">
        <v>6.7752003272128798</v>
      </c>
      <c r="U862" s="6">
        <v>60.341971078522313</v>
      </c>
      <c r="V862" s="6">
        <v>5.4377061734970041E-2</v>
      </c>
      <c r="W862" s="6">
        <v>1.8406285298677465</v>
      </c>
      <c r="X862" s="6">
        <v>0.87193206508180698</v>
      </c>
      <c r="Y862" s="6">
        <v>8.5500556550329172</v>
      </c>
    </row>
    <row r="863" spans="1:25" x14ac:dyDescent="0.25">
      <c r="A863" t="str">
        <f t="shared" si="13"/>
        <v>RTD Ice TeaFranceDecemberEUR (€)Fully-AutomatedOldCan2Small-scaleMedium</v>
      </c>
      <c r="B863" t="s">
        <v>130</v>
      </c>
      <c r="C863" t="s">
        <v>130</v>
      </c>
      <c r="D863" t="s">
        <v>15</v>
      </c>
      <c r="E863" s="12" t="s">
        <v>182</v>
      </c>
      <c r="F863" t="s">
        <v>187</v>
      </c>
      <c r="G863" t="s">
        <v>12</v>
      </c>
      <c r="H863" t="s">
        <v>72</v>
      </c>
      <c r="I863" t="s">
        <v>125</v>
      </c>
      <c r="J863" s="12">
        <v>2</v>
      </c>
      <c r="K863" t="s">
        <v>60</v>
      </c>
      <c r="L863" t="s">
        <v>63</v>
      </c>
      <c r="M863" t="s">
        <v>200</v>
      </c>
      <c r="O863" t="s">
        <v>197</v>
      </c>
      <c r="P863">
        <v>8</v>
      </c>
      <c r="Q863" t="s">
        <v>202</v>
      </c>
      <c r="R863" s="6">
        <v>0.50107317934590667</v>
      </c>
      <c r="S863" s="6">
        <v>11.233115348539258</v>
      </c>
      <c r="T863" s="6">
        <v>7.0325765763804586</v>
      </c>
      <c r="U863" s="6">
        <v>62.634217025593884</v>
      </c>
      <c r="V863" s="6">
        <v>5.6239433832261695E-2</v>
      </c>
      <c r="W863" s="6">
        <v>1.9024793696724391</v>
      </c>
      <c r="X863" s="6">
        <v>0.9010279690754347</v>
      </c>
      <c r="Y863" s="6">
        <v>8.8356770446288682</v>
      </c>
    </row>
    <row r="864" spans="1:25" x14ac:dyDescent="0.25">
      <c r="A864" t="str">
        <f t="shared" si="13"/>
        <v>RTD Ice TeaFranceDecemberEUR (€)Fully-AutomatedOldCan2Small-scaleHigh</v>
      </c>
      <c r="B864" t="s">
        <v>130</v>
      </c>
      <c r="C864" t="s">
        <v>130</v>
      </c>
      <c r="D864" t="s">
        <v>15</v>
      </c>
      <c r="E864" s="12" t="s">
        <v>182</v>
      </c>
      <c r="F864" t="s">
        <v>187</v>
      </c>
      <c r="G864" t="s">
        <v>12</v>
      </c>
      <c r="H864" t="s">
        <v>72</v>
      </c>
      <c r="I864" t="s">
        <v>125</v>
      </c>
      <c r="J864" s="12">
        <v>2</v>
      </c>
      <c r="K864" t="s">
        <v>60</v>
      </c>
      <c r="L864" t="s">
        <v>11</v>
      </c>
      <c r="M864" t="s">
        <v>200</v>
      </c>
      <c r="O864" t="s">
        <v>197</v>
      </c>
      <c r="P864">
        <v>8</v>
      </c>
      <c r="Q864" t="s">
        <v>202</v>
      </c>
      <c r="R864" s="6">
        <v>0.52086654423018053</v>
      </c>
      <c r="S864" s="6">
        <v>11.677500623655146</v>
      </c>
      <c r="T864" s="6">
        <v>7.3105429254814434</v>
      </c>
      <c r="U864" s="6">
        <v>65.10984264843114</v>
      </c>
      <c r="V864" s="6">
        <v>5.8250795697336669E-2</v>
      </c>
      <c r="W864" s="6">
        <v>1.9692782766615073</v>
      </c>
      <c r="X864" s="6">
        <v>0.93245154538855268</v>
      </c>
      <c r="Y864" s="6">
        <v>9.1441481453924958</v>
      </c>
    </row>
    <row r="865" spans="1:25" x14ac:dyDescent="0.25">
      <c r="A865" t="str">
        <f t="shared" si="13"/>
        <v>RTD Ice TeaFranceDecemberEUR (€)Fully-AutomatedOldCan2High-scaleLow</v>
      </c>
      <c r="B865" t="s">
        <v>130</v>
      </c>
      <c r="C865" t="s">
        <v>130</v>
      </c>
      <c r="D865" t="s">
        <v>15</v>
      </c>
      <c r="E865" s="12" t="s">
        <v>182</v>
      </c>
      <c r="F865" t="s">
        <v>187</v>
      </c>
      <c r="G865" t="s">
        <v>12</v>
      </c>
      <c r="H865" t="s">
        <v>72</v>
      </c>
      <c r="I865" t="s">
        <v>125</v>
      </c>
      <c r="J865" s="12">
        <v>2</v>
      </c>
      <c r="K865" t="s">
        <v>107</v>
      </c>
      <c r="L865" t="s">
        <v>13</v>
      </c>
      <c r="M865" t="s">
        <v>199</v>
      </c>
      <c r="O865" t="s">
        <v>197</v>
      </c>
      <c r="P865">
        <v>12</v>
      </c>
      <c r="Q865" t="s">
        <v>203</v>
      </c>
      <c r="R865" s="6">
        <v>0.48025036674262261</v>
      </c>
      <c r="S865" s="6">
        <v>10.772254112952902</v>
      </c>
      <c r="T865" s="6">
        <v>6.7418331876705491</v>
      </c>
      <c r="U865" s="6">
        <v>60.044540496657511</v>
      </c>
      <c r="V865" s="6">
        <v>4.8736874632858279E-2</v>
      </c>
      <c r="W865" s="6">
        <v>1.6653341254214553</v>
      </c>
      <c r="X865" s="6">
        <v>0.7841569257566301</v>
      </c>
      <c r="Y865" s="6">
        <v>7.6957336887484917</v>
      </c>
    </row>
    <row r="866" spans="1:25" x14ac:dyDescent="0.25">
      <c r="A866" t="str">
        <f t="shared" si="13"/>
        <v>RTD Ice TeaFranceDecemberEUR (€)Fully-AutomatedOldCan2High-scaleMedium</v>
      </c>
      <c r="B866" t="s">
        <v>130</v>
      </c>
      <c r="C866" t="s">
        <v>130</v>
      </c>
      <c r="D866" t="s">
        <v>15</v>
      </c>
      <c r="E866" s="12" t="s">
        <v>182</v>
      </c>
      <c r="F866" t="s">
        <v>187</v>
      </c>
      <c r="G866" t="s">
        <v>12</v>
      </c>
      <c r="H866" t="s">
        <v>72</v>
      </c>
      <c r="I866" t="s">
        <v>125</v>
      </c>
      <c r="J866" s="12">
        <v>2</v>
      </c>
      <c r="K866" t="s">
        <v>107</v>
      </c>
      <c r="L866" t="s">
        <v>63</v>
      </c>
      <c r="M866" t="s">
        <v>199</v>
      </c>
      <c r="O866" t="s">
        <v>197</v>
      </c>
      <c r="P866">
        <v>12</v>
      </c>
      <c r="Q866" t="s">
        <v>203</v>
      </c>
      <c r="R866" s="6">
        <v>0.49857755645028368</v>
      </c>
      <c r="S866" s="6">
        <v>11.183721960282426</v>
      </c>
      <c r="T866" s="6">
        <v>6.9992094368381288</v>
      </c>
      <c r="U866" s="6">
        <v>62.336786443729054</v>
      </c>
      <c r="V866" s="6">
        <v>5.0468693043368373E-2</v>
      </c>
      <c r="W866" s="6">
        <v>1.7237010838357545</v>
      </c>
      <c r="X866" s="6">
        <v>0.81142119143169755</v>
      </c>
      <c r="Y866" s="6">
        <v>7.9636323850028514</v>
      </c>
    </row>
    <row r="867" spans="1:25" x14ac:dyDescent="0.25">
      <c r="A867" t="str">
        <f t="shared" si="13"/>
        <v>RTD Ice TeaFranceDecemberEUR (€)Fully-AutomatedOldCan2High-scaleHigh</v>
      </c>
      <c r="B867" t="s">
        <v>130</v>
      </c>
      <c r="C867" t="s">
        <v>130</v>
      </c>
      <c r="D867" t="s">
        <v>15</v>
      </c>
      <c r="E867" s="12" t="s">
        <v>182</v>
      </c>
      <c r="F867" t="s">
        <v>187</v>
      </c>
      <c r="G867" t="s">
        <v>12</v>
      </c>
      <c r="H867" t="s">
        <v>72</v>
      </c>
      <c r="I867" t="s">
        <v>125</v>
      </c>
      <c r="J867" s="12">
        <v>2</v>
      </c>
      <c r="K867" t="s">
        <v>107</v>
      </c>
      <c r="L867" t="s">
        <v>11</v>
      </c>
      <c r="M867" t="s">
        <v>199</v>
      </c>
      <c r="O867" t="s">
        <v>197</v>
      </c>
      <c r="P867">
        <v>12</v>
      </c>
      <c r="Q867" t="s">
        <v>203</v>
      </c>
      <c r="R867" s="6">
        <v>0.51837092133455764</v>
      </c>
      <c r="S867" s="6">
        <v>11.628107235398311</v>
      </c>
      <c r="T867" s="6">
        <v>7.2771757859391144</v>
      </c>
      <c r="U867" s="6">
        <v>64.812412066566324</v>
      </c>
      <c r="V867" s="6">
        <v>5.2339056926719266E-2</v>
      </c>
      <c r="W867" s="6">
        <v>1.7867373989231981</v>
      </c>
      <c r="X867" s="6">
        <v>0.84086659836077027</v>
      </c>
      <c r="Y867" s="6">
        <v>8.2529629769575621</v>
      </c>
    </row>
    <row r="868" spans="1:25" x14ac:dyDescent="0.25">
      <c r="A868" t="str">
        <f t="shared" si="13"/>
        <v>RTD Ice TeaFranceDecemberEUR (€)Fully-AutomatedOldCan2Medium-scaleLow</v>
      </c>
      <c r="B868" t="s">
        <v>130</v>
      </c>
      <c r="C868" t="s">
        <v>130</v>
      </c>
      <c r="D868" t="s">
        <v>15</v>
      </c>
      <c r="E868" s="12" t="s">
        <v>182</v>
      </c>
      <c r="F868" t="s">
        <v>187</v>
      </c>
      <c r="G868" t="s">
        <v>12</v>
      </c>
      <c r="H868" t="s">
        <v>72</v>
      </c>
      <c r="I868" t="s">
        <v>125</v>
      </c>
      <c r="J868" s="12">
        <v>2</v>
      </c>
      <c r="K868" t="s">
        <v>62</v>
      </c>
      <c r="L868" t="s">
        <v>13</v>
      </c>
      <c r="M868" t="s">
        <v>199</v>
      </c>
      <c r="O868" t="s">
        <v>197</v>
      </c>
      <c r="P868">
        <v>12</v>
      </c>
      <c r="Q868" t="s">
        <v>203</v>
      </c>
      <c r="R868" s="6">
        <v>0.48118622532848115</v>
      </c>
      <c r="S868" s="6">
        <v>10.790776633549212</v>
      </c>
      <c r="T868" s="6">
        <v>6.754345864998923</v>
      </c>
      <c r="U868" s="6">
        <v>60.156076964856823</v>
      </c>
      <c r="V868" s="6">
        <v>4.957904635003E-2</v>
      </c>
      <c r="W868" s="6">
        <v>1.697101683532479</v>
      </c>
      <c r="X868" s="6">
        <v>0.79921412939760594</v>
      </c>
      <c r="Y868" s="6">
        <v>7.8433081660246371</v>
      </c>
    </row>
    <row r="869" spans="1:25" x14ac:dyDescent="0.25">
      <c r="A869" t="str">
        <f t="shared" si="13"/>
        <v>RTD Ice TeaFranceDecemberEUR (€)Fully-AutomatedOldCan2Medium-scaleMedium</v>
      </c>
      <c r="B869" t="s">
        <v>130</v>
      </c>
      <c r="C869" t="s">
        <v>130</v>
      </c>
      <c r="D869" t="s">
        <v>15</v>
      </c>
      <c r="E869" s="12" t="s">
        <v>182</v>
      </c>
      <c r="F869" t="s">
        <v>187</v>
      </c>
      <c r="G869" t="s">
        <v>12</v>
      </c>
      <c r="H869" t="s">
        <v>72</v>
      </c>
      <c r="I869" t="s">
        <v>125</v>
      </c>
      <c r="J869" s="12">
        <v>2</v>
      </c>
      <c r="K869" t="s">
        <v>62</v>
      </c>
      <c r="L869" t="s">
        <v>63</v>
      </c>
      <c r="M869" t="s">
        <v>199</v>
      </c>
      <c r="O869" t="s">
        <v>197</v>
      </c>
      <c r="P869">
        <v>12</v>
      </c>
      <c r="Q869" t="s">
        <v>203</v>
      </c>
      <c r="R869" s="6">
        <v>0.49951341503614233</v>
      </c>
      <c r="S869" s="6">
        <v>11.202244480878738</v>
      </c>
      <c r="T869" s="6">
        <v>7.0117221141665027</v>
      </c>
      <c r="U869" s="6">
        <v>62.448322911928379</v>
      </c>
      <c r="V869" s="6">
        <v>5.1310864760540087E-2</v>
      </c>
      <c r="W869" s="6">
        <v>1.7554686419467787</v>
      </c>
      <c r="X869" s="6">
        <v>0.82647839507267329</v>
      </c>
      <c r="Y869" s="6">
        <v>8.1112068622789977</v>
      </c>
    </row>
    <row r="870" spans="1:25" x14ac:dyDescent="0.25">
      <c r="A870" t="str">
        <f t="shared" si="13"/>
        <v>RTD Ice TeaFranceDecemberEUR (€)Fully-AutomatedOldCan2Medium-scaleHigh</v>
      </c>
      <c r="B870" t="s">
        <v>130</v>
      </c>
      <c r="C870" t="s">
        <v>130</v>
      </c>
      <c r="D870" t="s">
        <v>15</v>
      </c>
      <c r="E870" s="12" t="s">
        <v>182</v>
      </c>
      <c r="F870" t="s">
        <v>187</v>
      </c>
      <c r="G870" t="s">
        <v>12</v>
      </c>
      <c r="H870" t="s">
        <v>72</v>
      </c>
      <c r="I870" t="s">
        <v>125</v>
      </c>
      <c r="J870" s="12">
        <v>2</v>
      </c>
      <c r="K870" t="s">
        <v>62</v>
      </c>
      <c r="L870" t="s">
        <v>11</v>
      </c>
      <c r="M870" t="s">
        <v>199</v>
      </c>
      <c r="O870" t="s">
        <v>197</v>
      </c>
      <c r="P870">
        <v>12</v>
      </c>
      <c r="Q870" t="s">
        <v>203</v>
      </c>
      <c r="R870" s="6">
        <v>0.51930677992041618</v>
      </c>
      <c r="S870" s="6">
        <v>11.646629755994624</v>
      </c>
      <c r="T870" s="6">
        <v>7.2896884632674865</v>
      </c>
      <c r="U870" s="6">
        <v>64.923948534765628</v>
      </c>
      <c r="V870" s="6">
        <v>5.3181228643890972E-2</v>
      </c>
      <c r="W870" s="6">
        <v>1.818504957034222</v>
      </c>
      <c r="X870" s="6">
        <v>0.85592380200174589</v>
      </c>
      <c r="Y870" s="6">
        <v>8.4005374542337066</v>
      </c>
    </row>
    <row r="871" spans="1:25" x14ac:dyDescent="0.25">
      <c r="A871" t="str">
        <f t="shared" si="13"/>
        <v>RTD Ice TeaFranceDecemberEUR (€)Fully-AutomatedOldCan2Small-scaleLow</v>
      </c>
      <c r="B871" t="s">
        <v>130</v>
      </c>
      <c r="C871" t="s">
        <v>130</v>
      </c>
      <c r="D871" t="s">
        <v>15</v>
      </c>
      <c r="E871" s="12" t="s">
        <v>182</v>
      </c>
      <c r="F871" t="s">
        <v>187</v>
      </c>
      <c r="G871" t="s">
        <v>12</v>
      </c>
      <c r="H871" t="s">
        <v>72</v>
      </c>
      <c r="I871" t="s">
        <v>125</v>
      </c>
      <c r="J871" s="12">
        <v>2</v>
      </c>
      <c r="K871" t="s">
        <v>60</v>
      </c>
      <c r="L871" t="s">
        <v>13</v>
      </c>
      <c r="M871" t="s">
        <v>199</v>
      </c>
      <c r="O871" t="s">
        <v>197</v>
      </c>
      <c r="P871">
        <v>12</v>
      </c>
      <c r="Q871" t="s">
        <v>203</v>
      </c>
      <c r="R871" s="6">
        <v>0.48274598963824539</v>
      </c>
      <c r="S871" s="6">
        <v>10.821647501209734</v>
      </c>
      <c r="T871" s="6">
        <v>6.7752003272128798</v>
      </c>
      <c r="U871" s="6">
        <v>60.341971078522313</v>
      </c>
      <c r="V871" s="6">
        <v>5.0982665878649518E-2</v>
      </c>
      <c r="W871" s="6">
        <v>1.7500476137175192</v>
      </c>
      <c r="X871" s="6">
        <v>0.82430946879923228</v>
      </c>
      <c r="Y871" s="6">
        <v>8.089265628151546</v>
      </c>
    </row>
    <row r="872" spans="1:25" x14ac:dyDescent="0.25">
      <c r="A872" t="str">
        <f t="shared" si="13"/>
        <v>RTD Ice TeaFranceDecemberEUR (€)Fully-AutomatedOldCan2Small-scaleMedium</v>
      </c>
      <c r="B872" t="s">
        <v>130</v>
      </c>
      <c r="C872" t="s">
        <v>130</v>
      </c>
      <c r="D872" t="s">
        <v>15</v>
      </c>
      <c r="E872" s="12" t="s">
        <v>182</v>
      </c>
      <c r="F872" t="s">
        <v>187</v>
      </c>
      <c r="G872" t="s">
        <v>12</v>
      </c>
      <c r="H872" t="s">
        <v>72</v>
      </c>
      <c r="I872" t="s">
        <v>125</v>
      </c>
      <c r="J872" s="12">
        <v>2</v>
      </c>
      <c r="K872" t="s">
        <v>60</v>
      </c>
      <c r="L872" t="s">
        <v>63</v>
      </c>
      <c r="M872" t="s">
        <v>199</v>
      </c>
      <c r="O872" t="s">
        <v>197</v>
      </c>
      <c r="P872">
        <v>12</v>
      </c>
      <c r="Q872" t="s">
        <v>203</v>
      </c>
      <c r="R872" s="6">
        <v>0.50107317934590667</v>
      </c>
      <c r="S872" s="6">
        <v>11.233115348539258</v>
      </c>
      <c r="T872" s="6">
        <v>7.0325765763804586</v>
      </c>
      <c r="U872" s="6">
        <v>62.634217025593884</v>
      </c>
      <c r="V872" s="6">
        <v>5.2714484289159619E-2</v>
      </c>
      <c r="W872" s="6">
        <v>1.8084145721318183</v>
      </c>
      <c r="X872" s="6">
        <v>0.85157373447429963</v>
      </c>
      <c r="Y872" s="6">
        <v>8.3571643244059075</v>
      </c>
    </row>
    <row r="873" spans="1:25" x14ac:dyDescent="0.25">
      <c r="A873" t="str">
        <f t="shared" si="13"/>
        <v>RTD Ice TeaFranceDecemberEUR (€)Fully-AutomatedOldCan2Small-scaleHigh</v>
      </c>
      <c r="B873" t="s">
        <v>130</v>
      </c>
      <c r="C873" t="s">
        <v>130</v>
      </c>
      <c r="D873" t="s">
        <v>15</v>
      </c>
      <c r="E873" s="12" t="s">
        <v>182</v>
      </c>
      <c r="F873" t="s">
        <v>187</v>
      </c>
      <c r="G873" t="s">
        <v>12</v>
      </c>
      <c r="H873" t="s">
        <v>72</v>
      </c>
      <c r="I873" t="s">
        <v>125</v>
      </c>
      <c r="J873" s="12">
        <v>2</v>
      </c>
      <c r="K873" t="s">
        <v>60</v>
      </c>
      <c r="L873" t="s">
        <v>11</v>
      </c>
      <c r="M873" t="s">
        <v>199</v>
      </c>
      <c r="O873" t="s">
        <v>197</v>
      </c>
      <c r="P873">
        <v>12</v>
      </c>
      <c r="Q873" t="s">
        <v>203</v>
      </c>
      <c r="R873" s="6">
        <v>0.52086654423018053</v>
      </c>
      <c r="S873" s="6">
        <v>11.677500623655146</v>
      </c>
      <c r="T873" s="6">
        <v>7.3105429254814434</v>
      </c>
      <c r="U873" s="6">
        <v>65.10984264843114</v>
      </c>
      <c r="V873" s="6">
        <v>5.4584848172510504E-2</v>
      </c>
      <c r="W873" s="6">
        <v>1.8714508872192617</v>
      </c>
      <c r="X873" s="6">
        <v>0.88101914140337223</v>
      </c>
      <c r="Y873" s="6">
        <v>8.6464949163606128</v>
      </c>
    </row>
    <row r="874" spans="1:25" x14ac:dyDescent="0.25">
      <c r="A874" t="str">
        <f t="shared" si="13"/>
        <v>RTD Ice TeaFranceDecemberEUR (€)Fully-AutomatedOldCan2High-scaleLow</v>
      </c>
      <c r="B874" t="s">
        <v>130</v>
      </c>
      <c r="C874" t="s">
        <v>130</v>
      </c>
      <c r="D874" t="s">
        <v>15</v>
      </c>
      <c r="E874" s="12" t="s">
        <v>182</v>
      </c>
      <c r="F874" t="s">
        <v>187</v>
      </c>
      <c r="G874" t="s">
        <v>12</v>
      </c>
      <c r="H874" t="s">
        <v>72</v>
      </c>
      <c r="I874" t="s">
        <v>125</v>
      </c>
      <c r="J874" s="12">
        <v>2</v>
      </c>
      <c r="K874" t="s">
        <v>107</v>
      </c>
      <c r="L874" t="s">
        <v>13</v>
      </c>
      <c r="M874" t="s">
        <v>200</v>
      </c>
      <c r="O874" t="s">
        <v>197</v>
      </c>
      <c r="P874">
        <v>12</v>
      </c>
      <c r="Q874" t="s">
        <v>203</v>
      </c>
      <c r="R874" s="6">
        <v>0.48025036674262261</v>
      </c>
      <c r="S874" s="6">
        <v>10.772254112952902</v>
      </c>
      <c r="T874" s="6">
        <v>6.7418331876705491</v>
      </c>
      <c r="U874" s="6">
        <v>60.044540496657511</v>
      </c>
      <c r="V874" s="6">
        <v>4.8736874632858279E-2</v>
      </c>
      <c r="W874" s="6">
        <v>1.6653341254214553</v>
      </c>
      <c r="X874" s="6">
        <v>0.7841569257566301</v>
      </c>
      <c r="Y874" s="6">
        <v>7.6957336887484917</v>
      </c>
    </row>
    <row r="875" spans="1:25" x14ac:dyDescent="0.25">
      <c r="A875" t="str">
        <f t="shared" si="13"/>
        <v>RTD Ice TeaFranceDecemberEUR (€)Fully-AutomatedOldCan2High-scaleMedium</v>
      </c>
      <c r="B875" t="s">
        <v>130</v>
      </c>
      <c r="C875" t="s">
        <v>130</v>
      </c>
      <c r="D875" t="s">
        <v>15</v>
      </c>
      <c r="E875" s="12" t="s">
        <v>182</v>
      </c>
      <c r="F875" t="s">
        <v>187</v>
      </c>
      <c r="G875" t="s">
        <v>12</v>
      </c>
      <c r="H875" t="s">
        <v>72</v>
      </c>
      <c r="I875" t="s">
        <v>125</v>
      </c>
      <c r="J875" s="12">
        <v>2</v>
      </c>
      <c r="K875" t="s">
        <v>107</v>
      </c>
      <c r="L875" t="s">
        <v>63</v>
      </c>
      <c r="M875" t="s">
        <v>200</v>
      </c>
      <c r="O875" t="s">
        <v>197</v>
      </c>
      <c r="P875">
        <v>12</v>
      </c>
      <c r="Q875" t="s">
        <v>203</v>
      </c>
      <c r="R875" s="6">
        <v>0.49857755645028368</v>
      </c>
      <c r="S875" s="6">
        <v>11.183721960282426</v>
      </c>
      <c r="T875" s="6">
        <v>6.9992094368381288</v>
      </c>
      <c r="U875" s="6">
        <v>62.336786443729054</v>
      </c>
      <c r="V875" s="6">
        <v>5.0468693043368373E-2</v>
      </c>
      <c r="W875" s="6">
        <v>1.7237010838357545</v>
      </c>
      <c r="X875" s="6">
        <v>0.81142119143169755</v>
      </c>
      <c r="Y875" s="6">
        <v>7.9636323850028514</v>
      </c>
    </row>
    <row r="876" spans="1:25" x14ac:dyDescent="0.25">
      <c r="A876" t="str">
        <f t="shared" si="13"/>
        <v>RTD Ice TeaFranceDecemberEUR (€)Fully-AutomatedOldCan2High-scaleHigh</v>
      </c>
      <c r="B876" t="s">
        <v>130</v>
      </c>
      <c r="C876" t="s">
        <v>130</v>
      </c>
      <c r="D876" t="s">
        <v>15</v>
      </c>
      <c r="E876" s="12" t="s">
        <v>182</v>
      </c>
      <c r="F876" t="s">
        <v>187</v>
      </c>
      <c r="G876" t="s">
        <v>12</v>
      </c>
      <c r="H876" t="s">
        <v>72</v>
      </c>
      <c r="I876" t="s">
        <v>125</v>
      </c>
      <c r="J876" s="12">
        <v>2</v>
      </c>
      <c r="K876" t="s">
        <v>107</v>
      </c>
      <c r="L876" t="s">
        <v>11</v>
      </c>
      <c r="M876" t="s">
        <v>200</v>
      </c>
      <c r="O876" t="s">
        <v>197</v>
      </c>
      <c r="P876">
        <v>12</v>
      </c>
      <c r="Q876" t="s">
        <v>203</v>
      </c>
      <c r="R876" s="6">
        <v>0.51837092133455764</v>
      </c>
      <c r="S876" s="6">
        <v>11.628107235398311</v>
      </c>
      <c r="T876" s="6">
        <v>7.2771757859391144</v>
      </c>
      <c r="U876" s="6">
        <v>64.812412066566324</v>
      </c>
      <c r="V876" s="6">
        <v>5.2339056926719266E-2</v>
      </c>
      <c r="W876" s="6">
        <v>1.7867373989231981</v>
      </c>
      <c r="X876" s="6">
        <v>0.84086659836077027</v>
      </c>
      <c r="Y876" s="6">
        <v>8.2529629769575621</v>
      </c>
    </row>
    <row r="877" spans="1:25" x14ac:dyDescent="0.25">
      <c r="A877" t="str">
        <f t="shared" si="13"/>
        <v>RTD Ice TeaFranceDecemberEUR (€)Fully-AutomatedOldCan2Medium-scaleLow</v>
      </c>
      <c r="B877" t="s">
        <v>130</v>
      </c>
      <c r="C877" t="s">
        <v>130</v>
      </c>
      <c r="D877" t="s">
        <v>15</v>
      </c>
      <c r="E877" s="12" t="s">
        <v>182</v>
      </c>
      <c r="F877" t="s">
        <v>187</v>
      </c>
      <c r="G877" t="s">
        <v>12</v>
      </c>
      <c r="H877" t="s">
        <v>72</v>
      </c>
      <c r="I877" t="s">
        <v>125</v>
      </c>
      <c r="J877" s="12">
        <v>2</v>
      </c>
      <c r="K877" t="s">
        <v>62</v>
      </c>
      <c r="L877" t="s">
        <v>13</v>
      </c>
      <c r="M877" t="s">
        <v>200</v>
      </c>
      <c r="O877" t="s">
        <v>197</v>
      </c>
      <c r="P877">
        <v>12</v>
      </c>
      <c r="Q877" t="s">
        <v>203</v>
      </c>
      <c r="R877" s="6">
        <v>0.48118622532848115</v>
      </c>
      <c r="S877" s="6">
        <v>10.790776633549212</v>
      </c>
      <c r="T877" s="6">
        <v>6.754345864998923</v>
      </c>
      <c r="U877" s="6">
        <v>60.156076964856823</v>
      </c>
      <c r="V877" s="6">
        <v>4.957904635003E-2</v>
      </c>
      <c r="W877" s="6">
        <v>1.697101683532479</v>
      </c>
      <c r="X877" s="6">
        <v>0.79921412939760594</v>
      </c>
      <c r="Y877" s="6">
        <v>7.8433081660246371</v>
      </c>
    </row>
    <row r="878" spans="1:25" x14ac:dyDescent="0.25">
      <c r="A878" t="str">
        <f t="shared" si="13"/>
        <v>RTD Ice TeaFranceDecemberEUR (€)Fully-AutomatedOldCan2Medium-scaleMedium</v>
      </c>
      <c r="B878" t="s">
        <v>130</v>
      </c>
      <c r="C878" t="s">
        <v>130</v>
      </c>
      <c r="D878" t="s">
        <v>15</v>
      </c>
      <c r="E878" s="12" t="s">
        <v>182</v>
      </c>
      <c r="F878" t="s">
        <v>187</v>
      </c>
      <c r="G878" t="s">
        <v>12</v>
      </c>
      <c r="H878" t="s">
        <v>72</v>
      </c>
      <c r="I878" t="s">
        <v>125</v>
      </c>
      <c r="J878" s="12">
        <v>2</v>
      </c>
      <c r="K878" t="s">
        <v>62</v>
      </c>
      <c r="L878" t="s">
        <v>63</v>
      </c>
      <c r="M878" t="s">
        <v>200</v>
      </c>
      <c r="O878" t="s">
        <v>197</v>
      </c>
      <c r="P878">
        <v>12</v>
      </c>
      <c r="Q878" t="s">
        <v>203</v>
      </c>
      <c r="R878" s="6">
        <v>0.49951341503614233</v>
      </c>
      <c r="S878" s="6">
        <v>11.202244480878738</v>
      </c>
      <c r="T878" s="6">
        <v>7.0117221141665027</v>
      </c>
      <c r="U878" s="6">
        <v>62.448322911928379</v>
      </c>
      <c r="V878" s="6">
        <v>5.1310864760540087E-2</v>
      </c>
      <c r="W878" s="6">
        <v>1.7554686419467787</v>
      </c>
      <c r="X878" s="6">
        <v>0.82647839507267329</v>
      </c>
      <c r="Y878" s="6">
        <v>8.1112068622789977</v>
      </c>
    </row>
    <row r="879" spans="1:25" x14ac:dyDescent="0.25">
      <c r="A879" t="str">
        <f t="shared" si="13"/>
        <v>RTD Ice TeaFranceDecemberEUR (€)Fully-AutomatedOldCan2Medium-scaleHigh</v>
      </c>
      <c r="B879" t="s">
        <v>130</v>
      </c>
      <c r="C879" t="s">
        <v>130</v>
      </c>
      <c r="D879" t="s">
        <v>15</v>
      </c>
      <c r="E879" s="12" t="s">
        <v>182</v>
      </c>
      <c r="F879" t="s">
        <v>187</v>
      </c>
      <c r="G879" t="s">
        <v>12</v>
      </c>
      <c r="H879" t="s">
        <v>72</v>
      </c>
      <c r="I879" t="s">
        <v>125</v>
      </c>
      <c r="J879" s="12">
        <v>2</v>
      </c>
      <c r="K879" t="s">
        <v>62</v>
      </c>
      <c r="L879" t="s">
        <v>11</v>
      </c>
      <c r="M879" t="s">
        <v>200</v>
      </c>
      <c r="O879" t="s">
        <v>197</v>
      </c>
      <c r="P879">
        <v>12</v>
      </c>
      <c r="Q879" t="s">
        <v>203</v>
      </c>
      <c r="R879" s="6">
        <v>0.51930677992041618</v>
      </c>
      <c r="S879" s="6">
        <v>11.646629755994624</v>
      </c>
      <c r="T879" s="6">
        <v>7.2896884632674865</v>
      </c>
      <c r="U879" s="6">
        <v>64.923948534765628</v>
      </c>
      <c r="V879" s="6">
        <v>5.3181228643890972E-2</v>
      </c>
      <c r="W879" s="6">
        <v>1.818504957034222</v>
      </c>
      <c r="X879" s="6">
        <v>0.85592380200174589</v>
      </c>
      <c r="Y879" s="6">
        <v>8.4005374542337066</v>
      </c>
    </row>
    <row r="880" spans="1:25" x14ac:dyDescent="0.25">
      <c r="A880" t="str">
        <f t="shared" si="13"/>
        <v>RTD Ice TeaFranceDecemberEUR (€)Fully-AutomatedOldCan2Small-scaleLow</v>
      </c>
      <c r="B880" t="s">
        <v>130</v>
      </c>
      <c r="C880" t="s">
        <v>130</v>
      </c>
      <c r="D880" t="s">
        <v>15</v>
      </c>
      <c r="E880" s="12" t="s">
        <v>182</v>
      </c>
      <c r="F880" t="s">
        <v>187</v>
      </c>
      <c r="G880" t="s">
        <v>12</v>
      </c>
      <c r="H880" t="s">
        <v>72</v>
      </c>
      <c r="I880" t="s">
        <v>125</v>
      </c>
      <c r="J880" s="12">
        <v>2</v>
      </c>
      <c r="K880" t="s">
        <v>60</v>
      </c>
      <c r="L880" t="s">
        <v>13</v>
      </c>
      <c r="M880" t="s">
        <v>200</v>
      </c>
      <c r="O880" t="s">
        <v>197</v>
      </c>
      <c r="P880">
        <v>12</v>
      </c>
      <c r="Q880" t="s">
        <v>203</v>
      </c>
      <c r="R880" s="6">
        <v>0.48274598963824539</v>
      </c>
      <c r="S880" s="6">
        <v>10.821647501209734</v>
      </c>
      <c r="T880" s="6">
        <v>6.7752003272128798</v>
      </c>
      <c r="U880" s="6">
        <v>60.341971078522313</v>
      </c>
      <c r="V880" s="6">
        <v>5.0982665878649518E-2</v>
      </c>
      <c r="W880" s="6">
        <v>1.7500476137175192</v>
      </c>
      <c r="X880" s="6">
        <v>0.82430946879923228</v>
      </c>
      <c r="Y880" s="6">
        <v>8.089265628151546</v>
      </c>
    </row>
    <row r="881" spans="1:25" x14ac:dyDescent="0.25">
      <c r="A881" t="str">
        <f t="shared" si="13"/>
        <v>RTD Ice TeaFranceDecemberEUR (€)Fully-AutomatedOldCan2Small-scaleMedium</v>
      </c>
      <c r="B881" t="s">
        <v>130</v>
      </c>
      <c r="C881" t="s">
        <v>130</v>
      </c>
      <c r="D881" t="s">
        <v>15</v>
      </c>
      <c r="E881" s="12" t="s">
        <v>182</v>
      </c>
      <c r="F881" t="s">
        <v>187</v>
      </c>
      <c r="G881" t="s">
        <v>12</v>
      </c>
      <c r="H881" t="s">
        <v>72</v>
      </c>
      <c r="I881" t="s">
        <v>125</v>
      </c>
      <c r="J881" s="12">
        <v>2</v>
      </c>
      <c r="K881" t="s">
        <v>60</v>
      </c>
      <c r="L881" t="s">
        <v>63</v>
      </c>
      <c r="M881" t="s">
        <v>200</v>
      </c>
      <c r="O881" t="s">
        <v>197</v>
      </c>
      <c r="P881">
        <v>12</v>
      </c>
      <c r="Q881" t="s">
        <v>203</v>
      </c>
      <c r="R881" s="6">
        <v>0.50107317934590667</v>
      </c>
      <c r="S881" s="6">
        <v>11.233115348539258</v>
      </c>
      <c r="T881" s="6">
        <v>7.0325765763804586</v>
      </c>
      <c r="U881" s="6">
        <v>62.634217025593884</v>
      </c>
      <c r="V881" s="6">
        <v>5.2714484289159619E-2</v>
      </c>
      <c r="W881" s="6">
        <v>1.8084145721318183</v>
      </c>
      <c r="X881" s="6">
        <v>0.85157373447429963</v>
      </c>
      <c r="Y881" s="6">
        <v>8.3571643244059075</v>
      </c>
    </row>
    <row r="882" spans="1:25" x14ac:dyDescent="0.25">
      <c r="A882" t="str">
        <f t="shared" si="13"/>
        <v>RTD Ice TeaFranceDecemberEUR (€)Fully-AutomatedOldCan2Small-scaleHigh</v>
      </c>
      <c r="B882" t="s">
        <v>130</v>
      </c>
      <c r="C882" t="s">
        <v>130</v>
      </c>
      <c r="D882" t="s">
        <v>15</v>
      </c>
      <c r="E882" s="12" t="s">
        <v>182</v>
      </c>
      <c r="F882" t="s">
        <v>187</v>
      </c>
      <c r="G882" t="s">
        <v>12</v>
      </c>
      <c r="H882" t="s">
        <v>72</v>
      </c>
      <c r="I882" t="s">
        <v>125</v>
      </c>
      <c r="J882" s="12">
        <v>2</v>
      </c>
      <c r="K882" t="s">
        <v>60</v>
      </c>
      <c r="L882" t="s">
        <v>11</v>
      </c>
      <c r="M882" t="s">
        <v>200</v>
      </c>
      <c r="O882" t="s">
        <v>197</v>
      </c>
      <c r="P882">
        <v>12</v>
      </c>
      <c r="Q882" t="s">
        <v>203</v>
      </c>
      <c r="R882" s="6">
        <v>0.52086654423018053</v>
      </c>
      <c r="S882" s="6">
        <v>11.677500623655146</v>
      </c>
      <c r="T882" s="6">
        <v>7.3105429254814434</v>
      </c>
      <c r="U882" s="6">
        <v>65.10984264843114</v>
      </c>
      <c r="V882" s="6">
        <v>5.4584848172510504E-2</v>
      </c>
      <c r="W882" s="6">
        <v>1.8714508872192617</v>
      </c>
      <c r="X882" s="6">
        <v>0.88101914140337223</v>
      </c>
      <c r="Y882" s="6">
        <v>8.6464949163606128</v>
      </c>
    </row>
    <row r="883" spans="1:25" x14ac:dyDescent="0.25">
      <c r="A883" t="str">
        <f t="shared" si="13"/>
        <v>RTD Ice TeaFranceDecemberEUR (€)Fully-AutomatedOldCan2High-scaleLow</v>
      </c>
      <c r="B883" t="s">
        <v>130</v>
      </c>
      <c r="C883" t="s">
        <v>130</v>
      </c>
      <c r="D883" t="s">
        <v>15</v>
      </c>
      <c r="E883" s="12" t="s">
        <v>182</v>
      </c>
      <c r="F883" t="s">
        <v>187</v>
      </c>
      <c r="G883" t="s">
        <v>12</v>
      </c>
      <c r="H883" t="s">
        <v>72</v>
      </c>
      <c r="I883" t="s">
        <v>125</v>
      </c>
      <c r="J883" s="12">
        <v>2</v>
      </c>
      <c r="K883" t="s">
        <v>107</v>
      </c>
      <c r="L883" t="s">
        <v>13</v>
      </c>
      <c r="M883" t="s">
        <v>199</v>
      </c>
      <c r="O883" t="s">
        <v>197</v>
      </c>
      <c r="P883">
        <v>24</v>
      </c>
      <c r="Q883" t="s">
        <v>204</v>
      </c>
      <c r="R883" s="6">
        <v>0.48025036674262261</v>
      </c>
      <c r="S883" s="6">
        <v>10.772254112952902</v>
      </c>
      <c r="T883" s="6">
        <v>6.7418331876705491</v>
      </c>
      <c r="U883" s="6">
        <v>60.044540496657511</v>
      </c>
      <c r="V883" s="6">
        <v>3.6229292682078924E-2</v>
      </c>
      <c r="W883" s="6">
        <v>1.3146499823659101</v>
      </c>
      <c r="X883" s="6">
        <v>0.59373052362540601</v>
      </c>
      <c r="Y883" s="6">
        <v>5.8613717934267076</v>
      </c>
    </row>
    <row r="884" spans="1:25" x14ac:dyDescent="0.25">
      <c r="A884" t="str">
        <f t="shared" si="13"/>
        <v>RTD Ice TeaFranceDecemberEUR (€)Fully-AutomatedOldCan2High-scaleMedium</v>
      </c>
      <c r="B884" t="s">
        <v>130</v>
      </c>
      <c r="C884" t="s">
        <v>130</v>
      </c>
      <c r="D884" t="s">
        <v>15</v>
      </c>
      <c r="E884" s="12" t="s">
        <v>182</v>
      </c>
      <c r="F884" t="s">
        <v>187</v>
      </c>
      <c r="G884" t="s">
        <v>12</v>
      </c>
      <c r="H884" t="s">
        <v>72</v>
      </c>
      <c r="I884" t="s">
        <v>125</v>
      </c>
      <c r="J884" s="12">
        <v>2</v>
      </c>
      <c r="K884" t="s">
        <v>107</v>
      </c>
      <c r="L884" t="s">
        <v>63</v>
      </c>
      <c r="M884" t="s">
        <v>199</v>
      </c>
      <c r="O884" t="s">
        <v>197</v>
      </c>
      <c r="P884">
        <v>24</v>
      </c>
      <c r="Q884" t="s">
        <v>204</v>
      </c>
      <c r="R884" s="6">
        <v>0.49857755645028368</v>
      </c>
      <c r="S884" s="6">
        <v>11.183721960282426</v>
      </c>
      <c r="T884" s="6">
        <v>6.9992094368381288</v>
      </c>
      <c r="U884" s="6">
        <v>62.336786443729054</v>
      </c>
      <c r="V884" s="6">
        <v>3.7513072781350805E-2</v>
      </c>
      <c r="W884" s="6">
        <v>1.3604103096481128</v>
      </c>
      <c r="X884" s="6">
        <v>0.61413399548437941</v>
      </c>
      <c r="Y884" s="6">
        <v>6.063200925629153</v>
      </c>
    </row>
    <row r="885" spans="1:25" x14ac:dyDescent="0.25">
      <c r="A885" t="str">
        <f t="shared" si="13"/>
        <v>RTD Ice TeaFranceDecemberEUR (€)Fully-AutomatedOldCan2High-scaleHigh</v>
      </c>
      <c r="B885" t="s">
        <v>130</v>
      </c>
      <c r="C885" t="s">
        <v>130</v>
      </c>
      <c r="D885" t="s">
        <v>15</v>
      </c>
      <c r="E885" s="12" t="s">
        <v>182</v>
      </c>
      <c r="F885" t="s">
        <v>187</v>
      </c>
      <c r="G885" t="s">
        <v>12</v>
      </c>
      <c r="H885" t="s">
        <v>72</v>
      </c>
      <c r="I885" t="s">
        <v>125</v>
      </c>
      <c r="J885" s="12">
        <v>2</v>
      </c>
      <c r="K885" t="s">
        <v>107</v>
      </c>
      <c r="L885" t="s">
        <v>11</v>
      </c>
      <c r="M885" t="s">
        <v>199</v>
      </c>
      <c r="O885" t="s">
        <v>197</v>
      </c>
      <c r="P885">
        <v>24</v>
      </c>
      <c r="Q885" t="s">
        <v>204</v>
      </c>
      <c r="R885" s="6">
        <v>0.51837092133455764</v>
      </c>
      <c r="S885" s="6">
        <v>11.628107235398311</v>
      </c>
      <c r="T885" s="6">
        <v>7.2771757859391144</v>
      </c>
      <c r="U885" s="6">
        <v>64.812412066566324</v>
      </c>
      <c r="V885" s="6">
        <v>3.8899555288564425E-2</v>
      </c>
      <c r="W885" s="6">
        <v>1.4098314631128916</v>
      </c>
      <c r="X885" s="6">
        <v>0.63616974509207058</v>
      </c>
      <c r="Y885" s="6">
        <v>6.2811763884077951</v>
      </c>
    </row>
    <row r="886" spans="1:25" x14ac:dyDescent="0.25">
      <c r="A886" t="str">
        <f t="shared" si="13"/>
        <v>RTD Ice TeaFranceDecemberEUR (€)Fully-AutomatedOldCan2Medium-scaleLow</v>
      </c>
      <c r="B886" t="s">
        <v>130</v>
      </c>
      <c r="C886" t="s">
        <v>130</v>
      </c>
      <c r="D886" t="s">
        <v>15</v>
      </c>
      <c r="E886" s="12" t="s">
        <v>182</v>
      </c>
      <c r="F886" t="s">
        <v>187</v>
      </c>
      <c r="G886" t="s">
        <v>12</v>
      </c>
      <c r="H886" t="s">
        <v>72</v>
      </c>
      <c r="I886" t="s">
        <v>125</v>
      </c>
      <c r="J886" s="12">
        <v>2</v>
      </c>
      <c r="K886" t="s">
        <v>62</v>
      </c>
      <c r="L886" t="s">
        <v>13</v>
      </c>
      <c r="M886" t="s">
        <v>199</v>
      </c>
      <c r="O886" t="s">
        <v>197</v>
      </c>
      <c r="P886">
        <v>24</v>
      </c>
      <c r="Q886" t="s">
        <v>204</v>
      </c>
      <c r="R886" s="6">
        <v>0.48118622532848115</v>
      </c>
      <c r="S886" s="6">
        <v>10.790776633549212</v>
      </c>
      <c r="T886" s="6">
        <v>6.754345864998923</v>
      </c>
      <c r="U886" s="6">
        <v>60.156076964856823</v>
      </c>
      <c r="V886" s="6">
        <v>3.6856817934604165E-2</v>
      </c>
      <c r="W886" s="6">
        <v>1.3406896070716767</v>
      </c>
      <c r="X886" s="6">
        <v>0.6057762865381866</v>
      </c>
      <c r="Y886" s="6">
        <v>5.9798079632098506</v>
      </c>
    </row>
    <row r="887" spans="1:25" x14ac:dyDescent="0.25">
      <c r="A887" t="str">
        <f t="shared" si="13"/>
        <v>RTD Ice TeaFranceDecemberEUR (€)Fully-AutomatedOldCan2Medium-scaleMedium</v>
      </c>
      <c r="B887" t="s">
        <v>130</v>
      </c>
      <c r="C887" t="s">
        <v>130</v>
      </c>
      <c r="D887" t="s">
        <v>15</v>
      </c>
      <c r="E887" s="12" t="s">
        <v>182</v>
      </c>
      <c r="F887" t="s">
        <v>187</v>
      </c>
      <c r="G887" t="s">
        <v>12</v>
      </c>
      <c r="H887" t="s">
        <v>72</v>
      </c>
      <c r="I887" t="s">
        <v>125</v>
      </c>
      <c r="J887" s="12">
        <v>2</v>
      </c>
      <c r="K887" t="s">
        <v>62</v>
      </c>
      <c r="L887" t="s">
        <v>63</v>
      </c>
      <c r="M887" t="s">
        <v>199</v>
      </c>
      <c r="O887" t="s">
        <v>197</v>
      </c>
      <c r="P887">
        <v>24</v>
      </c>
      <c r="Q887" t="s">
        <v>204</v>
      </c>
      <c r="R887" s="6">
        <v>0.49951341503614233</v>
      </c>
      <c r="S887" s="6">
        <v>11.202244480878738</v>
      </c>
      <c r="T887" s="6">
        <v>7.0117221141665027</v>
      </c>
      <c r="U887" s="6">
        <v>62.448322911928379</v>
      </c>
      <c r="V887" s="6">
        <v>3.8140598033876053E-2</v>
      </c>
      <c r="W887" s="6">
        <v>1.3864499343538796</v>
      </c>
      <c r="X887" s="6">
        <v>0.62617975839716</v>
      </c>
      <c r="Y887" s="6">
        <v>6.1816370954122988</v>
      </c>
    </row>
    <row r="888" spans="1:25" x14ac:dyDescent="0.25">
      <c r="A888" t="str">
        <f t="shared" si="13"/>
        <v>RTD Ice TeaFranceDecemberEUR (€)Fully-AutomatedOldCan2Medium-scaleHigh</v>
      </c>
      <c r="B888" t="s">
        <v>130</v>
      </c>
      <c r="C888" t="s">
        <v>130</v>
      </c>
      <c r="D888" t="s">
        <v>15</v>
      </c>
      <c r="E888" s="12" t="s">
        <v>182</v>
      </c>
      <c r="F888" t="s">
        <v>187</v>
      </c>
      <c r="G888" t="s">
        <v>12</v>
      </c>
      <c r="H888" t="s">
        <v>72</v>
      </c>
      <c r="I888" t="s">
        <v>125</v>
      </c>
      <c r="J888" s="12">
        <v>2</v>
      </c>
      <c r="K888" t="s">
        <v>62</v>
      </c>
      <c r="L888" t="s">
        <v>11</v>
      </c>
      <c r="M888" t="s">
        <v>199</v>
      </c>
      <c r="O888" t="s">
        <v>197</v>
      </c>
      <c r="P888">
        <v>24</v>
      </c>
      <c r="Q888" t="s">
        <v>204</v>
      </c>
      <c r="R888" s="6">
        <v>0.51930677992041618</v>
      </c>
      <c r="S888" s="6">
        <v>11.646629755994624</v>
      </c>
      <c r="T888" s="6">
        <v>7.2896884632674865</v>
      </c>
      <c r="U888" s="6">
        <v>64.923948534765628</v>
      </c>
      <c r="V888" s="6">
        <v>3.9527080541089672E-2</v>
      </c>
      <c r="W888" s="6">
        <v>1.4358710878186585</v>
      </c>
      <c r="X888" s="6">
        <v>0.64821550800485106</v>
      </c>
      <c r="Y888" s="6">
        <v>6.3996125581909382</v>
      </c>
    </row>
    <row r="889" spans="1:25" x14ac:dyDescent="0.25">
      <c r="A889" t="str">
        <f t="shared" si="13"/>
        <v>RTD Ice TeaFranceDecemberEUR (€)Fully-AutomatedOldCan2Small-scaleLow</v>
      </c>
      <c r="B889" t="s">
        <v>130</v>
      </c>
      <c r="C889" t="s">
        <v>130</v>
      </c>
      <c r="D889" t="s">
        <v>15</v>
      </c>
      <c r="E889" s="12" t="s">
        <v>182</v>
      </c>
      <c r="F889" t="s">
        <v>187</v>
      </c>
      <c r="G889" t="s">
        <v>12</v>
      </c>
      <c r="H889" t="s">
        <v>72</v>
      </c>
      <c r="I889" t="s">
        <v>125</v>
      </c>
      <c r="J889" s="12">
        <v>2</v>
      </c>
      <c r="K889" t="s">
        <v>60</v>
      </c>
      <c r="L889" t="s">
        <v>13</v>
      </c>
      <c r="M889" t="s">
        <v>199</v>
      </c>
      <c r="O889" t="s">
        <v>197</v>
      </c>
      <c r="P889">
        <v>24</v>
      </c>
      <c r="Q889" t="s">
        <v>204</v>
      </c>
      <c r="R889" s="6">
        <v>0.48274598963824539</v>
      </c>
      <c r="S889" s="6">
        <v>10.821647501209734</v>
      </c>
      <c r="T889" s="6">
        <v>6.7752003272128798</v>
      </c>
      <c r="U889" s="6">
        <v>60.341971078522313</v>
      </c>
      <c r="V889" s="6">
        <v>3.7902693355479591E-2</v>
      </c>
      <c r="W889" s="6">
        <v>1.3840889815812887</v>
      </c>
      <c r="X889" s="6">
        <v>0.6258525580594877</v>
      </c>
      <c r="Y889" s="6">
        <v>6.1772015795150921</v>
      </c>
    </row>
    <row r="890" spans="1:25" x14ac:dyDescent="0.25">
      <c r="A890" t="str">
        <f t="shared" si="13"/>
        <v>RTD Ice TeaFranceDecemberEUR (€)Fully-AutomatedOldCan2Small-scaleMedium</v>
      </c>
      <c r="B890" t="s">
        <v>130</v>
      </c>
      <c r="C890" t="s">
        <v>130</v>
      </c>
      <c r="D890" t="s">
        <v>15</v>
      </c>
      <c r="E890" s="12" t="s">
        <v>182</v>
      </c>
      <c r="F890" t="s">
        <v>187</v>
      </c>
      <c r="G890" t="s">
        <v>12</v>
      </c>
      <c r="H890" t="s">
        <v>72</v>
      </c>
      <c r="I890" t="s">
        <v>125</v>
      </c>
      <c r="J890" s="12">
        <v>2</v>
      </c>
      <c r="K890" t="s">
        <v>60</v>
      </c>
      <c r="L890" t="s">
        <v>63</v>
      </c>
      <c r="M890" t="s">
        <v>199</v>
      </c>
      <c r="O890" t="s">
        <v>197</v>
      </c>
      <c r="P890">
        <v>24</v>
      </c>
      <c r="Q890" t="s">
        <v>204</v>
      </c>
      <c r="R890" s="6">
        <v>0.50107317934590667</v>
      </c>
      <c r="S890" s="6">
        <v>11.233115348539258</v>
      </c>
      <c r="T890" s="6">
        <v>7.0325765763804586</v>
      </c>
      <c r="U890" s="6">
        <v>62.634217025593884</v>
      </c>
      <c r="V890" s="6">
        <v>3.9186473454751479E-2</v>
      </c>
      <c r="W890" s="6">
        <v>1.4298493088634914</v>
      </c>
      <c r="X890" s="6">
        <v>0.64625602991846109</v>
      </c>
      <c r="Y890" s="6">
        <v>6.3790307117175384</v>
      </c>
    </row>
    <row r="891" spans="1:25" x14ac:dyDescent="0.25">
      <c r="A891" t="str">
        <f t="shared" si="13"/>
        <v>RTD Ice TeaFranceDecemberEUR (€)Fully-AutomatedOldCan2Small-scaleHigh</v>
      </c>
      <c r="B891" t="s">
        <v>130</v>
      </c>
      <c r="C891" t="s">
        <v>130</v>
      </c>
      <c r="D891" t="s">
        <v>15</v>
      </c>
      <c r="E891" s="12" t="s">
        <v>182</v>
      </c>
      <c r="F891" t="s">
        <v>187</v>
      </c>
      <c r="G891" t="s">
        <v>12</v>
      </c>
      <c r="H891" t="s">
        <v>72</v>
      </c>
      <c r="I891" t="s">
        <v>125</v>
      </c>
      <c r="J891" s="12">
        <v>2</v>
      </c>
      <c r="K891" t="s">
        <v>60</v>
      </c>
      <c r="L891" t="s">
        <v>11</v>
      </c>
      <c r="M891" t="s">
        <v>199</v>
      </c>
      <c r="O891" t="s">
        <v>197</v>
      </c>
      <c r="P891">
        <v>24</v>
      </c>
      <c r="Q891" t="s">
        <v>204</v>
      </c>
      <c r="R891" s="6">
        <v>0.52086654423018053</v>
      </c>
      <c r="S891" s="6">
        <v>11.677500623655146</v>
      </c>
      <c r="T891" s="6">
        <v>7.3105429254814434</v>
      </c>
      <c r="U891" s="6">
        <v>65.10984264843114</v>
      </c>
      <c r="V891" s="6">
        <v>4.0572955961965099E-2</v>
      </c>
      <c r="W891" s="6">
        <v>1.4792704623282702</v>
      </c>
      <c r="X891" s="6">
        <v>0.66829177952615215</v>
      </c>
      <c r="Y891" s="6">
        <v>6.5970061744961797</v>
      </c>
    </row>
    <row r="892" spans="1:25" x14ac:dyDescent="0.25">
      <c r="A892" t="str">
        <f t="shared" si="13"/>
        <v>RTD Ice TeaFranceDecemberEUR (€)Fully-AutomatedOldCan2High-scaleLow</v>
      </c>
      <c r="B892" t="s">
        <v>130</v>
      </c>
      <c r="C892" t="s">
        <v>130</v>
      </c>
      <c r="D892" t="s">
        <v>15</v>
      </c>
      <c r="E892" s="12" t="s">
        <v>182</v>
      </c>
      <c r="F892" t="s">
        <v>187</v>
      </c>
      <c r="G892" t="s">
        <v>12</v>
      </c>
      <c r="H892" t="s">
        <v>72</v>
      </c>
      <c r="I892" t="s">
        <v>125</v>
      </c>
      <c r="J892" s="12">
        <v>2</v>
      </c>
      <c r="K892" t="s">
        <v>107</v>
      </c>
      <c r="L892" t="s">
        <v>13</v>
      </c>
      <c r="M892" t="s">
        <v>200</v>
      </c>
      <c r="O892" t="s">
        <v>197</v>
      </c>
      <c r="P892">
        <v>24</v>
      </c>
      <c r="Q892" t="s">
        <v>204</v>
      </c>
      <c r="R892" s="6">
        <v>0.48025036674262261</v>
      </c>
      <c r="S892" s="6">
        <v>10.772254112952902</v>
      </c>
      <c r="T892" s="6">
        <v>6.7418331876705491</v>
      </c>
      <c r="U892" s="6">
        <v>60.044540496657511</v>
      </c>
      <c r="V892" s="6">
        <v>3.6229292682078924E-2</v>
      </c>
      <c r="W892" s="6">
        <v>1.3146499823659101</v>
      </c>
      <c r="X892" s="6">
        <v>0.59373052362540601</v>
      </c>
      <c r="Y892" s="6">
        <v>5.8613717934267076</v>
      </c>
    </row>
    <row r="893" spans="1:25" x14ac:dyDescent="0.25">
      <c r="A893" t="str">
        <f t="shared" si="13"/>
        <v>RTD Ice TeaFranceDecemberEUR (€)Fully-AutomatedOldCan2High-scaleMedium</v>
      </c>
      <c r="B893" t="s">
        <v>130</v>
      </c>
      <c r="C893" t="s">
        <v>130</v>
      </c>
      <c r="D893" t="s">
        <v>15</v>
      </c>
      <c r="E893" s="12" t="s">
        <v>182</v>
      </c>
      <c r="F893" t="s">
        <v>187</v>
      </c>
      <c r="G893" t="s">
        <v>12</v>
      </c>
      <c r="H893" t="s">
        <v>72</v>
      </c>
      <c r="I893" t="s">
        <v>125</v>
      </c>
      <c r="J893" s="12">
        <v>2</v>
      </c>
      <c r="K893" t="s">
        <v>107</v>
      </c>
      <c r="L893" t="s">
        <v>63</v>
      </c>
      <c r="M893" t="s">
        <v>200</v>
      </c>
      <c r="O893" t="s">
        <v>197</v>
      </c>
      <c r="P893">
        <v>24</v>
      </c>
      <c r="Q893" t="s">
        <v>204</v>
      </c>
      <c r="R893" s="6">
        <v>0.49857755645028368</v>
      </c>
      <c r="S893" s="6">
        <v>11.183721960282426</v>
      </c>
      <c r="T893" s="6">
        <v>6.9992094368381288</v>
      </c>
      <c r="U893" s="6">
        <v>62.336786443729054</v>
      </c>
      <c r="V893" s="6">
        <v>3.7513072781350805E-2</v>
      </c>
      <c r="W893" s="6">
        <v>1.3604103096481128</v>
      </c>
      <c r="X893" s="6">
        <v>0.61413399548437941</v>
      </c>
      <c r="Y893" s="6">
        <v>6.063200925629153</v>
      </c>
    </row>
    <row r="894" spans="1:25" x14ac:dyDescent="0.25">
      <c r="A894" t="str">
        <f t="shared" si="13"/>
        <v>RTD Ice TeaFranceDecemberEUR (€)Fully-AutomatedOldCan2High-scaleHigh</v>
      </c>
      <c r="B894" t="s">
        <v>130</v>
      </c>
      <c r="C894" t="s">
        <v>130</v>
      </c>
      <c r="D894" t="s">
        <v>15</v>
      </c>
      <c r="E894" s="12" t="s">
        <v>182</v>
      </c>
      <c r="F894" t="s">
        <v>187</v>
      </c>
      <c r="G894" t="s">
        <v>12</v>
      </c>
      <c r="H894" t="s">
        <v>72</v>
      </c>
      <c r="I894" t="s">
        <v>125</v>
      </c>
      <c r="J894" s="12">
        <v>2</v>
      </c>
      <c r="K894" t="s">
        <v>107</v>
      </c>
      <c r="L894" t="s">
        <v>11</v>
      </c>
      <c r="M894" t="s">
        <v>200</v>
      </c>
      <c r="O894" t="s">
        <v>197</v>
      </c>
      <c r="P894">
        <v>24</v>
      </c>
      <c r="Q894" t="s">
        <v>204</v>
      </c>
      <c r="R894" s="6">
        <v>0.51837092133455764</v>
      </c>
      <c r="S894" s="6">
        <v>11.628107235398311</v>
      </c>
      <c r="T894" s="6">
        <v>7.2771757859391144</v>
      </c>
      <c r="U894" s="6">
        <v>64.812412066566324</v>
      </c>
      <c r="V894" s="6">
        <v>3.8899555288564425E-2</v>
      </c>
      <c r="W894" s="6">
        <v>1.4098314631128916</v>
      </c>
      <c r="X894" s="6">
        <v>0.63616974509207058</v>
      </c>
      <c r="Y894" s="6">
        <v>6.2811763884077951</v>
      </c>
    </row>
    <row r="895" spans="1:25" x14ac:dyDescent="0.25">
      <c r="A895" t="str">
        <f t="shared" si="13"/>
        <v>RTD Ice TeaFranceDecemberEUR (€)Fully-AutomatedOldCan2Medium-scaleLow</v>
      </c>
      <c r="B895" t="s">
        <v>130</v>
      </c>
      <c r="C895" t="s">
        <v>130</v>
      </c>
      <c r="D895" t="s">
        <v>15</v>
      </c>
      <c r="E895" s="12" t="s">
        <v>182</v>
      </c>
      <c r="F895" t="s">
        <v>187</v>
      </c>
      <c r="G895" t="s">
        <v>12</v>
      </c>
      <c r="H895" t="s">
        <v>72</v>
      </c>
      <c r="I895" t="s">
        <v>125</v>
      </c>
      <c r="J895" s="12">
        <v>2</v>
      </c>
      <c r="K895" t="s">
        <v>62</v>
      </c>
      <c r="L895" t="s">
        <v>13</v>
      </c>
      <c r="M895" t="s">
        <v>200</v>
      </c>
      <c r="O895" t="s">
        <v>197</v>
      </c>
      <c r="P895">
        <v>24</v>
      </c>
      <c r="Q895" t="s">
        <v>204</v>
      </c>
      <c r="R895" s="6">
        <v>0.48118622532848115</v>
      </c>
      <c r="S895" s="6">
        <v>10.790776633549212</v>
      </c>
      <c r="T895" s="6">
        <v>6.754345864998923</v>
      </c>
      <c r="U895" s="6">
        <v>60.156076964856823</v>
      </c>
      <c r="V895" s="6">
        <v>3.6856817934604165E-2</v>
      </c>
      <c r="W895" s="6">
        <v>1.3406896070716767</v>
      </c>
      <c r="X895" s="6">
        <v>0.6057762865381866</v>
      </c>
      <c r="Y895" s="6">
        <v>5.9798079632098506</v>
      </c>
    </row>
    <row r="896" spans="1:25" x14ac:dyDescent="0.25">
      <c r="A896" t="str">
        <f t="shared" si="13"/>
        <v>RTD Ice TeaFranceDecemberEUR (€)Fully-AutomatedOldCan2Medium-scaleMedium</v>
      </c>
      <c r="B896" t="s">
        <v>130</v>
      </c>
      <c r="C896" t="s">
        <v>130</v>
      </c>
      <c r="D896" t="s">
        <v>15</v>
      </c>
      <c r="E896" s="12" t="s">
        <v>182</v>
      </c>
      <c r="F896" t="s">
        <v>187</v>
      </c>
      <c r="G896" t="s">
        <v>12</v>
      </c>
      <c r="H896" t="s">
        <v>72</v>
      </c>
      <c r="I896" t="s">
        <v>125</v>
      </c>
      <c r="J896" s="12">
        <v>2</v>
      </c>
      <c r="K896" t="s">
        <v>62</v>
      </c>
      <c r="L896" t="s">
        <v>63</v>
      </c>
      <c r="M896" t="s">
        <v>200</v>
      </c>
      <c r="O896" t="s">
        <v>197</v>
      </c>
      <c r="P896">
        <v>24</v>
      </c>
      <c r="Q896" t="s">
        <v>204</v>
      </c>
      <c r="R896" s="6">
        <v>0.49951341503614233</v>
      </c>
      <c r="S896" s="6">
        <v>11.202244480878738</v>
      </c>
      <c r="T896" s="6">
        <v>7.0117221141665027</v>
      </c>
      <c r="U896" s="6">
        <v>62.448322911928379</v>
      </c>
      <c r="V896" s="6">
        <v>3.8140598033876053E-2</v>
      </c>
      <c r="W896" s="6">
        <v>1.3864499343538796</v>
      </c>
      <c r="X896" s="6">
        <v>0.62617975839716</v>
      </c>
      <c r="Y896" s="6">
        <v>6.1816370954122988</v>
      </c>
    </row>
    <row r="897" spans="1:25" x14ac:dyDescent="0.25">
      <c r="A897" t="str">
        <f t="shared" si="13"/>
        <v>RTD Ice TeaFranceDecemberEUR (€)Fully-AutomatedOldCan2Medium-scaleHigh</v>
      </c>
      <c r="B897" t="s">
        <v>130</v>
      </c>
      <c r="C897" t="s">
        <v>130</v>
      </c>
      <c r="D897" t="s">
        <v>15</v>
      </c>
      <c r="E897" s="12" t="s">
        <v>182</v>
      </c>
      <c r="F897" t="s">
        <v>187</v>
      </c>
      <c r="G897" t="s">
        <v>12</v>
      </c>
      <c r="H897" t="s">
        <v>72</v>
      </c>
      <c r="I897" t="s">
        <v>125</v>
      </c>
      <c r="J897" s="12">
        <v>2</v>
      </c>
      <c r="K897" t="s">
        <v>62</v>
      </c>
      <c r="L897" t="s">
        <v>11</v>
      </c>
      <c r="M897" t="s">
        <v>200</v>
      </c>
      <c r="O897" t="s">
        <v>197</v>
      </c>
      <c r="P897">
        <v>24</v>
      </c>
      <c r="Q897" t="s">
        <v>204</v>
      </c>
      <c r="R897" s="6">
        <v>0.51930677992041618</v>
      </c>
      <c r="S897" s="6">
        <v>11.646629755994624</v>
      </c>
      <c r="T897" s="6">
        <v>7.2896884632674865</v>
      </c>
      <c r="U897" s="6">
        <v>64.923948534765628</v>
      </c>
      <c r="V897" s="6">
        <v>3.9527080541089672E-2</v>
      </c>
      <c r="W897" s="6">
        <v>1.4358710878186585</v>
      </c>
      <c r="X897" s="6">
        <v>0.64821550800485106</v>
      </c>
      <c r="Y897" s="6">
        <v>6.3996125581909382</v>
      </c>
    </row>
    <row r="898" spans="1:25" x14ac:dyDescent="0.25">
      <c r="A898" t="str">
        <f t="shared" ref="A898:A961" si="14">C898&amp;D898&amp;E898&amp;F898&amp;G898&amp;H898&amp;I898&amp;J898&amp;K898&amp;L898</f>
        <v>RTD Ice TeaFranceDecemberEUR (€)Fully-AutomatedOldCan2Small-scaleLow</v>
      </c>
      <c r="B898" t="s">
        <v>130</v>
      </c>
      <c r="C898" t="s">
        <v>130</v>
      </c>
      <c r="D898" t="s">
        <v>15</v>
      </c>
      <c r="E898" s="12" t="s">
        <v>182</v>
      </c>
      <c r="F898" t="s">
        <v>187</v>
      </c>
      <c r="G898" t="s">
        <v>12</v>
      </c>
      <c r="H898" t="s">
        <v>72</v>
      </c>
      <c r="I898" t="s">
        <v>125</v>
      </c>
      <c r="J898" s="12">
        <v>2</v>
      </c>
      <c r="K898" t="s">
        <v>60</v>
      </c>
      <c r="L898" t="s">
        <v>13</v>
      </c>
      <c r="M898" t="s">
        <v>200</v>
      </c>
      <c r="O898" t="s">
        <v>197</v>
      </c>
      <c r="P898">
        <v>24</v>
      </c>
      <c r="Q898" t="s">
        <v>204</v>
      </c>
      <c r="R898" s="6">
        <v>0.48274598963824539</v>
      </c>
      <c r="S898" s="6">
        <v>10.821647501209734</v>
      </c>
      <c r="T898" s="6">
        <v>6.7752003272128798</v>
      </c>
      <c r="U898" s="6">
        <v>60.341971078522313</v>
      </c>
      <c r="V898" s="6">
        <v>3.7902693355479591E-2</v>
      </c>
      <c r="W898" s="6">
        <v>1.3840889815812887</v>
      </c>
      <c r="X898" s="6">
        <v>0.6258525580594877</v>
      </c>
      <c r="Y898" s="6">
        <v>6.1772015795150921</v>
      </c>
    </row>
    <row r="899" spans="1:25" x14ac:dyDescent="0.25">
      <c r="A899" t="str">
        <f t="shared" si="14"/>
        <v>RTD Ice TeaFranceDecemberEUR (€)Fully-AutomatedOldCan2Small-scaleMedium</v>
      </c>
      <c r="B899" t="s">
        <v>130</v>
      </c>
      <c r="C899" t="s">
        <v>130</v>
      </c>
      <c r="D899" t="s">
        <v>15</v>
      </c>
      <c r="E899" s="12" t="s">
        <v>182</v>
      </c>
      <c r="F899" t="s">
        <v>187</v>
      </c>
      <c r="G899" t="s">
        <v>12</v>
      </c>
      <c r="H899" t="s">
        <v>72</v>
      </c>
      <c r="I899" t="s">
        <v>125</v>
      </c>
      <c r="J899" s="12">
        <v>2</v>
      </c>
      <c r="K899" t="s">
        <v>60</v>
      </c>
      <c r="L899" t="s">
        <v>63</v>
      </c>
      <c r="M899" t="s">
        <v>200</v>
      </c>
      <c r="O899" t="s">
        <v>197</v>
      </c>
      <c r="P899">
        <v>24</v>
      </c>
      <c r="Q899" t="s">
        <v>204</v>
      </c>
      <c r="R899" s="6">
        <v>0.50107317934590667</v>
      </c>
      <c r="S899" s="6">
        <v>11.233115348539258</v>
      </c>
      <c r="T899" s="6">
        <v>7.0325765763804586</v>
      </c>
      <c r="U899" s="6">
        <v>62.634217025593884</v>
      </c>
      <c r="V899" s="6">
        <v>3.9186473454751479E-2</v>
      </c>
      <c r="W899" s="6">
        <v>1.4298493088634914</v>
      </c>
      <c r="X899" s="6">
        <v>0.64625602991846109</v>
      </c>
      <c r="Y899" s="6">
        <v>6.3790307117175384</v>
      </c>
    </row>
    <row r="900" spans="1:25" x14ac:dyDescent="0.25">
      <c r="A900" t="str">
        <f t="shared" si="14"/>
        <v>RTD Ice TeaFranceDecemberEUR (€)Fully-AutomatedOldCan2Small-scaleHigh</v>
      </c>
      <c r="B900" t="s">
        <v>130</v>
      </c>
      <c r="C900" t="s">
        <v>130</v>
      </c>
      <c r="D900" t="s">
        <v>15</v>
      </c>
      <c r="E900" s="12" t="s">
        <v>182</v>
      </c>
      <c r="F900" t="s">
        <v>187</v>
      </c>
      <c r="G900" t="s">
        <v>12</v>
      </c>
      <c r="H900" t="s">
        <v>72</v>
      </c>
      <c r="I900" t="s">
        <v>125</v>
      </c>
      <c r="J900" s="12">
        <v>2</v>
      </c>
      <c r="K900" t="s">
        <v>60</v>
      </c>
      <c r="L900" t="s">
        <v>11</v>
      </c>
      <c r="M900" t="s">
        <v>200</v>
      </c>
      <c r="O900" t="s">
        <v>197</v>
      </c>
      <c r="P900">
        <v>24</v>
      </c>
      <c r="Q900" t="s">
        <v>204</v>
      </c>
      <c r="R900" s="6">
        <v>0.52086654423018053</v>
      </c>
      <c r="S900" s="6">
        <v>11.677500623655146</v>
      </c>
      <c r="T900" s="6">
        <v>7.3105429254814434</v>
      </c>
      <c r="U900" s="6">
        <v>65.10984264843114</v>
      </c>
      <c r="V900" s="6">
        <v>4.0572955961965099E-2</v>
      </c>
      <c r="W900" s="6">
        <v>1.4792704623282702</v>
      </c>
      <c r="X900" s="6">
        <v>0.66829177952615215</v>
      </c>
      <c r="Y900" s="6">
        <v>6.5970061744961797</v>
      </c>
    </row>
    <row r="901" spans="1:25" x14ac:dyDescent="0.25">
      <c r="A901" t="str">
        <f t="shared" si="14"/>
        <v>RTD Ice TeaFranceDecemberEUR (€)Fully-AutomatedOldPET Bottle0.33High-scaleLow</v>
      </c>
      <c r="B901" t="s">
        <v>130</v>
      </c>
      <c r="C901" t="s">
        <v>130</v>
      </c>
      <c r="D901" t="s">
        <v>15</v>
      </c>
      <c r="E901" s="12" t="s">
        <v>182</v>
      </c>
      <c r="F901" t="s">
        <v>187</v>
      </c>
      <c r="G901" t="s">
        <v>12</v>
      </c>
      <c r="H901" t="s">
        <v>72</v>
      </c>
      <c r="I901" t="s">
        <v>175</v>
      </c>
      <c r="J901" s="12">
        <v>0.33</v>
      </c>
      <c r="K901" t="s">
        <v>107</v>
      </c>
      <c r="L901" t="s">
        <v>13</v>
      </c>
      <c r="M901" t="s">
        <v>199</v>
      </c>
      <c r="O901" t="s">
        <v>205</v>
      </c>
      <c r="P901">
        <v>4</v>
      </c>
      <c r="Q901" t="s">
        <v>198</v>
      </c>
      <c r="R901" s="6">
        <v>0.892595654376799</v>
      </c>
      <c r="S901" s="6">
        <v>20.801068737140625</v>
      </c>
      <c r="T901" s="6">
        <v>7.6415995756648325</v>
      </c>
      <c r="U901" s="6">
        <v>74.195169572945233</v>
      </c>
      <c r="V901" s="6">
        <v>0.47880115656753441</v>
      </c>
      <c r="W901" s="6">
        <v>14.738455184248931</v>
      </c>
      <c r="X901" s="6">
        <v>9.7087328561591963</v>
      </c>
      <c r="Y901" s="6">
        <v>91.378573404277802</v>
      </c>
    </row>
    <row r="902" spans="1:25" x14ac:dyDescent="0.25">
      <c r="A902" t="str">
        <f t="shared" si="14"/>
        <v>RTD Ice TeaFranceDecemberEUR (€)Fully-AutomatedOldPET Bottle0.33High-scaleMedium</v>
      </c>
      <c r="B902" t="s">
        <v>130</v>
      </c>
      <c r="C902" t="s">
        <v>130</v>
      </c>
      <c r="D902" t="s">
        <v>15</v>
      </c>
      <c r="E902" s="12" t="s">
        <v>182</v>
      </c>
      <c r="F902" t="s">
        <v>187</v>
      </c>
      <c r="G902" t="s">
        <v>12</v>
      </c>
      <c r="H902" t="s">
        <v>72</v>
      </c>
      <c r="I902" t="s">
        <v>175</v>
      </c>
      <c r="J902" s="12">
        <v>0.33</v>
      </c>
      <c r="K902" t="s">
        <v>107</v>
      </c>
      <c r="L902" t="s">
        <v>63</v>
      </c>
      <c r="M902" t="s">
        <v>199</v>
      </c>
      <c r="O902" t="s">
        <v>205</v>
      </c>
      <c r="P902">
        <v>4</v>
      </c>
      <c r="Q902" t="s">
        <v>198</v>
      </c>
      <c r="R902" s="6">
        <v>0.92672540176735962</v>
      </c>
      <c r="S902" s="6">
        <v>21.596944037159815</v>
      </c>
      <c r="T902" s="6">
        <v>7.9335822243706549</v>
      </c>
      <c r="U902" s="6">
        <v>77.030777993436004</v>
      </c>
      <c r="V902" s="6">
        <v>0.49687014044484051</v>
      </c>
      <c r="W902" s="6">
        <v>15.292320373039415</v>
      </c>
      <c r="X902" s="6">
        <v>10.074385407211892</v>
      </c>
      <c r="Y902" s="6">
        <v>94.819326367821475</v>
      </c>
    </row>
    <row r="903" spans="1:25" x14ac:dyDescent="0.25">
      <c r="A903" t="str">
        <f t="shared" si="14"/>
        <v>RTD Ice TeaFranceDecemberEUR (€)Fully-AutomatedOldPET Bottle0.33High-scaleHigh</v>
      </c>
      <c r="B903" t="s">
        <v>130</v>
      </c>
      <c r="C903" t="s">
        <v>130</v>
      </c>
      <c r="D903" t="s">
        <v>15</v>
      </c>
      <c r="E903" s="12" t="s">
        <v>182</v>
      </c>
      <c r="F903" t="s">
        <v>187</v>
      </c>
      <c r="G903" t="s">
        <v>12</v>
      </c>
      <c r="H903" t="s">
        <v>72</v>
      </c>
      <c r="I903" t="s">
        <v>175</v>
      </c>
      <c r="J903" s="12">
        <v>0.33</v>
      </c>
      <c r="K903" t="s">
        <v>107</v>
      </c>
      <c r="L903" t="s">
        <v>11</v>
      </c>
      <c r="M903" t="s">
        <v>199</v>
      </c>
      <c r="O903" t="s">
        <v>205</v>
      </c>
      <c r="P903">
        <v>4</v>
      </c>
      <c r="Q903" t="s">
        <v>198</v>
      </c>
      <c r="R903" s="6">
        <v>0.96358552894916505</v>
      </c>
      <c r="S903" s="6">
        <v>22.45648936118053</v>
      </c>
      <c r="T903" s="6">
        <v>8.2489234849729414</v>
      </c>
      <c r="U903" s="6">
        <v>80.093235087566029</v>
      </c>
      <c r="V903" s="6">
        <v>0.51638464303233111</v>
      </c>
      <c r="W903" s="6">
        <v>15.890494776933137</v>
      </c>
      <c r="X903" s="6">
        <v>10.469290162348802</v>
      </c>
      <c r="Y903" s="6">
        <v>98.535339568448677</v>
      </c>
    </row>
    <row r="904" spans="1:25" x14ac:dyDescent="0.25">
      <c r="A904" t="str">
        <f t="shared" si="14"/>
        <v>RTD Ice TeaFranceDecemberEUR (€)Fully-AutomatedOldPET Bottle0.33Medium-scaleLow</v>
      </c>
      <c r="B904" t="s">
        <v>130</v>
      </c>
      <c r="C904" t="s">
        <v>130</v>
      </c>
      <c r="D904" t="s">
        <v>15</v>
      </c>
      <c r="E904" s="12" t="s">
        <v>182</v>
      </c>
      <c r="F904" t="s">
        <v>187</v>
      </c>
      <c r="G904" t="s">
        <v>12</v>
      </c>
      <c r="H904" t="s">
        <v>72</v>
      </c>
      <c r="I904" t="s">
        <v>175</v>
      </c>
      <c r="J904" s="12">
        <v>0.33</v>
      </c>
      <c r="K904" t="s">
        <v>62</v>
      </c>
      <c r="L904" t="s">
        <v>13</v>
      </c>
      <c r="M904" t="s">
        <v>199</v>
      </c>
      <c r="O904" t="s">
        <v>205</v>
      </c>
      <c r="P904">
        <v>4</v>
      </c>
      <c r="Q904" t="s">
        <v>198</v>
      </c>
      <c r="R904" s="6">
        <v>0.89390120993235456</v>
      </c>
      <c r="S904" s="6">
        <v>20.828146471301082</v>
      </c>
      <c r="T904" s="6">
        <v>7.6541122529932064</v>
      </c>
      <c r="U904" s="6">
        <v>74.312507232991535</v>
      </c>
      <c r="V904" s="6">
        <v>0.47988827777965565</v>
      </c>
      <c r="W904" s="6">
        <v>14.774409174441162</v>
      </c>
      <c r="X904" s="6">
        <v>9.7328243819847557</v>
      </c>
      <c r="Y904" s="6">
        <v>91.604855171311158</v>
      </c>
    </row>
    <row r="905" spans="1:25" x14ac:dyDescent="0.25">
      <c r="A905" t="str">
        <f t="shared" si="14"/>
        <v>RTD Ice TeaFranceDecemberEUR (€)Fully-AutomatedOldPET Bottle0.33Medium-scaleMedium</v>
      </c>
      <c r="B905" t="s">
        <v>130</v>
      </c>
      <c r="C905" t="s">
        <v>130</v>
      </c>
      <c r="D905" t="s">
        <v>15</v>
      </c>
      <c r="E905" s="12" t="s">
        <v>182</v>
      </c>
      <c r="F905" t="s">
        <v>187</v>
      </c>
      <c r="G905" t="s">
        <v>12</v>
      </c>
      <c r="H905" t="s">
        <v>72</v>
      </c>
      <c r="I905" t="s">
        <v>175</v>
      </c>
      <c r="J905" s="12">
        <v>0.33</v>
      </c>
      <c r="K905" t="s">
        <v>62</v>
      </c>
      <c r="L905" t="s">
        <v>63</v>
      </c>
      <c r="M905" t="s">
        <v>199</v>
      </c>
      <c r="O905" t="s">
        <v>205</v>
      </c>
      <c r="P905">
        <v>4</v>
      </c>
      <c r="Q905" t="s">
        <v>198</v>
      </c>
      <c r="R905" s="6">
        <v>0.9280309573229153</v>
      </c>
      <c r="S905" s="6">
        <v>21.624021771320269</v>
      </c>
      <c r="T905" s="6">
        <v>7.9460949016990279</v>
      </c>
      <c r="U905" s="6">
        <v>77.148115653482321</v>
      </c>
      <c r="V905" s="6">
        <v>0.49795726165696164</v>
      </c>
      <c r="W905" s="6">
        <v>15.328274363231644</v>
      </c>
      <c r="X905" s="6">
        <v>10.098476933037453</v>
      </c>
      <c r="Y905" s="6">
        <v>95.045608134854831</v>
      </c>
    </row>
    <row r="906" spans="1:25" x14ac:dyDescent="0.25">
      <c r="A906" t="str">
        <f t="shared" si="14"/>
        <v>RTD Ice TeaFranceDecemberEUR (€)Fully-AutomatedOldPET Bottle0.33Medium-scaleHigh</v>
      </c>
      <c r="B906" t="s">
        <v>130</v>
      </c>
      <c r="C906" t="s">
        <v>130</v>
      </c>
      <c r="D906" t="s">
        <v>15</v>
      </c>
      <c r="E906" s="12" t="s">
        <v>182</v>
      </c>
      <c r="F906" t="s">
        <v>187</v>
      </c>
      <c r="G906" t="s">
        <v>12</v>
      </c>
      <c r="H906" t="s">
        <v>72</v>
      </c>
      <c r="I906" t="s">
        <v>175</v>
      </c>
      <c r="J906" s="12">
        <v>0.33</v>
      </c>
      <c r="K906" t="s">
        <v>62</v>
      </c>
      <c r="L906" t="s">
        <v>11</v>
      </c>
      <c r="M906" t="s">
        <v>199</v>
      </c>
      <c r="O906" t="s">
        <v>205</v>
      </c>
      <c r="P906">
        <v>4</v>
      </c>
      <c r="Q906" t="s">
        <v>198</v>
      </c>
      <c r="R906" s="6">
        <v>0.96489108450472072</v>
      </c>
      <c r="S906" s="6">
        <v>22.483567095340984</v>
      </c>
      <c r="T906" s="6">
        <v>8.2614361623013135</v>
      </c>
      <c r="U906" s="6">
        <v>80.210572747612346</v>
      </c>
      <c r="V906" s="6">
        <v>0.51747176424445218</v>
      </c>
      <c r="W906" s="6">
        <v>15.926448767125368</v>
      </c>
      <c r="X906" s="6">
        <v>10.493381688174367</v>
      </c>
      <c r="Y906" s="6">
        <v>98.761621335482005</v>
      </c>
    </row>
    <row r="907" spans="1:25" x14ac:dyDescent="0.25">
      <c r="A907" t="str">
        <f t="shared" si="14"/>
        <v>RTD Ice TeaFranceDecemberEUR (€)Fully-AutomatedOldPET Bottle0.33Small-scaleLow</v>
      </c>
      <c r="B907" t="s">
        <v>130</v>
      </c>
      <c r="C907" t="s">
        <v>130</v>
      </c>
      <c r="D907" t="s">
        <v>15</v>
      </c>
      <c r="E907" s="12" t="s">
        <v>182</v>
      </c>
      <c r="F907" t="s">
        <v>187</v>
      </c>
      <c r="G907" t="s">
        <v>12</v>
      </c>
      <c r="H907" t="s">
        <v>72</v>
      </c>
      <c r="I907" t="s">
        <v>175</v>
      </c>
      <c r="J907" s="12">
        <v>0.33</v>
      </c>
      <c r="K907" t="s">
        <v>60</v>
      </c>
      <c r="L907" t="s">
        <v>13</v>
      </c>
      <c r="M907" t="s">
        <v>199</v>
      </c>
      <c r="O907" t="s">
        <v>205</v>
      </c>
      <c r="P907">
        <v>4</v>
      </c>
      <c r="Q907" t="s">
        <v>198</v>
      </c>
      <c r="R907" s="6">
        <v>0.89607713585828042</v>
      </c>
      <c r="S907" s="6">
        <v>20.873276028235175</v>
      </c>
      <c r="T907" s="6">
        <v>7.6749667152071641</v>
      </c>
      <c r="U907" s="6">
        <v>74.508069999735369</v>
      </c>
      <c r="V907" s="6">
        <v>0.48170014646652431</v>
      </c>
      <c r="W907" s="6">
        <v>14.834332491428217</v>
      </c>
      <c r="X907" s="6">
        <v>9.7729769250273595</v>
      </c>
      <c r="Y907" s="6">
        <v>91.981991449700033</v>
      </c>
    </row>
    <row r="908" spans="1:25" x14ac:dyDescent="0.25">
      <c r="A908" t="str">
        <f t="shared" si="14"/>
        <v>RTD Ice TeaFranceDecemberEUR (€)Fully-AutomatedOldPET Bottle0.33Small-scaleMedium</v>
      </c>
      <c r="B908" t="s">
        <v>130</v>
      </c>
      <c r="C908" t="s">
        <v>130</v>
      </c>
      <c r="D908" t="s">
        <v>15</v>
      </c>
      <c r="E908" s="12" t="s">
        <v>182</v>
      </c>
      <c r="F908" t="s">
        <v>187</v>
      </c>
      <c r="G908" t="s">
        <v>12</v>
      </c>
      <c r="H908" t="s">
        <v>72</v>
      </c>
      <c r="I908" t="s">
        <v>175</v>
      </c>
      <c r="J908" s="12">
        <v>0.33</v>
      </c>
      <c r="K908" t="s">
        <v>60</v>
      </c>
      <c r="L908" t="s">
        <v>63</v>
      </c>
      <c r="M908" t="s">
        <v>199</v>
      </c>
      <c r="O908" t="s">
        <v>205</v>
      </c>
      <c r="P908">
        <v>4</v>
      </c>
      <c r="Q908" t="s">
        <v>198</v>
      </c>
      <c r="R908" s="6">
        <v>0.93020688324884127</v>
      </c>
      <c r="S908" s="6">
        <v>21.669151328254358</v>
      </c>
      <c r="T908" s="6">
        <v>7.9669493639129847</v>
      </c>
      <c r="U908" s="6">
        <v>77.343678420226126</v>
      </c>
      <c r="V908" s="6">
        <v>0.49976913034383041</v>
      </c>
      <c r="W908" s="6">
        <v>15.388197680218697</v>
      </c>
      <c r="X908" s="6">
        <v>10.138629476080053</v>
      </c>
      <c r="Y908" s="6">
        <v>95.42274441324372</v>
      </c>
    </row>
    <row r="909" spans="1:25" x14ac:dyDescent="0.25">
      <c r="A909" t="str">
        <f t="shared" si="14"/>
        <v>RTD Ice TeaFranceDecemberEUR (€)Fully-AutomatedOldPET Bottle0.33Small-scaleHigh</v>
      </c>
      <c r="B909" t="s">
        <v>130</v>
      </c>
      <c r="C909" t="s">
        <v>130</v>
      </c>
      <c r="D909" t="s">
        <v>15</v>
      </c>
      <c r="E909" s="12" t="s">
        <v>182</v>
      </c>
      <c r="F909" t="s">
        <v>187</v>
      </c>
      <c r="G909" t="s">
        <v>12</v>
      </c>
      <c r="H909" t="s">
        <v>72</v>
      </c>
      <c r="I909" t="s">
        <v>175</v>
      </c>
      <c r="J909" s="12">
        <v>0.33</v>
      </c>
      <c r="K909" t="s">
        <v>60</v>
      </c>
      <c r="L909" t="s">
        <v>11</v>
      </c>
      <c r="M909" t="s">
        <v>199</v>
      </c>
      <c r="O909" t="s">
        <v>205</v>
      </c>
      <c r="P909">
        <v>4</v>
      </c>
      <c r="Q909" t="s">
        <v>198</v>
      </c>
      <c r="R909" s="6">
        <v>0.96706701043064658</v>
      </c>
      <c r="S909" s="6">
        <v>22.52869665227508</v>
      </c>
      <c r="T909" s="6">
        <v>8.2822906245152694</v>
      </c>
      <c r="U909" s="6">
        <v>80.40613551435618</v>
      </c>
      <c r="V909" s="6">
        <v>0.51928363293132096</v>
      </c>
      <c r="W909" s="6">
        <v>15.986372084112421</v>
      </c>
      <c r="X909" s="6">
        <v>10.533534231216965</v>
      </c>
      <c r="Y909" s="6">
        <v>99.138757613870894</v>
      </c>
    </row>
    <row r="910" spans="1:25" x14ac:dyDescent="0.25">
      <c r="A910" t="str">
        <f t="shared" si="14"/>
        <v>RTD Ice TeaFranceDecemberEUR (€)Fully-AutomatedOldPET Bottle0.33High-scaleLow</v>
      </c>
      <c r="B910" t="s">
        <v>130</v>
      </c>
      <c r="C910" t="s">
        <v>130</v>
      </c>
      <c r="D910" t="s">
        <v>15</v>
      </c>
      <c r="E910" s="12" t="s">
        <v>182</v>
      </c>
      <c r="F910" t="s">
        <v>187</v>
      </c>
      <c r="G910" t="s">
        <v>12</v>
      </c>
      <c r="H910" t="s">
        <v>72</v>
      </c>
      <c r="I910" t="s">
        <v>175</v>
      </c>
      <c r="J910" s="12">
        <v>0.33</v>
      </c>
      <c r="K910" t="s">
        <v>107</v>
      </c>
      <c r="L910" t="s">
        <v>13</v>
      </c>
      <c r="M910" t="s">
        <v>200</v>
      </c>
      <c r="O910" t="s">
        <v>205</v>
      </c>
      <c r="P910">
        <v>4</v>
      </c>
      <c r="Q910" t="s">
        <v>198</v>
      </c>
      <c r="R910" s="6">
        <v>0.892595654376799</v>
      </c>
      <c r="S910" s="6">
        <v>20.801068737140625</v>
      </c>
      <c r="T910" s="6">
        <v>7.6415995756648325</v>
      </c>
      <c r="U910" s="6">
        <v>74.195169572945233</v>
      </c>
      <c r="V910" s="6">
        <v>0.43427466885184263</v>
      </c>
      <c r="W910" s="6">
        <v>17.723980808078899</v>
      </c>
      <c r="X910" s="6">
        <v>9.6698516671429413</v>
      </c>
      <c r="Y910" s="6">
        <v>92.96388516630698</v>
      </c>
    </row>
    <row r="911" spans="1:25" x14ac:dyDescent="0.25">
      <c r="A911" t="str">
        <f t="shared" si="14"/>
        <v>RTD Ice TeaFranceDecemberEUR (€)Fully-AutomatedOldPET Bottle0.33High-scaleMedium</v>
      </c>
      <c r="B911" t="s">
        <v>130</v>
      </c>
      <c r="C911" t="s">
        <v>130</v>
      </c>
      <c r="D911" t="s">
        <v>15</v>
      </c>
      <c r="E911" s="12" t="s">
        <v>182</v>
      </c>
      <c r="F911" t="s">
        <v>187</v>
      </c>
      <c r="G911" t="s">
        <v>12</v>
      </c>
      <c r="H911" t="s">
        <v>72</v>
      </c>
      <c r="I911" t="s">
        <v>175</v>
      </c>
      <c r="J911" s="12">
        <v>0.33</v>
      </c>
      <c r="K911" t="s">
        <v>107</v>
      </c>
      <c r="L911" t="s">
        <v>63</v>
      </c>
      <c r="M911" t="s">
        <v>200</v>
      </c>
      <c r="O911" t="s">
        <v>205</v>
      </c>
      <c r="P911">
        <v>4</v>
      </c>
      <c r="Q911" t="s">
        <v>198</v>
      </c>
      <c r="R911" s="6">
        <v>0.92672540176735962</v>
      </c>
      <c r="S911" s="6">
        <v>21.596944037159815</v>
      </c>
      <c r="T911" s="6">
        <v>7.9335822243706549</v>
      </c>
      <c r="U911" s="6">
        <v>77.030777993436004</v>
      </c>
      <c r="V911" s="6">
        <v>0.45073259123581016</v>
      </c>
      <c r="W911" s="6">
        <v>18.393412879913903</v>
      </c>
      <c r="X911" s="6">
        <v>10.035746157499739</v>
      </c>
      <c r="Y911" s="6">
        <v>96.480740059328895</v>
      </c>
    </row>
    <row r="912" spans="1:25" x14ac:dyDescent="0.25">
      <c r="A912" t="str">
        <f t="shared" si="14"/>
        <v>RTD Ice TeaFranceDecemberEUR (€)Fully-AutomatedOldPET Bottle0.33High-scaleHigh</v>
      </c>
      <c r="B912" t="s">
        <v>130</v>
      </c>
      <c r="C912" t="s">
        <v>130</v>
      </c>
      <c r="D912" t="s">
        <v>15</v>
      </c>
      <c r="E912" s="12" t="s">
        <v>182</v>
      </c>
      <c r="F912" t="s">
        <v>187</v>
      </c>
      <c r="G912" t="s">
        <v>12</v>
      </c>
      <c r="H912" t="s">
        <v>72</v>
      </c>
      <c r="I912" t="s">
        <v>175</v>
      </c>
      <c r="J912" s="12">
        <v>0.33</v>
      </c>
      <c r="K912" t="s">
        <v>107</v>
      </c>
      <c r="L912" t="s">
        <v>11</v>
      </c>
      <c r="M912" t="s">
        <v>200</v>
      </c>
      <c r="O912" t="s">
        <v>205</v>
      </c>
      <c r="P912">
        <v>4</v>
      </c>
      <c r="Q912" t="s">
        <v>198</v>
      </c>
      <c r="R912" s="6">
        <v>0.96358552894916505</v>
      </c>
      <c r="S912" s="6">
        <v>22.45648936118053</v>
      </c>
      <c r="T912" s="6">
        <v>8.2489234849729414</v>
      </c>
      <c r="U912" s="6">
        <v>80.093235087566029</v>
      </c>
      <c r="V912" s="6">
        <v>0.4685071474104951</v>
      </c>
      <c r="W912" s="6">
        <v>19.116399517495708</v>
      </c>
      <c r="X912" s="6">
        <v>10.430912207085079</v>
      </c>
      <c r="Y912" s="6">
        <v>100.27894334379253</v>
      </c>
    </row>
    <row r="913" spans="1:25" x14ac:dyDescent="0.25">
      <c r="A913" t="str">
        <f t="shared" si="14"/>
        <v>RTD Ice TeaFranceDecemberEUR (€)Fully-AutomatedOldPET Bottle0.33Medium-scaleLow</v>
      </c>
      <c r="B913" t="s">
        <v>130</v>
      </c>
      <c r="C913" t="s">
        <v>130</v>
      </c>
      <c r="D913" t="s">
        <v>15</v>
      </c>
      <c r="E913" s="12" t="s">
        <v>182</v>
      </c>
      <c r="F913" t="s">
        <v>187</v>
      </c>
      <c r="G913" t="s">
        <v>12</v>
      </c>
      <c r="H913" t="s">
        <v>72</v>
      </c>
      <c r="I913" t="s">
        <v>175</v>
      </c>
      <c r="J913" s="12">
        <v>0.33</v>
      </c>
      <c r="K913" t="s">
        <v>62</v>
      </c>
      <c r="L913" t="s">
        <v>13</v>
      </c>
      <c r="M913" t="s">
        <v>200</v>
      </c>
      <c r="O913" t="s">
        <v>205</v>
      </c>
      <c r="P913">
        <v>4</v>
      </c>
      <c r="Q913" t="s">
        <v>198</v>
      </c>
      <c r="R913" s="6">
        <v>0.89390120993235456</v>
      </c>
      <c r="S913" s="6">
        <v>20.828146471301082</v>
      </c>
      <c r="T913" s="6">
        <v>7.6541122529932064</v>
      </c>
      <c r="U913" s="6">
        <v>74.312507232991535</v>
      </c>
      <c r="V913" s="6">
        <v>0.43526077996295376</v>
      </c>
      <c r="W913" s="6">
        <v>17.767111183324094</v>
      </c>
      <c r="X913" s="6">
        <v>9.6939431929685007</v>
      </c>
      <c r="Y913" s="6">
        <v>93.194765927059109</v>
      </c>
    </row>
    <row r="914" spans="1:25" x14ac:dyDescent="0.25">
      <c r="A914" t="str">
        <f t="shared" si="14"/>
        <v>RTD Ice TeaFranceDecemberEUR (€)Fully-AutomatedOldPET Bottle0.33Medium-scaleMedium</v>
      </c>
      <c r="B914" t="s">
        <v>130</v>
      </c>
      <c r="C914" t="s">
        <v>130</v>
      </c>
      <c r="D914" t="s">
        <v>15</v>
      </c>
      <c r="E914" s="12" t="s">
        <v>182</v>
      </c>
      <c r="F914" t="s">
        <v>187</v>
      </c>
      <c r="G914" t="s">
        <v>12</v>
      </c>
      <c r="H914" t="s">
        <v>72</v>
      </c>
      <c r="I914" t="s">
        <v>175</v>
      </c>
      <c r="J914" s="12">
        <v>0.33</v>
      </c>
      <c r="K914" t="s">
        <v>62</v>
      </c>
      <c r="L914" t="s">
        <v>63</v>
      </c>
      <c r="M914" t="s">
        <v>200</v>
      </c>
      <c r="O914" t="s">
        <v>205</v>
      </c>
      <c r="P914">
        <v>4</v>
      </c>
      <c r="Q914" t="s">
        <v>198</v>
      </c>
      <c r="R914" s="6">
        <v>0.9280309573229153</v>
      </c>
      <c r="S914" s="6">
        <v>21.624021771320269</v>
      </c>
      <c r="T914" s="6">
        <v>7.9460949016990279</v>
      </c>
      <c r="U914" s="6">
        <v>77.148115653482321</v>
      </c>
      <c r="V914" s="6">
        <v>0.45171870234692124</v>
      </c>
      <c r="W914" s="6">
        <v>18.436543255159098</v>
      </c>
      <c r="X914" s="6">
        <v>10.0598376833253</v>
      </c>
      <c r="Y914" s="6">
        <v>96.711620820081009</v>
      </c>
    </row>
    <row r="915" spans="1:25" x14ac:dyDescent="0.25">
      <c r="A915" t="str">
        <f t="shared" si="14"/>
        <v>RTD Ice TeaFranceDecemberEUR (€)Fully-AutomatedOldPET Bottle0.33Medium-scaleHigh</v>
      </c>
      <c r="B915" t="s">
        <v>130</v>
      </c>
      <c r="C915" t="s">
        <v>130</v>
      </c>
      <c r="D915" t="s">
        <v>15</v>
      </c>
      <c r="E915" s="12" t="s">
        <v>182</v>
      </c>
      <c r="F915" t="s">
        <v>187</v>
      </c>
      <c r="G915" t="s">
        <v>12</v>
      </c>
      <c r="H915" t="s">
        <v>72</v>
      </c>
      <c r="I915" t="s">
        <v>175</v>
      </c>
      <c r="J915" s="12">
        <v>0.33</v>
      </c>
      <c r="K915" t="s">
        <v>62</v>
      </c>
      <c r="L915" t="s">
        <v>11</v>
      </c>
      <c r="M915" t="s">
        <v>200</v>
      </c>
      <c r="O915" t="s">
        <v>205</v>
      </c>
      <c r="P915">
        <v>4</v>
      </c>
      <c r="Q915" t="s">
        <v>198</v>
      </c>
      <c r="R915" s="6">
        <v>0.96489108450472072</v>
      </c>
      <c r="S915" s="6">
        <v>22.483567095340984</v>
      </c>
      <c r="T915" s="6">
        <v>8.2614361623013135</v>
      </c>
      <c r="U915" s="6">
        <v>80.210572747612346</v>
      </c>
      <c r="V915" s="6">
        <v>0.46949325852160623</v>
      </c>
      <c r="W915" s="6">
        <v>19.159529892740906</v>
      </c>
      <c r="X915" s="6">
        <v>10.455003732910646</v>
      </c>
      <c r="Y915" s="6">
        <v>100.50982410454466</v>
      </c>
    </row>
    <row r="916" spans="1:25" x14ac:dyDescent="0.25">
      <c r="A916" t="str">
        <f t="shared" si="14"/>
        <v>RTD Ice TeaFranceDecemberEUR (€)Fully-AutomatedOldPET Bottle0.33Small-scaleLow</v>
      </c>
      <c r="B916" t="s">
        <v>130</v>
      </c>
      <c r="C916" t="s">
        <v>130</v>
      </c>
      <c r="D916" t="s">
        <v>15</v>
      </c>
      <c r="E916" s="12" t="s">
        <v>182</v>
      </c>
      <c r="F916" t="s">
        <v>187</v>
      </c>
      <c r="G916" t="s">
        <v>12</v>
      </c>
      <c r="H916" t="s">
        <v>72</v>
      </c>
      <c r="I916" t="s">
        <v>175</v>
      </c>
      <c r="J916" s="12">
        <v>0.33</v>
      </c>
      <c r="K916" t="s">
        <v>60</v>
      </c>
      <c r="L916" t="s">
        <v>13</v>
      </c>
      <c r="M916" t="s">
        <v>200</v>
      </c>
      <c r="O916" t="s">
        <v>205</v>
      </c>
      <c r="P916">
        <v>4</v>
      </c>
      <c r="Q916" t="s">
        <v>198</v>
      </c>
      <c r="R916" s="6">
        <v>0.89607713585828042</v>
      </c>
      <c r="S916" s="6">
        <v>20.873276028235175</v>
      </c>
      <c r="T916" s="6">
        <v>7.6749667152071641</v>
      </c>
      <c r="U916" s="6">
        <v>74.508069999735369</v>
      </c>
      <c r="V916" s="6">
        <v>0.43690429848147228</v>
      </c>
      <c r="W916" s="6">
        <v>17.838995142066086</v>
      </c>
      <c r="X916" s="6">
        <v>9.7340957360111027</v>
      </c>
      <c r="Y916" s="6">
        <v>93.579567194979262</v>
      </c>
    </row>
    <row r="917" spans="1:25" x14ac:dyDescent="0.25">
      <c r="A917" t="str">
        <f t="shared" si="14"/>
        <v>RTD Ice TeaFranceDecemberEUR (€)Fully-AutomatedOldPET Bottle0.33Small-scaleMedium</v>
      </c>
      <c r="B917" t="s">
        <v>130</v>
      </c>
      <c r="C917" t="s">
        <v>130</v>
      </c>
      <c r="D917" t="s">
        <v>15</v>
      </c>
      <c r="E917" s="12" t="s">
        <v>182</v>
      </c>
      <c r="F917" t="s">
        <v>187</v>
      </c>
      <c r="G917" t="s">
        <v>12</v>
      </c>
      <c r="H917" t="s">
        <v>72</v>
      </c>
      <c r="I917" t="s">
        <v>175</v>
      </c>
      <c r="J917" s="12">
        <v>0.33</v>
      </c>
      <c r="K917" t="s">
        <v>60</v>
      </c>
      <c r="L917" t="s">
        <v>63</v>
      </c>
      <c r="M917" t="s">
        <v>200</v>
      </c>
      <c r="O917" t="s">
        <v>205</v>
      </c>
      <c r="P917">
        <v>4</v>
      </c>
      <c r="Q917" t="s">
        <v>198</v>
      </c>
      <c r="R917" s="6">
        <v>0.93020688324884127</v>
      </c>
      <c r="S917" s="6">
        <v>21.669151328254358</v>
      </c>
      <c r="T917" s="6">
        <v>7.9669493639129847</v>
      </c>
      <c r="U917" s="6">
        <v>77.343678420226126</v>
      </c>
      <c r="V917" s="6">
        <v>0.45336222086543981</v>
      </c>
      <c r="W917" s="6">
        <v>18.50842721390109</v>
      </c>
      <c r="X917" s="6">
        <v>10.099990226367902</v>
      </c>
      <c r="Y917" s="6">
        <v>97.096422088001177</v>
      </c>
    </row>
    <row r="918" spans="1:25" x14ac:dyDescent="0.25">
      <c r="A918" t="str">
        <f t="shared" si="14"/>
        <v>RTD Ice TeaFranceDecemberEUR (€)Fully-AutomatedOldPET Bottle0.33Small-scaleHigh</v>
      </c>
      <c r="B918" t="s">
        <v>130</v>
      </c>
      <c r="C918" t="s">
        <v>130</v>
      </c>
      <c r="D918" t="s">
        <v>15</v>
      </c>
      <c r="E918" s="12" t="s">
        <v>182</v>
      </c>
      <c r="F918" t="s">
        <v>187</v>
      </c>
      <c r="G918" t="s">
        <v>12</v>
      </c>
      <c r="H918" t="s">
        <v>72</v>
      </c>
      <c r="I918" t="s">
        <v>175</v>
      </c>
      <c r="J918" s="12">
        <v>0.33</v>
      </c>
      <c r="K918" t="s">
        <v>60</v>
      </c>
      <c r="L918" t="s">
        <v>11</v>
      </c>
      <c r="M918" t="s">
        <v>200</v>
      </c>
      <c r="O918" t="s">
        <v>205</v>
      </c>
      <c r="P918">
        <v>4</v>
      </c>
      <c r="Q918" t="s">
        <v>198</v>
      </c>
      <c r="R918" s="6">
        <v>0.96706701043064658</v>
      </c>
      <c r="S918" s="6">
        <v>22.52869665227508</v>
      </c>
      <c r="T918" s="6">
        <v>8.2822906245152694</v>
      </c>
      <c r="U918" s="6">
        <v>80.40613551435618</v>
      </c>
      <c r="V918" s="6">
        <v>0.47113677704012469</v>
      </c>
      <c r="W918" s="6">
        <v>19.231413851482895</v>
      </c>
      <c r="X918" s="6">
        <v>10.495156275953242</v>
      </c>
      <c r="Y918" s="6">
        <v>100.89462537246482</v>
      </c>
    </row>
    <row r="919" spans="1:25" x14ac:dyDescent="0.25">
      <c r="A919" t="str">
        <f t="shared" si="14"/>
        <v>RTD Ice TeaFranceDecemberEUR (€)Fully-AutomatedOldPET Bottle0.33High-scaleLow</v>
      </c>
      <c r="B919" t="s">
        <v>130</v>
      </c>
      <c r="C919" t="s">
        <v>130</v>
      </c>
      <c r="D919" t="s">
        <v>15</v>
      </c>
      <c r="E919" s="12" t="s">
        <v>182</v>
      </c>
      <c r="F919" t="s">
        <v>187</v>
      </c>
      <c r="G919" t="s">
        <v>12</v>
      </c>
      <c r="H919" t="s">
        <v>72</v>
      </c>
      <c r="I919" t="s">
        <v>175</v>
      </c>
      <c r="J919" s="12">
        <v>0.33</v>
      </c>
      <c r="K919" t="s">
        <v>107</v>
      </c>
      <c r="L919" t="s">
        <v>13</v>
      </c>
      <c r="M919" t="s">
        <v>199</v>
      </c>
      <c r="O919" t="s">
        <v>205</v>
      </c>
      <c r="P919">
        <v>6</v>
      </c>
      <c r="Q919" t="s">
        <v>201</v>
      </c>
      <c r="R919" s="6">
        <v>0.892595654376799</v>
      </c>
      <c r="S919" s="6">
        <v>20.801068737140625</v>
      </c>
      <c r="T919" s="6">
        <v>7.6415995756648325</v>
      </c>
      <c r="U919" s="6">
        <v>74.195169572945233</v>
      </c>
      <c r="V919" s="6">
        <v>0.44210725454620925</v>
      </c>
      <c r="W919" s="6">
        <v>13.759262596551977</v>
      </c>
      <c r="X919" s="6">
        <v>9.1939258165677273</v>
      </c>
      <c r="Y919" s="6">
        <v>86.397367671509485</v>
      </c>
    </row>
    <row r="920" spans="1:25" x14ac:dyDescent="0.25">
      <c r="A920" t="str">
        <f t="shared" si="14"/>
        <v>RTD Ice TeaFranceDecemberEUR (€)Fully-AutomatedOldPET Bottle0.33High-scaleMedium</v>
      </c>
      <c r="B920" t="s">
        <v>130</v>
      </c>
      <c r="C920" t="s">
        <v>130</v>
      </c>
      <c r="D920" t="s">
        <v>15</v>
      </c>
      <c r="E920" s="12" t="s">
        <v>182</v>
      </c>
      <c r="F920" t="s">
        <v>187</v>
      </c>
      <c r="G920" t="s">
        <v>12</v>
      </c>
      <c r="H920" t="s">
        <v>72</v>
      </c>
      <c r="I920" t="s">
        <v>175</v>
      </c>
      <c r="J920" s="12">
        <v>0.33</v>
      </c>
      <c r="K920" t="s">
        <v>107</v>
      </c>
      <c r="L920" t="s">
        <v>63</v>
      </c>
      <c r="M920" t="s">
        <v>199</v>
      </c>
      <c r="O920" t="s">
        <v>205</v>
      </c>
      <c r="P920">
        <v>6</v>
      </c>
      <c r="Q920" t="s">
        <v>201</v>
      </c>
      <c r="R920" s="6">
        <v>0.92672540176735962</v>
      </c>
      <c r="S920" s="6">
        <v>21.596944037159815</v>
      </c>
      <c r="T920" s="6">
        <v>7.9335822243706549</v>
      </c>
      <c r="U920" s="6">
        <v>77.030777993436004</v>
      </c>
      <c r="V920" s="6">
        <v>0.45876493449961825</v>
      </c>
      <c r="W920" s="6">
        <v>14.275466531969501</v>
      </c>
      <c r="X920" s="6">
        <v>9.5397780968669057</v>
      </c>
      <c r="Y920" s="6">
        <v>89.646535799177471</v>
      </c>
    </row>
    <row r="921" spans="1:25" x14ac:dyDescent="0.25">
      <c r="A921" t="str">
        <f t="shared" si="14"/>
        <v>RTD Ice TeaFranceDecemberEUR (€)Fully-AutomatedOldPET Bottle0.33High-scaleHigh</v>
      </c>
      <c r="B921" t="s">
        <v>130</v>
      </c>
      <c r="C921" t="s">
        <v>130</v>
      </c>
      <c r="D921" t="s">
        <v>15</v>
      </c>
      <c r="E921" s="12" t="s">
        <v>182</v>
      </c>
      <c r="F921" t="s">
        <v>187</v>
      </c>
      <c r="G921" t="s">
        <v>12</v>
      </c>
      <c r="H921" t="s">
        <v>72</v>
      </c>
      <c r="I921" t="s">
        <v>175</v>
      </c>
      <c r="J921" s="12">
        <v>0.33</v>
      </c>
      <c r="K921" t="s">
        <v>107</v>
      </c>
      <c r="L921" t="s">
        <v>11</v>
      </c>
      <c r="M921" t="s">
        <v>199</v>
      </c>
      <c r="O921" t="s">
        <v>205</v>
      </c>
      <c r="P921">
        <v>6</v>
      </c>
      <c r="Q921" t="s">
        <v>201</v>
      </c>
      <c r="R921" s="6">
        <v>0.96358552894916505</v>
      </c>
      <c r="S921" s="6">
        <v>22.45648936118053</v>
      </c>
      <c r="T921" s="6">
        <v>8.2489234849729414</v>
      </c>
      <c r="U921" s="6">
        <v>80.093235087566029</v>
      </c>
      <c r="V921" s="6">
        <v>0.47675522884929988</v>
      </c>
      <c r="W921" s="6">
        <v>14.832966782220426</v>
      </c>
      <c r="X921" s="6">
        <v>9.913298559590018</v>
      </c>
      <c r="Y921" s="6">
        <v>93.155637377058895</v>
      </c>
    </row>
    <row r="922" spans="1:25" x14ac:dyDescent="0.25">
      <c r="A922" t="str">
        <f t="shared" si="14"/>
        <v>RTD Ice TeaFranceDecemberEUR (€)Fully-AutomatedOldPET Bottle0.33Medium-scaleLow</v>
      </c>
      <c r="B922" t="s">
        <v>130</v>
      </c>
      <c r="C922" t="s">
        <v>130</v>
      </c>
      <c r="D922" t="s">
        <v>15</v>
      </c>
      <c r="E922" s="12" t="s">
        <v>182</v>
      </c>
      <c r="F922" t="s">
        <v>187</v>
      </c>
      <c r="G922" t="s">
        <v>12</v>
      </c>
      <c r="H922" t="s">
        <v>72</v>
      </c>
      <c r="I922" t="s">
        <v>175</v>
      </c>
      <c r="J922" s="12">
        <v>0.33</v>
      </c>
      <c r="K922" t="s">
        <v>62</v>
      </c>
      <c r="L922" t="s">
        <v>13</v>
      </c>
      <c r="M922" t="s">
        <v>199</v>
      </c>
      <c r="O922" t="s">
        <v>205</v>
      </c>
      <c r="P922">
        <v>6</v>
      </c>
      <c r="Q922" t="s">
        <v>201</v>
      </c>
      <c r="R922" s="6">
        <v>0.89390120993235456</v>
      </c>
      <c r="S922" s="6">
        <v>20.828146471301082</v>
      </c>
      <c r="T922" s="6">
        <v>7.6541122529932064</v>
      </c>
      <c r="U922" s="6">
        <v>74.312507232991535</v>
      </c>
      <c r="V922" s="6">
        <v>0.44319437575833048</v>
      </c>
      <c r="W922" s="6">
        <v>13.795216586744209</v>
      </c>
      <c r="X922" s="6">
        <v>9.2180173423932867</v>
      </c>
      <c r="Y922" s="6">
        <v>86.623649438542856</v>
      </c>
    </row>
    <row r="923" spans="1:25" x14ac:dyDescent="0.25">
      <c r="A923" t="str">
        <f t="shared" si="14"/>
        <v>RTD Ice TeaFranceDecemberEUR (€)Fully-AutomatedOldPET Bottle0.33Medium-scaleMedium</v>
      </c>
      <c r="B923" t="s">
        <v>130</v>
      </c>
      <c r="C923" t="s">
        <v>130</v>
      </c>
      <c r="D923" t="s">
        <v>15</v>
      </c>
      <c r="E923" s="12" t="s">
        <v>182</v>
      </c>
      <c r="F923" t="s">
        <v>187</v>
      </c>
      <c r="G923" t="s">
        <v>12</v>
      </c>
      <c r="H923" t="s">
        <v>72</v>
      </c>
      <c r="I923" t="s">
        <v>175</v>
      </c>
      <c r="J923" s="12">
        <v>0.33</v>
      </c>
      <c r="K923" t="s">
        <v>62</v>
      </c>
      <c r="L923" t="s">
        <v>63</v>
      </c>
      <c r="M923" t="s">
        <v>199</v>
      </c>
      <c r="O923" t="s">
        <v>205</v>
      </c>
      <c r="P923">
        <v>6</v>
      </c>
      <c r="Q923" t="s">
        <v>201</v>
      </c>
      <c r="R923" s="6">
        <v>0.9280309573229153</v>
      </c>
      <c r="S923" s="6">
        <v>21.624021771320269</v>
      </c>
      <c r="T923" s="6">
        <v>7.9460949016990279</v>
      </c>
      <c r="U923" s="6">
        <v>77.148115653482321</v>
      </c>
      <c r="V923" s="6">
        <v>0.45985205571173937</v>
      </c>
      <c r="W923" s="6">
        <v>14.311420522161733</v>
      </c>
      <c r="X923" s="6">
        <v>9.5638696226924687</v>
      </c>
      <c r="Y923" s="6">
        <v>89.872817566210813</v>
      </c>
    </row>
    <row r="924" spans="1:25" x14ac:dyDescent="0.25">
      <c r="A924" t="str">
        <f t="shared" si="14"/>
        <v>RTD Ice TeaFranceDecemberEUR (€)Fully-AutomatedOldPET Bottle0.33Medium-scaleHigh</v>
      </c>
      <c r="B924" t="s">
        <v>130</v>
      </c>
      <c r="C924" t="s">
        <v>130</v>
      </c>
      <c r="D924" t="s">
        <v>15</v>
      </c>
      <c r="E924" s="12" t="s">
        <v>182</v>
      </c>
      <c r="F924" t="s">
        <v>187</v>
      </c>
      <c r="G924" t="s">
        <v>12</v>
      </c>
      <c r="H924" t="s">
        <v>72</v>
      </c>
      <c r="I924" t="s">
        <v>175</v>
      </c>
      <c r="J924" s="12">
        <v>0.33</v>
      </c>
      <c r="K924" t="s">
        <v>62</v>
      </c>
      <c r="L924" t="s">
        <v>11</v>
      </c>
      <c r="M924" t="s">
        <v>199</v>
      </c>
      <c r="O924" t="s">
        <v>205</v>
      </c>
      <c r="P924">
        <v>6</v>
      </c>
      <c r="Q924" t="s">
        <v>201</v>
      </c>
      <c r="R924" s="6">
        <v>0.96489108450472072</v>
      </c>
      <c r="S924" s="6">
        <v>22.483567095340984</v>
      </c>
      <c r="T924" s="6">
        <v>8.2614361623013135</v>
      </c>
      <c r="U924" s="6">
        <v>80.210572747612346</v>
      </c>
      <c r="V924" s="6">
        <v>0.47784235006142112</v>
      </c>
      <c r="W924" s="6">
        <v>14.868920772412658</v>
      </c>
      <c r="X924" s="6">
        <v>9.937390085415581</v>
      </c>
      <c r="Y924" s="6">
        <v>93.381919144092237</v>
      </c>
    </row>
    <row r="925" spans="1:25" x14ac:dyDescent="0.25">
      <c r="A925" t="str">
        <f t="shared" si="14"/>
        <v>RTD Ice TeaFranceDecemberEUR (€)Fully-AutomatedOldPET Bottle0.33Small-scaleLow</v>
      </c>
      <c r="B925" t="s">
        <v>130</v>
      </c>
      <c r="C925" t="s">
        <v>130</v>
      </c>
      <c r="D925" t="s">
        <v>15</v>
      </c>
      <c r="E925" s="12" t="s">
        <v>182</v>
      </c>
      <c r="F925" t="s">
        <v>187</v>
      </c>
      <c r="G925" t="s">
        <v>12</v>
      </c>
      <c r="H925" t="s">
        <v>72</v>
      </c>
      <c r="I925" t="s">
        <v>175</v>
      </c>
      <c r="J925" s="12">
        <v>0.33</v>
      </c>
      <c r="K925" t="s">
        <v>60</v>
      </c>
      <c r="L925" t="s">
        <v>13</v>
      </c>
      <c r="M925" t="s">
        <v>199</v>
      </c>
      <c r="O925" t="s">
        <v>205</v>
      </c>
      <c r="P925">
        <v>6</v>
      </c>
      <c r="Q925" t="s">
        <v>201</v>
      </c>
      <c r="R925" s="6">
        <v>0.89607713585828042</v>
      </c>
      <c r="S925" s="6">
        <v>20.873276028235175</v>
      </c>
      <c r="T925" s="6">
        <v>7.6749667152071641</v>
      </c>
      <c r="U925" s="6">
        <v>74.508069999735369</v>
      </c>
      <c r="V925" s="6">
        <v>0.44500624444519915</v>
      </c>
      <c r="W925" s="6">
        <v>13.855139903731263</v>
      </c>
      <c r="X925" s="6">
        <v>9.2581698854358905</v>
      </c>
      <c r="Y925" s="6">
        <v>87.00078571693173</v>
      </c>
    </row>
    <row r="926" spans="1:25" x14ac:dyDescent="0.25">
      <c r="A926" t="str">
        <f t="shared" si="14"/>
        <v>RTD Ice TeaFranceDecemberEUR (€)Fully-AutomatedOldPET Bottle0.33Small-scaleMedium</v>
      </c>
      <c r="B926" t="s">
        <v>130</v>
      </c>
      <c r="C926" t="s">
        <v>130</v>
      </c>
      <c r="D926" t="s">
        <v>15</v>
      </c>
      <c r="E926" s="12" t="s">
        <v>182</v>
      </c>
      <c r="F926" t="s">
        <v>187</v>
      </c>
      <c r="G926" t="s">
        <v>12</v>
      </c>
      <c r="H926" t="s">
        <v>72</v>
      </c>
      <c r="I926" t="s">
        <v>175</v>
      </c>
      <c r="J926" s="12">
        <v>0.33</v>
      </c>
      <c r="K926" t="s">
        <v>60</v>
      </c>
      <c r="L926" t="s">
        <v>63</v>
      </c>
      <c r="M926" t="s">
        <v>199</v>
      </c>
      <c r="O926" t="s">
        <v>205</v>
      </c>
      <c r="P926">
        <v>6</v>
      </c>
      <c r="Q926" t="s">
        <v>201</v>
      </c>
      <c r="R926" s="6">
        <v>0.93020688324884127</v>
      </c>
      <c r="S926" s="6">
        <v>21.669151328254358</v>
      </c>
      <c r="T926" s="6">
        <v>7.9669493639129847</v>
      </c>
      <c r="U926" s="6">
        <v>77.343678420226126</v>
      </c>
      <c r="V926" s="6">
        <v>0.46166392439860809</v>
      </c>
      <c r="W926" s="6">
        <v>14.371343839148786</v>
      </c>
      <c r="X926" s="6">
        <v>9.6040221657350671</v>
      </c>
      <c r="Y926" s="6">
        <v>90.249953844599702</v>
      </c>
    </row>
    <row r="927" spans="1:25" x14ac:dyDescent="0.25">
      <c r="A927" t="str">
        <f t="shared" si="14"/>
        <v>RTD Ice TeaFranceDecemberEUR (€)Fully-AutomatedOldPET Bottle0.33Small-scaleHigh</v>
      </c>
      <c r="B927" t="s">
        <v>130</v>
      </c>
      <c r="C927" t="s">
        <v>130</v>
      </c>
      <c r="D927" t="s">
        <v>15</v>
      </c>
      <c r="E927" s="12" t="s">
        <v>182</v>
      </c>
      <c r="F927" t="s">
        <v>187</v>
      </c>
      <c r="G927" t="s">
        <v>12</v>
      </c>
      <c r="H927" t="s">
        <v>72</v>
      </c>
      <c r="I927" t="s">
        <v>175</v>
      </c>
      <c r="J927" s="12">
        <v>0.33</v>
      </c>
      <c r="K927" t="s">
        <v>60</v>
      </c>
      <c r="L927" t="s">
        <v>11</v>
      </c>
      <c r="M927" t="s">
        <v>199</v>
      </c>
      <c r="O927" t="s">
        <v>205</v>
      </c>
      <c r="P927">
        <v>6</v>
      </c>
      <c r="Q927" t="s">
        <v>201</v>
      </c>
      <c r="R927" s="6">
        <v>0.96706701043064658</v>
      </c>
      <c r="S927" s="6">
        <v>22.52869665227508</v>
      </c>
      <c r="T927" s="6">
        <v>8.2822906245152694</v>
      </c>
      <c r="U927" s="6">
        <v>80.40613551435618</v>
      </c>
      <c r="V927" s="6">
        <v>0.47965421874828978</v>
      </c>
      <c r="W927" s="6">
        <v>14.928844089399711</v>
      </c>
      <c r="X927" s="6">
        <v>9.9775426284581812</v>
      </c>
      <c r="Y927" s="6">
        <v>93.75905542248114</v>
      </c>
    </row>
    <row r="928" spans="1:25" x14ac:dyDescent="0.25">
      <c r="A928" t="str">
        <f t="shared" si="14"/>
        <v>RTD Ice TeaFranceDecemberEUR (€)Fully-AutomatedOldPET Bottle0.33High-scaleLow</v>
      </c>
      <c r="B928" t="s">
        <v>130</v>
      </c>
      <c r="C928" t="s">
        <v>130</v>
      </c>
      <c r="D928" t="s">
        <v>15</v>
      </c>
      <c r="E928" s="12" t="s">
        <v>182</v>
      </c>
      <c r="F928" t="s">
        <v>187</v>
      </c>
      <c r="G928" t="s">
        <v>12</v>
      </c>
      <c r="H928" t="s">
        <v>72</v>
      </c>
      <c r="I928" t="s">
        <v>175</v>
      </c>
      <c r="J928" s="12">
        <v>0.33</v>
      </c>
      <c r="K928" t="s">
        <v>107</v>
      </c>
      <c r="L928" t="s">
        <v>13</v>
      </c>
      <c r="M928" t="s">
        <v>200</v>
      </c>
      <c r="O928" t="s">
        <v>205</v>
      </c>
      <c r="P928">
        <v>6</v>
      </c>
      <c r="Q928" t="s">
        <v>201</v>
      </c>
      <c r="R928" s="6">
        <v>0.892595654376799</v>
      </c>
      <c r="S928" s="6">
        <v>20.801068737140625</v>
      </c>
      <c r="T928" s="6">
        <v>7.6415995756648325</v>
      </c>
      <c r="U928" s="6">
        <v>74.195169572945233</v>
      </c>
      <c r="V928" s="6">
        <v>0.39758076683051746</v>
      </c>
      <c r="W928" s="6">
        <v>16.744788220381945</v>
      </c>
      <c r="X928" s="6">
        <v>9.1550446275514723</v>
      </c>
      <c r="Y928" s="6">
        <v>87.982679433538678</v>
      </c>
    </row>
    <row r="929" spans="1:25" x14ac:dyDescent="0.25">
      <c r="A929" t="str">
        <f t="shared" si="14"/>
        <v>RTD Ice TeaFranceDecemberEUR (€)Fully-AutomatedOldPET Bottle0.33High-scaleMedium</v>
      </c>
      <c r="B929" t="s">
        <v>130</v>
      </c>
      <c r="C929" t="s">
        <v>130</v>
      </c>
      <c r="D929" t="s">
        <v>15</v>
      </c>
      <c r="E929" s="12" t="s">
        <v>182</v>
      </c>
      <c r="F929" t="s">
        <v>187</v>
      </c>
      <c r="G929" t="s">
        <v>12</v>
      </c>
      <c r="H929" t="s">
        <v>72</v>
      </c>
      <c r="I929" t="s">
        <v>175</v>
      </c>
      <c r="J929" s="12">
        <v>0.33</v>
      </c>
      <c r="K929" t="s">
        <v>107</v>
      </c>
      <c r="L929" t="s">
        <v>63</v>
      </c>
      <c r="M929" t="s">
        <v>200</v>
      </c>
      <c r="O929" t="s">
        <v>205</v>
      </c>
      <c r="P929">
        <v>6</v>
      </c>
      <c r="Q929" t="s">
        <v>201</v>
      </c>
      <c r="R929" s="6">
        <v>0.92672540176735962</v>
      </c>
      <c r="S929" s="6">
        <v>21.596944037159815</v>
      </c>
      <c r="T929" s="6">
        <v>7.9335822243706549</v>
      </c>
      <c r="U929" s="6">
        <v>77.030777993436004</v>
      </c>
      <c r="V929" s="6">
        <v>0.4126273852905879</v>
      </c>
      <c r="W929" s="6">
        <v>17.37655903884399</v>
      </c>
      <c r="X929" s="6">
        <v>9.5011388471547527</v>
      </c>
      <c r="Y929" s="6">
        <v>91.307949490684877</v>
      </c>
    </row>
    <row r="930" spans="1:25" x14ac:dyDescent="0.25">
      <c r="A930" t="str">
        <f t="shared" si="14"/>
        <v>RTD Ice TeaFranceDecemberEUR (€)Fully-AutomatedOldPET Bottle0.33High-scaleHigh</v>
      </c>
      <c r="B930" t="s">
        <v>130</v>
      </c>
      <c r="C930" t="s">
        <v>130</v>
      </c>
      <c r="D930" t="s">
        <v>15</v>
      </c>
      <c r="E930" s="12" t="s">
        <v>182</v>
      </c>
      <c r="F930" t="s">
        <v>187</v>
      </c>
      <c r="G930" t="s">
        <v>12</v>
      </c>
      <c r="H930" t="s">
        <v>72</v>
      </c>
      <c r="I930" t="s">
        <v>175</v>
      </c>
      <c r="J930" s="12">
        <v>0.33</v>
      </c>
      <c r="K930" t="s">
        <v>107</v>
      </c>
      <c r="L930" t="s">
        <v>11</v>
      </c>
      <c r="M930" t="s">
        <v>200</v>
      </c>
      <c r="O930" t="s">
        <v>205</v>
      </c>
      <c r="P930">
        <v>6</v>
      </c>
      <c r="Q930" t="s">
        <v>201</v>
      </c>
      <c r="R930" s="6">
        <v>0.96358552894916505</v>
      </c>
      <c r="S930" s="6">
        <v>22.45648936118053</v>
      </c>
      <c r="T930" s="6">
        <v>8.2489234849729414</v>
      </c>
      <c r="U930" s="6">
        <v>80.093235087566029</v>
      </c>
      <c r="V930" s="6">
        <v>0.42887773322746392</v>
      </c>
      <c r="W930" s="6">
        <v>18.058871522782997</v>
      </c>
      <c r="X930" s="6">
        <v>9.8749206043262951</v>
      </c>
      <c r="Y930" s="6">
        <v>94.899241152402766</v>
      </c>
    </row>
    <row r="931" spans="1:25" x14ac:dyDescent="0.25">
      <c r="A931" t="str">
        <f t="shared" si="14"/>
        <v>RTD Ice TeaFranceDecemberEUR (€)Fully-AutomatedOldPET Bottle0.33Medium-scaleLow</v>
      </c>
      <c r="B931" t="s">
        <v>130</v>
      </c>
      <c r="C931" t="s">
        <v>130</v>
      </c>
      <c r="D931" t="s">
        <v>15</v>
      </c>
      <c r="E931" s="12" t="s">
        <v>182</v>
      </c>
      <c r="F931" t="s">
        <v>187</v>
      </c>
      <c r="G931" t="s">
        <v>12</v>
      </c>
      <c r="H931" t="s">
        <v>72</v>
      </c>
      <c r="I931" t="s">
        <v>175</v>
      </c>
      <c r="J931" s="12">
        <v>0.33</v>
      </c>
      <c r="K931" t="s">
        <v>62</v>
      </c>
      <c r="L931" t="s">
        <v>13</v>
      </c>
      <c r="M931" t="s">
        <v>200</v>
      </c>
      <c r="O931" t="s">
        <v>205</v>
      </c>
      <c r="P931">
        <v>6</v>
      </c>
      <c r="Q931" t="s">
        <v>201</v>
      </c>
      <c r="R931" s="6">
        <v>0.89390120993235456</v>
      </c>
      <c r="S931" s="6">
        <v>20.828146471301082</v>
      </c>
      <c r="T931" s="6">
        <v>7.6541122529932064</v>
      </c>
      <c r="U931" s="6">
        <v>74.312507232991535</v>
      </c>
      <c r="V931" s="6">
        <v>0.39856687794162865</v>
      </c>
      <c r="W931" s="6">
        <v>16.78791859562714</v>
      </c>
      <c r="X931" s="6">
        <v>9.1791361533770317</v>
      </c>
      <c r="Y931" s="6">
        <v>88.213560194290807</v>
      </c>
    </row>
    <row r="932" spans="1:25" x14ac:dyDescent="0.25">
      <c r="A932" t="str">
        <f t="shared" si="14"/>
        <v>RTD Ice TeaFranceDecemberEUR (€)Fully-AutomatedOldPET Bottle0.33Medium-scaleMedium</v>
      </c>
      <c r="B932" t="s">
        <v>130</v>
      </c>
      <c r="C932" t="s">
        <v>130</v>
      </c>
      <c r="D932" t="s">
        <v>15</v>
      </c>
      <c r="E932" s="12" t="s">
        <v>182</v>
      </c>
      <c r="F932" t="s">
        <v>187</v>
      </c>
      <c r="G932" t="s">
        <v>12</v>
      </c>
      <c r="H932" t="s">
        <v>72</v>
      </c>
      <c r="I932" t="s">
        <v>175</v>
      </c>
      <c r="J932" s="12">
        <v>0.33</v>
      </c>
      <c r="K932" t="s">
        <v>62</v>
      </c>
      <c r="L932" t="s">
        <v>63</v>
      </c>
      <c r="M932" t="s">
        <v>200</v>
      </c>
      <c r="O932" t="s">
        <v>205</v>
      </c>
      <c r="P932">
        <v>6</v>
      </c>
      <c r="Q932" t="s">
        <v>201</v>
      </c>
      <c r="R932" s="6">
        <v>0.9280309573229153</v>
      </c>
      <c r="S932" s="6">
        <v>21.624021771320269</v>
      </c>
      <c r="T932" s="6">
        <v>7.9460949016990279</v>
      </c>
      <c r="U932" s="6">
        <v>77.148115653482321</v>
      </c>
      <c r="V932" s="6">
        <v>0.41361349640169898</v>
      </c>
      <c r="W932" s="6">
        <v>17.419689414089184</v>
      </c>
      <c r="X932" s="6">
        <v>9.5252303729803156</v>
      </c>
      <c r="Y932" s="6">
        <v>91.538830251436991</v>
      </c>
    </row>
    <row r="933" spans="1:25" x14ac:dyDescent="0.25">
      <c r="A933" t="str">
        <f t="shared" si="14"/>
        <v>RTD Ice TeaFranceDecemberEUR (€)Fully-AutomatedOldPET Bottle0.33Medium-scaleHigh</v>
      </c>
      <c r="B933" t="s">
        <v>130</v>
      </c>
      <c r="C933" t="s">
        <v>130</v>
      </c>
      <c r="D933" t="s">
        <v>15</v>
      </c>
      <c r="E933" s="12" t="s">
        <v>182</v>
      </c>
      <c r="F933" t="s">
        <v>187</v>
      </c>
      <c r="G933" t="s">
        <v>12</v>
      </c>
      <c r="H933" t="s">
        <v>72</v>
      </c>
      <c r="I933" t="s">
        <v>175</v>
      </c>
      <c r="J933" s="12">
        <v>0.33</v>
      </c>
      <c r="K933" t="s">
        <v>62</v>
      </c>
      <c r="L933" t="s">
        <v>11</v>
      </c>
      <c r="M933" t="s">
        <v>200</v>
      </c>
      <c r="O933" t="s">
        <v>205</v>
      </c>
      <c r="P933">
        <v>6</v>
      </c>
      <c r="Q933" t="s">
        <v>201</v>
      </c>
      <c r="R933" s="6">
        <v>0.96489108450472072</v>
      </c>
      <c r="S933" s="6">
        <v>22.483567095340984</v>
      </c>
      <c r="T933" s="6">
        <v>8.2614361623013135</v>
      </c>
      <c r="U933" s="6">
        <v>80.210572747612346</v>
      </c>
      <c r="V933" s="6">
        <v>0.42986384433857505</v>
      </c>
      <c r="W933" s="6">
        <v>18.102001898028195</v>
      </c>
      <c r="X933" s="6">
        <v>9.8990121301518599</v>
      </c>
      <c r="Y933" s="6">
        <v>95.130121913154881</v>
      </c>
    </row>
    <row r="934" spans="1:25" x14ac:dyDescent="0.25">
      <c r="A934" t="str">
        <f t="shared" si="14"/>
        <v>RTD Ice TeaFranceDecemberEUR (€)Fully-AutomatedOldPET Bottle0.33Small-scaleLow</v>
      </c>
      <c r="B934" t="s">
        <v>130</v>
      </c>
      <c r="C934" t="s">
        <v>130</v>
      </c>
      <c r="D934" t="s">
        <v>15</v>
      </c>
      <c r="E934" s="12" t="s">
        <v>182</v>
      </c>
      <c r="F934" t="s">
        <v>187</v>
      </c>
      <c r="G934" t="s">
        <v>12</v>
      </c>
      <c r="H934" t="s">
        <v>72</v>
      </c>
      <c r="I934" t="s">
        <v>175</v>
      </c>
      <c r="J934" s="12">
        <v>0.33</v>
      </c>
      <c r="K934" t="s">
        <v>60</v>
      </c>
      <c r="L934" t="s">
        <v>13</v>
      </c>
      <c r="M934" t="s">
        <v>200</v>
      </c>
      <c r="O934" t="s">
        <v>205</v>
      </c>
      <c r="P934">
        <v>6</v>
      </c>
      <c r="Q934" t="s">
        <v>201</v>
      </c>
      <c r="R934" s="6">
        <v>0.89607713585828042</v>
      </c>
      <c r="S934" s="6">
        <v>20.873276028235175</v>
      </c>
      <c r="T934" s="6">
        <v>7.6749667152071641</v>
      </c>
      <c r="U934" s="6">
        <v>74.508069999735369</v>
      </c>
      <c r="V934" s="6">
        <v>0.40021039646014711</v>
      </c>
      <c r="W934" s="6">
        <v>16.859802554369132</v>
      </c>
      <c r="X934" s="6">
        <v>9.2192886964196337</v>
      </c>
      <c r="Y934" s="6">
        <v>88.598361462210974</v>
      </c>
    </row>
    <row r="935" spans="1:25" x14ac:dyDescent="0.25">
      <c r="A935" t="str">
        <f t="shared" si="14"/>
        <v>RTD Ice TeaFranceDecemberEUR (€)Fully-AutomatedOldPET Bottle0.33Small-scaleMedium</v>
      </c>
      <c r="B935" t="s">
        <v>130</v>
      </c>
      <c r="C935" t="s">
        <v>130</v>
      </c>
      <c r="D935" t="s">
        <v>15</v>
      </c>
      <c r="E935" s="12" t="s">
        <v>182</v>
      </c>
      <c r="F935" t="s">
        <v>187</v>
      </c>
      <c r="G935" t="s">
        <v>12</v>
      </c>
      <c r="H935" t="s">
        <v>72</v>
      </c>
      <c r="I935" t="s">
        <v>175</v>
      </c>
      <c r="J935" s="12">
        <v>0.33</v>
      </c>
      <c r="K935" t="s">
        <v>60</v>
      </c>
      <c r="L935" t="s">
        <v>63</v>
      </c>
      <c r="M935" t="s">
        <v>200</v>
      </c>
      <c r="O935" t="s">
        <v>205</v>
      </c>
      <c r="P935">
        <v>6</v>
      </c>
      <c r="Q935" t="s">
        <v>201</v>
      </c>
      <c r="R935" s="6">
        <v>0.93020688324884127</v>
      </c>
      <c r="S935" s="6">
        <v>21.669151328254358</v>
      </c>
      <c r="T935" s="6">
        <v>7.9669493639129847</v>
      </c>
      <c r="U935" s="6">
        <v>77.343678420226126</v>
      </c>
      <c r="V935" s="6">
        <v>0.41525701492021755</v>
      </c>
      <c r="W935" s="6">
        <v>17.491573372831176</v>
      </c>
      <c r="X935" s="6">
        <v>9.5653829160229158</v>
      </c>
      <c r="Y935" s="6">
        <v>91.923631519357173</v>
      </c>
    </row>
    <row r="936" spans="1:25" x14ac:dyDescent="0.25">
      <c r="A936" t="str">
        <f t="shared" si="14"/>
        <v>RTD Ice TeaFranceDecemberEUR (€)Fully-AutomatedOldPET Bottle0.33Small-scaleHigh</v>
      </c>
      <c r="B936" t="s">
        <v>130</v>
      </c>
      <c r="C936" t="s">
        <v>130</v>
      </c>
      <c r="D936" t="s">
        <v>15</v>
      </c>
      <c r="E936" s="12" t="s">
        <v>182</v>
      </c>
      <c r="F936" t="s">
        <v>187</v>
      </c>
      <c r="G936" t="s">
        <v>12</v>
      </c>
      <c r="H936" t="s">
        <v>72</v>
      </c>
      <c r="I936" t="s">
        <v>175</v>
      </c>
      <c r="J936" s="12">
        <v>0.33</v>
      </c>
      <c r="K936" t="s">
        <v>60</v>
      </c>
      <c r="L936" t="s">
        <v>11</v>
      </c>
      <c r="M936" t="s">
        <v>200</v>
      </c>
      <c r="O936" t="s">
        <v>205</v>
      </c>
      <c r="P936">
        <v>6</v>
      </c>
      <c r="Q936" t="s">
        <v>201</v>
      </c>
      <c r="R936" s="6">
        <v>0.96706701043064658</v>
      </c>
      <c r="S936" s="6">
        <v>22.52869665227508</v>
      </c>
      <c r="T936" s="6">
        <v>8.2822906245152694</v>
      </c>
      <c r="U936" s="6">
        <v>80.40613551435618</v>
      </c>
      <c r="V936" s="6">
        <v>0.43150736285709351</v>
      </c>
      <c r="W936" s="6">
        <v>18.173885856770184</v>
      </c>
      <c r="X936" s="6">
        <v>9.9391646731944583</v>
      </c>
      <c r="Y936" s="6">
        <v>95.514923181075048</v>
      </c>
    </row>
    <row r="937" spans="1:25" x14ac:dyDescent="0.25">
      <c r="A937" t="str">
        <f t="shared" si="14"/>
        <v>RTD Ice TeaFranceDecemberEUR (€)Fully-AutomatedOldPET Bottle0.33High-scaleLow</v>
      </c>
      <c r="B937" t="s">
        <v>130</v>
      </c>
      <c r="C937" t="s">
        <v>130</v>
      </c>
      <c r="D937" t="s">
        <v>15</v>
      </c>
      <c r="E937" s="12" t="s">
        <v>182</v>
      </c>
      <c r="F937" t="s">
        <v>187</v>
      </c>
      <c r="G937" t="s">
        <v>12</v>
      </c>
      <c r="H937" t="s">
        <v>72</v>
      </c>
      <c r="I937" t="s">
        <v>175</v>
      </c>
      <c r="J937" s="12">
        <v>0.33</v>
      </c>
      <c r="K937" t="s">
        <v>107</v>
      </c>
      <c r="L937" t="s">
        <v>13</v>
      </c>
      <c r="M937" t="s">
        <v>199</v>
      </c>
      <c r="O937" t="s">
        <v>205</v>
      </c>
      <c r="P937">
        <v>8</v>
      </c>
      <c r="Q937" t="s">
        <v>202</v>
      </c>
      <c r="R937" s="6">
        <v>0.892595654376799</v>
      </c>
      <c r="S937" s="6">
        <v>20.801068737140625</v>
      </c>
      <c r="T937" s="6">
        <v>7.6415995756648325</v>
      </c>
      <c r="U937" s="6">
        <v>74.195169572945233</v>
      </c>
      <c r="V937" s="6">
        <v>0.42212293262155165</v>
      </c>
      <c r="W937" s="6">
        <v>13.22597235428224</v>
      </c>
      <c r="X937" s="6">
        <v>8.9135503579343887</v>
      </c>
      <c r="Y937" s="6">
        <v>83.684491322770697</v>
      </c>
    </row>
    <row r="938" spans="1:25" x14ac:dyDescent="0.25">
      <c r="A938" t="str">
        <f t="shared" si="14"/>
        <v>RTD Ice TeaFranceDecemberEUR (€)Fully-AutomatedOldPET Bottle0.33High-scaleMedium</v>
      </c>
      <c r="B938" t="s">
        <v>130</v>
      </c>
      <c r="C938" t="s">
        <v>130</v>
      </c>
      <c r="D938" t="s">
        <v>15</v>
      </c>
      <c r="E938" s="12" t="s">
        <v>182</v>
      </c>
      <c r="F938" t="s">
        <v>187</v>
      </c>
      <c r="G938" t="s">
        <v>12</v>
      </c>
      <c r="H938" t="s">
        <v>72</v>
      </c>
      <c r="I938" t="s">
        <v>175</v>
      </c>
      <c r="J938" s="12">
        <v>0.33</v>
      </c>
      <c r="K938" t="s">
        <v>107</v>
      </c>
      <c r="L938" t="s">
        <v>63</v>
      </c>
      <c r="M938" t="s">
        <v>199</v>
      </c>
      <c r="O938" t="s">
        <v>205</v>
      </c>
      <c r="P938">
        <v>8</v>
      </c>
      <c r="Q938" t="s">
        <v>202</v>
      </c>
      <c r="R938" s="6">
        <v>0.92672540176735962</v>
      </c>
      <c r="S938" s="6">
        <v>21.596944037159815</v>
      </c>
      <c r="T938" s="6">
        <v>7.9335822243706549</v>
      </c>
      <c r="U938" s="6">
        <v>77.030777993436004</v>
      </c>
      <c r="V938" s="6">
        <v>0.43801198480862763</v>
      </c>
      <c r="W938" s="6">
        <v>13.721665126535544</v>
      </c>
      <c r="X938" s="6">
        <v>9.248618966747669</v>
      </c>
      <c r="Y938" s="6">
        <v>86.829318052410258</v>
      </c>
    </row>
    <row r="939" spans="1:25" x14ac:dyDescent="0.25">
      <c r="A939" t="str">
        <f t="shared" si="14"/>
        <v>RTD Ice TeaFranceDecemberEUR (€)Fully-AutomatedOldPET Bottle0.33High-scaleHigh</v>
      </c>
      <c r="B939" t="s">
        <v>130</v>
      </c>
      <c r="C939" t="s">
        <v>130</v>
      </c>
      <c r="D939" t="s">
        <v>15</v>
      </c>
      <c r="E939" s="12" t="s">
        <v>182</v>
      </c>
      <c r="F939" t="s">
        <v>187</v>
      </c>
      <c r="G939" t="s">
        <v>12</v>
      </c>
      <c r="H939" t="s">
        <v>72</v>
      </c>
      <c r="I939" t="s">
        <v>175</v>
      </c>
      <c r="J939" s="12">
        <v>0.33</v>
      </c>
      <c r="K939" t="s">
        <v>107</v>
      </c>
      <c r="L939" t="s">
        <v>11</v>
      </c>
      <c r="M939" t="s">
        <v>199</v>
      </c>
      <c r="O939" t="s">
        <v>205</v>
      </c>
      <c r="P939">
        <v>8</v>
      </c>
      <c r="Q939" t="s">
        <v>202</v>
      </c>
      <c r="R939" s="6">
        <v>0.96358552894916505</v>
      </c>
      <c r="S939" s="6">
        <v>22.45648936118053</v>
      </c>
      <c r="T939" s="6">
        <v>8.2489234849729414</v>
      </c>
      <c r="U939" s="6">
        <v>80.093235087566029</v>
      </c>
      <c r="V939" s="6">
        <v>0.45517216117066961</v>
      </c>
      <c r="W939" s="6">
        <v>14.25701332056911</v>
      </c>
      <c r="X939" s="6">
        <v>9.6104930642660111</v>
      </c>
      <c r="Y939" s="6">
        <v>90.225730920421</v>
      </c>
    </row>
    <row r="940" spans="1:25" x14ac:dyDescent="0.25">
      <c r="A940" t="str">
        <f t="shared" si="14"/>
        <v>RTD Ice TeaFranceDecemberEUR (€)Fully-AutomatedOldPET Bottle0.33Medium-scaleLow</v>
      </c>
      <c r="B940" t="s">
        <v>130</v>
      </c>
      <c r="C940" t="s">
        <v>130</v>
      </c>
      <c r="D940" t="s">
        <v>15</v>
      </c>
      <c r="E940" s="12" t="s">
        <v>182</v>
      </c>
      <c r="F940" t="s">
        <v>187</v>
      </c>
      <c r="G940" t="s">
        <v>12</v>
      </c>
      <c r="H940" t="s">
        <v>72</v>
      </c>
      <c r="I940" t="s">
        <v>175</v>
      </c>
      <c r="J940" s="12">
        <v>0.33</v>
      </c>
      <c r="K940" t="s">
        <v>62</v>
      </c>
      <c r="L940" t="s">
        <v>13</v>
      </c>
      <c r="M940" t="s">
        <v>199</v>
      </c>
      <c r="O940" t="s">
        <v>205</v>
      </c>
      <c r="P940">
        <v>8</v>
      </c>
      <c r="Q940" t="s">
        <v>202</v>
      </c>
      <c r="R940" s="6">
        <v>0.89390120993235456</v>
      </c>
      <c r="S940" s="6">
        <v>20.828146471301082</v>
      </c>
      <c r="T940" s="6">
        <v>7.6541122529932064</v>
      </c>
      <c r="U940" s="6">
        <v>74.312507232991535</v>
      </c>
      <c r="V940" s="6">
        <v>0.42321005383367288</v>
      </c>
      <c r="W940" s="6">
        <v>13.261926344474471</v>
      </c>
      <c r="X940" s="6">
        <v>8.9376418837599481</v>
      </c>
      <c r="Y940" s="6">
        <v>83.910773089804053</v>
      </c>
    </row>
    <row r="941" spans="1:25" x14ac:dyDescent="0.25">
      <c r="A941" t="str">
        <f t="shared" si="14"/>
        <v>RTD Ice TeaFranceDecemberEUR (€)Fully-AutomatedOldPET Bottle0.33Medium-scaleMedium</v>
      </c>
      <c r="B941" t="s">
        <v>130</v>
      </c>
      <c r="C941" t="s">
        <v>130</v>
      </c>
      <c r="D941" t="s">
        <v>15</v>
      </c>
      <c r="E941" s="12" t="s">
        <v>182</v>
      </c>
      <c r="F941" t="s">
        <v>187</v>
      </c>
      <c r="G941" t="s">
        <v>12</v>
      </c>
      <c r="H941" t="s">
        <v>72</v>
      </c>
      <c r="I941" t="s">
        <v>175</v>
      </c>
      <c r="J941" s="12">
        <v>0.33</v>
      </c>
      <c r="K941" t="s">
        <v>62</v>
      </c>
      <c r="L941" t="s">
        <v>63</v>
      </c>
      <c r="M941" t="s">
        <v>199</v>
      </c>
      <c r="O941" t="s">
        <v>205</v>
      </c>
      <c r="P941">
        <v>8</v>
      </c>
      <c r="Q941" t="s">
        <v>202</v>
      </c>
      <c r="R941" s="6">
        <v>0.9280309573229153</v>
      </c>
      <c r="S941" s="6">
        <v>21.624021771320269</v>
      </c>
      <c r="T941" s="6">
        <v>7.9460949016990279</v>
      </c>
      <c r="U941" s="6">
        <v>77.148115653482321</v>
      </c>
      <c r="V941" s="6">
        <v>0.43909910602074875</v>
      </c>
      <c r="W941" s="6">
        <v>13.757619116727774</v>
      </c>
      <c r="X941" s="6">
        <v>9.2727104925732302</v>
      </c>
      <c r="Y941" s="6">
        <v>87.0555998194436</v>
      </c>
    </row>
    <row r="942" spans="1:25" x14ac:dyDescent="0.25">
      <c r="A942" t="str">
        <f t="shared" si="14"/>
        <v>RTD Ice TeaFranceDecemberEUR (€)Fully-AutomatedOldPET Bottle0.33Medium-scaleHigh</v>
      </c>
      <c r="B942" t="s">
        <v>130</v>
      </c>
      <c r="C942" t="s">
        <v>130</v>
      </c>
      <c r="D942" t="s">
        <v>15</v>
      </c>
      <c r="E942" s="12" t="s">
        <v>182</v>
      </c>
      <c r="F942" t="s">
        <v>187</v>
      </c>
      <c r="G942" t="s">
        <v>12</v>
      </c>
      <c r="H942" t="s">
        <v>72</v>
      </c>
      <c r="I942" t="s">
        <v>175</v>
      </c>
      <c r="J942" s="12">
        <v>0.33</v>
      </c>
      <c r="K942" t="s">
        <v>62</v>
      </c>
      <c r="L942" t="s">
        <v>11</v>
      </c>
      <c r="M942" t="s">
        <v>199</v>
      </c>
      <c r="O942" t="s">
        <v>205</v>
      </c>
      <c r="P942">
        <v>8</v>
      </c>
      <c r="Q942" t="s">
        <v>202</v>
      </c>
      <c r="R942" s="6">
        <v>0.96489108450472072</v>
      </c>
      <c r="S942" s="6">
        <v>22.483567095340984</v>
      </c>
      <c r="T942" s="6">
        <v>8.2614361623013135</v>
      </c>
      <c r="U942" s="6">
        <v>80.210572747612346</v>
      </c>
      <c r="V942" s="6">
        <v>0.45625928238279084</v>
      </c>
      <c r="W942" s="6">
        <v>14.292967310761343</v>
      </c>
      <c r="X942" s="6">
        <v>9.6345845900915759</v>
      </c>
      <c r="Y942" s="6">
        <v>90.452012687454356</v>
      </c>
    </row>
    <row r="943" spans="1:25" x14ac:dyDescent="0.25">
      <c r="A943" t="str">
        <f t="shared" si="14"/>
        <v>RTD Ice TeaFranceDecemberEUR (€)Fully-AutomatedOldPET Bottle0.33Small-scaleLow</v>
      </c>
      <c r="B943" t="s">
        <v>130</v>
      </c>
      <c r="C943" t="s">
        <v>130</v>
      </c>
      <c r="D943" t="s">
        <v>15</v>
      </c>
      <c r="E943" s="12" t="s">
        <v>182</v>
      </c>
      <c r="F943" t="s">
        <v>187</v>
      </c>
      <c r="G943" t="s">
        <v>12</v>
      </c>
      <c r="H943" t="s">
        <v>72</v>
      </c>
      <c r="I943" t="s">
        <v>175</v>
      </c>
      <c r="J943" s="12">
        <v>0.33</v>
      </c>
      <c r="K943" t="s">
        <v>60</v>
      </c>
      <c r="L943" t="s">
        <v>13</v>
      </c>
      <c r="M943" t="s">
        <v>199</v>
      </c>
      <c r="O943" t="s">
        <v>205</v>
      </c>
      <c r="P943">
        <v>8</v>
      </c>
      <c r="Q943" t="s">
        <v>202</v>
      </c>
      <c r="R943" s="6">
        <v>0.89607713585828042</v>
      </c>
      <c r="S943" s="6">
        <v>20.873276028235175</v>
      </c>
      <c r="T943" s="6">
        <v>7.6749667152071641</v>
      </c>
      <c r="U943" s="6">
        <v>74.508069999735369</v>
      </c>
      <c r="V943" s="6">
        <v>0.4250219225205415</v>
      </c>
      <c r="W943" s="6">
        <v>13.321849661461528</v>
      </c>
      <c r="X943" s="6">
        <v>8.9777944268025518</v>
      </c>
      <c r="Y943" s="6">
        <v>84.287909368192913</v>
      </c>
    </row>
    <row r="944" spans="1:25" x14ac:dyDescent="0.25">
      <c r="A944" t="str">
        <f t="shared" si="14"/>
        <v>RTD Ice TeaFranceDecemberEUR (€)Fully-AutomatedOldPET Bottle0.33Small-scaleMedium</v>
      </c>
      <c r="B944" t="s">
        <v>130</v>
      </c>
      <c r="C944" t="s">
        <v>130</v>
      </c>
      <c r="D944" t="s">
        <v>15</v>
      </c>
      <c r="E944" s="12" t="s">
        <v>182</v>
      </c>
      <c r="F944" t="s">
        <v>187</v>
      </c>
      <c r="G944" t="s">
        <v>12</v>
      </c>
      <c r="H944" t="s">
        <v>72</v>
      </c>
      <c r="I944" t="s">
        <v>175</v>
      </c>
      <c r="J944" s="12">
        <v>0.33</v>
      </c>
      <c r="K944" t="s">
        <v>60</v>
      </c>
      <c r="L944" t="s">
        <v>63</v>
      </c>
      <c r="M944" t="s">
        <v>199</v>
      </c>
      <c r="O944" t="s">
        <v>205</v>
      </c>
      <c r="P944">
        <v>8</v>
      </c>
      <c r="Q944" t="s">
        <v>202</v>
      </c>
      <c r="R944" s="6">
        <v>0.93020688324884127</v>
      </c>
      <c r="S944" s="6">
        <v>21.669151328254358</v>
      </c>
      <c r="T944" s="6">
        <v>7.9669493639129847</v>
      </c>
      <c r="U944" s="6">
        <v>77.343678420226126</v>
      </c>
      <c r="V944" s="6">
        <v>0.44091097470761748</v>
      </c>
      <c r="W944" s="6">
        <v>13.817542433714827</v>
      </c>
      <c r="X944" s="6">
        <v>9.3128630356158304</v>
      </c>
      <c r="Y944" s="6">
        <v>87.432736097832489</v>
      </c>
    </row>
    <row r="945" spans="1:25" x14ac:dyDescent="0.25">
      <c r="A945" t="str">
        <f t="shared" si="14"/>
        <v>RTD Ice TeaFranceDecemberEUR (€)Fully-AutomatedOldPET Bottle0.33Small-scaleHigh</v>
      </c>
      <c r="B945" t="s">
        <v>130</v>
      </c>
      <c r="C945" t="s">
        <v>130</v>
      </c>
      <c r="D945" t="s">
        <v>15</v>
      </c>
      <c r="E945" s="12" t="s">
        <v>182</v>
      </c>
      <c r="F945" t="s">
        <v>187</v>
      </c>
      <c r="G945" t="s">
        <v>12</v>
      </c>
      <c r="H945" t="s">
        <v>72</v>
      </c>
      <c r="I945" t="s">
        <v>175</v>
      </c>
      <c r="J945" s="12">
        <v>0.33</v>
      </c>
      <c r="K945" t="s">
        <v>60</v>
      </c>
      <c r="L945" t="s">
        <v>11</v>
      </c>
      <c r="M945" t="s">
        <v>199</v>
      </c>
      <c r="O945" t="s">
        <v>205</v>
      </c>
      <c r="P945">
        <v>8</v>
      </c>
      <c r="Q945" t="s">
        <v>202</v>
      </c>
      <c r="R945" s="6">
        <v>0.96706701043064658</v>
      </c>
      <c r="S945" s="6">
        <v>22.52869665227508</v>
      </c>
      <c r="T945" s="6">
        <v>8.2822906245152694</v>
      </c>
      <c r="U945" s="6">
        <v>80.40613551435618</v>
      </c>
      <c r="V945" s="6">
        <v>0.45807115106965957</v>
      </c>
      <c r="W945" s="6">
        <v>14.352890627748396</v>
      </c>
      <c r="X945" s="6">
        <v>9.6747371331341743</v>
      </c>
      <c r="Y945" s="6">
        <v>90.829148965843217</v>
      </c>
    </row>
    <row r="946" spans="1:25" x14ac:dyDescent="0.25">
      <c r="A946" t="str">
        <f t="shared" si="14"/>
        <v>RTD Ice TeaFranceDecemberEUR (€)Fully-AutomatedOldPET Bottle0.33High-scaleLow</v>
      </c>
      <c r="B946" t="s">
        <v>130</v>
      </c>
      <c r="C946" t="s">
        <v>130</v>
      </c>
      <c r="D946" t="s">
        <v>15</v>
      </c>
      <c r="E946" s="12" t="s">
        <v>182</v>
      </c>
      <c r="F946" t="s">
        <v>187</v>
      </c>
      <c r="G946" t="s">
        <v>12</v>
      </c>
      <c r="H946" t="s">
        <v>72</v>
      </c>
      <c r="I946" t="s">
        <v>175</v>
      </c>
      <c r="J946" s="12">
        <v>0.33</v>
      </c>
      <c r="K946" t="s">
        <v>107</v>
      </c>
      <c r="L946" t="s">
        <v>13</v>
      </c>
      <c r="M946" t="s">
        <v>200</v>
      </c>
      <c r="O946" t="s">
        <v>205</v>
      </c>
      <c r="P946">
        <v>8</v>
      </c>
      <c r="Q946" t="s">
        <v>202</v>
      </c>
      <c r="R946" s="6">
        <v>0.892595654376799</v>
      </c>
      <c r="S946" s="6">
        <v>20.801068737140625</v>
      </c>
      <c r="T946" s="6">
        <v>7.6415995756648325</v>
      </c>
      <c r="U946" s="6">
        <v>74.195169572945233</v>
      </c>
      <c r="V946" s="6">
        <v>0.37759644490585986</v>
      </c>
      <c r="W946" s="6">
        <v>16.211497978112209</v>
      </c>
      <c r="X946" s="6">
        <v>8.8746691689181336</v>
      </c>
      <c r="Y946" s="6">
        <v>85.269803084799875</v>
      </c>
    </row>
    <row r="947" spans="1:25" x14ac:dyDescent="0.25">
      <c r="A947" t="str">
        <f t="shared" si="14"/>
        <v>RTD Ice TeaFranceDecemberEUR (€)Fully-AutomatedOldPET Bottle0.33High-scaleMedium</v>
      </c>
      <c r="B947" t="s">
        <v>130</v>
      </c>
      <c r="C947" t="s">
        <v>130</v>
      </c>
      <c r="D947" t="s">
        <v>15</v>
      </c>
      <c r="E947" s="12" t="s">
        <v>182</v>
      </c>
      <c r="F947" t="s">
        <v>187</v>
      </c>
      <c r="G947" t="s">
        <v>12</v>
      </c>
      <c r="H947" t="s">
        <v>72</v>
      </c>
      <c r="I947" t="s">
        <v>175</v>
      </c>
      <c r="J947" s="12">
        <v>0.33</v>
      </c>
      <c r="K947" t="s">
        <v>107</v>
      </c>
      <c r="L947" t="s">
        <v>63</v>
      </c>
      <c r="M947" t="s">
        <v>200</v>
      </c>
      <c r="O947" t="s">
        <v>205</v>
      </c>
      <c r="P947">
        <v>8</v>
      </c>
      <c r="Q947" t="s">
        <v>202</v>
      </c>
      <c r="R947" s="6">
        <v>0.92672540176735962</v>
      </c>
      <c r="S947" s="6">
        <v>21.596944037159815</v>
      </c>
      <c r="T947" s="6">
        <v>7.9335822243706549</v>
      </c>
      <c r="U947" s="6">
        <v>77.030777993436004</v>
      </c>
      <c r="V947" s="6">
        <v>0.39187443559959728</v>
      </c>
      <c r="W947" s="6">
        <v>16.822757633410035</v>
      </c>
      <c r="X947" s="6">
        <v>9.209979717035516</v>
      </c>
      <c r="Y947" s="6">
        <v>88.49073174391765</v>
      </c>
    </row>
    <row r="948" spans="1:25" x14ac:dyDescent="0.25">
      <c r="A948" t="str">
        <f t="shared" si="14"/>
        <v>RTD Ice TeaFranceDecemberEUR (€)Fully-AutomatedOldPET Bottle0.33High-scaleHigh</v>
      </c>
      <c r="B948" t="s">
        <v>130</v>
      </c>
      <c r="C948" t="s">
        <v>130</v>
      </c>
      <c r="D948" t="s">
        <v>15</v>
      </c>
      <c r="E948" s="12" t="s">
        <v>182</v>
      </c>
      <c r="F948" t="s">
        <v>187</v>
      </c>
      <c r="G948" t="s">
        <v>12</v>
      </c>
      <c r="H948" t="s">
        <v>72</v>
      </c>
      <c r="I948" t="s">
        <v>175</v>
      </c>
      <c r="J948" s="12">
        <v>0.33</v>
      </c>
      <c r="K948" t="s">
        <v>107</v>
      </c>
      <c r="L948" t="s">
        <v>11</v>
      </c>
      <c r="M948" t="s">
        <v>200</v>
      </c>
      <c r="O948" t="s">
        <v>205</v>
      </c>
      <c r="P948">
        <v>8</v>
      </c>
      <c r="Q948" t="s">
        <v>202</v>
      </c>
      <c r="R948" s="6">
        <v>0.96358552894916505</v>
      </c>
      <c r="S948" s="6">
        <v>22.45648936118053</v>
      </c>
      <c r="T948" s="6">
        <v>8.2489234849729414</v>
      </c>
      <c r="U948" s="6">
        <v>80.093235087566029</v>
      </c>
      <c r="V948" s="6">
        <v>0.40729466554883365</v>
      </c>
      <c r="W948" s="6">
        <v>17.482918061131681</v>
      </c>
      <c r="X948" s="6">
        <v>9.5721151090022882</v>
      </c>
      <c r="Y948" s="6">
        <v>91.969334695764857</v>
      </c>
    </row>
    <row r="949" spans="1:25" x14ac:dyDescent="0.25">
      <c r="A949" t="str">
        <f t="shared" si="14"/>
        <v>RTD Ice TeaFranceDecemberEUR (€)Fully-AutomatedOldPET Bottle0.33Medium-scaleLow</v>
      </c>
      <c r="B949" t="s">
        <v>130</v>
      </c>
      <c r="C949" t="s">
        <v>130</v>
      </c>
      <c r="D949" t="s">
        <v>15</v>
      </c>
      <c r="E949" s="12" t="s">
        <v>182</v>
      </c>
      <c r="F949" t="s">
        <v>187</v>
      </c>
      <c r="G949" t="s">
        <v>12</v>
      </c>
      <c r="H949" t="s">
        <v>72</v>
      </c>
      <c r="I949" t="s">
        <v>175</v>
      </c>
      <c r="J949" s="12">
        <v>0.33</v>
      </c>
      <c r="K949" t="s">
        <v>62</v>
      </c>
      <c r="L949" t="s">
        <v>13</v>
      </c>
      <c r="M949" t="s">
        <v>200</v>
      </c>
      <c r="O949" t="s">
        <v>205</v>
      </c>
      <c r="P949">
        <v>8</v>
      </c>
      <c r="Q949" t="s">
        <v>202</v>
      </c>
      <c r="R949" s="6">
        <v>0.89390120993235456</v>
      </c>
      <c r="S949" s="6">
        <v>20.828146471301082</v>
      </c>
      <c r="T949" s="6">
        <v>7.6541122529932064</v>
      </c>
      <c r="U949" s="6">
        <v>74.312507232991535</v>
      </c>
      <c r="V949" s="6">
        <v>0.37858255601697099</v>
      </c>
      <c r="W949" s="6">
        <v>16.254628353357404</v>
      </c>
      <c r="X949" s="6">
        <v>8.898760694743693</v>
      </c>
      <c r="Y949" s="6">
        <v>85.500683845552004</v>
      </c>
    </row>
    <row r="950" spans="1:25" x14ac:dyDescent="0.25">
      <c r="A950" t="str">
        <f t="shared" si="14"/>
        <v>RTD Ice TeaFranceDecemberEUR (€)Fully-AutomatedOldPET Bottle0.33Medium-scaleMedium</v>
      </c>
      <c r="B950" t="s">
        <v>130</v>
      </c>
      <c r="C950" t="s">
        <v>130</v>
      </c>
      <c r="D950" t="s">
        <v>15</v>
      </c>
      <c r="E950" s="12" t="s">
        <v>182</v>
      </c>
      <c r="F950" t="s">
        <v>187</v>
      </c>
      <c r="G950" t="s">
        <v>12</v>
      </c>
      <c r="H950" t="s">
        <v>72</v>
      </c>
      <c r="I950" t="s">
        <v>175</v>
      </c>
      <c r="J950" s="12">
        <v>0.33</v>
      </c>
      <c r="K950" t="s">
        <v>62</v>
      </c>
      <c r="L950" t="s">
        <v>63</v>
      </c>
      <c r="M950" t="s">
        <v>200</v>
      </c>
      <c r="O950" t="s">
        <v>205</v>
      </c>
      <c r="P950">
        <v>8</v>
      </c>
      <c r="Q950" t="s">
        <v>202</v>
      </c>
      <c r="R950" s="6">
        <v>0.9280309573229153</v>
      </c>
      <c r="S950" s="6">
        <v>21.624021771320269</v>
      </c>
      <c r="T950" s="6">
        <v>7.9460949016990279</v>
      </c>
      <c r="U950" s="6">
        <v>77.148115653482321</v>
      </c>
      <c r="V950" s="6">
        <v>0.39286054671070836</v>
      </c>
      <c r="W950" s="6">
        <v>16.865888008655229</v>
      </c>
      <c r="X950" s="6">
        <v>9.2340712428610772</v>
      </c>
      <c r="Y950" s="6">
        <v>88.721612504669764</v>
      </c>
    </row>
    <row r="951" spans="1:25" x14ac:dyDescent="0.25">
      <c r="A951" t="str">
        <f t="shared" si="14"/>
        <v>RTD Ice TeaFranceDecemberEUR (€)Fully-AutomatedOldPET Bottle0.33Medium-scaleHigh</v>
      </c>
      <c r="B951" t="s">
        <v>130</v>
      </c>
      <c r="C951" t="s">
        <v>130</v>
      </c>
      <c r="D951" t="s">
        <v>15</v>
      </c>
      <c r="E951" s="12" t="s">
        <v>182</v>
      </c>
      <c r="F951" t="s">
        <v>187</v>
      </c>
      <c r="G951" t="s">
        <v>12</v>
      </c>
      <c r="H951" t="s">
        <v>72</v>
      </c>
      <c r="I951" t="s">
        <v>175</v>
      </c>
      <c r="J951" s="12">
        <v>0.33</v>
      </c>
      <c r="K951" t="s">
        <v>62</v>
      </c>
      <c r="L951" t="s">
        <v>11</v>
      </c>
      <c r="M951" t="s">
        <v>200</v>
      </c>
      <c r="O951" t="s">
        <v>205</v>
      </c>
      <c r="P951">
        <v>8</v>
      </c>
      <c r="Q951" t="s">
        <v>202</v>
      </c>
      <c r="R951" s="6">
        <v>0.96489108450472072</v>
      </c>
      <c r="S951" s="6">
        <v>22.483567095340984</v>
      </c>
      <c r="T951" s="6">
        <v>8.2614361623013135</v>
      </c>
      <c r="U951" s="6">
        <v>80.210572747612346</v>
      </c>
      <c r="V951" s="6">
        <v>0.40828077665994478</v>
      </c>
      <c r="W951" s="6">
        <v>17.526048436376879</v>
      </c>
      <c r="X951" s="6">
        <v>9.596206634827853</v>
      </c>
      <c r="Y951" s="6">
        <v>92.200215456516986</v>
      </c>
    </row>
    <row r="952" spans="1:25" x14ac:dyDescent="0.25">
      <c r="A952" t="str">
        <f t="shared" si="14"/>
        <v>RTD Ice TeaFranceDecemberEUR (€)Fully-AutomatedOldPET Bottle0.33Small-scaleLow</v>
      </c>
      <c r="B952" t="s">
        <v>130</v>
      </c>
      <c r="C952" t="s">
        <v>130</v>
      </c>
      <c r="D952" t="s">
        <v>15</v>
      </c>
      <c r="E952" s="12" t="s">
        <v>182</v>
      </c>
      <c r="F952" t="s">
        <v>187</v>
      </c>
      <c r="G952" t="s">
        <v>12</v>
      </c>
      <c r="H952" t="s">
        <v>72</v>
      </c>
      <c r="I952" t="s">
        <v>175</v>
      </c>
      <c r="J952" s="12">
        <v>0.33</v>
      </c>
      <c r="K952" t="s">
        <v>60</v>
      </c>
      <c r="L952" t="s">
        <v>13</v>
      </c>
      <c r="M952" t="s">
        <v>200</v>
      </c>
      <c r="O952" t="s">
        <v>205</v>
      </c>
      <c r="P952">
        <v>8</v>
      </c>
      <c r="Q952" t="s">
        <v>202</v>
      </c>
      <c r="R952" s="6">
        <v>0.89607713585828042</v>
      </c>
      <c r="S952" s="6">
        <v>20.873276028235175</v>
      </c>
      <c r="T952" s="6">
        <v>7.6749667152071641</v>
      </c>
      <c r="U952" s="6">
        <v>74.508069999735369</v>
      </c>
      <c r="V952" s="6">
        <v>0.38022607453548946</v>
      </c>
      <c r="W952" s="6">
        <v>16.326512312099396</v>
      </c>
      <c r="X952" s="6">
        <v>8.938913237786295</v>
      </c>
      <c r="Y952" s="6">
        <v>85.885485113472157</v>
      </c>
    </row>
    <row r="953" spans="1:25" x14ac:dyDescent="0.25">
      <c r="A953" t="str">
        <f t="shared" si="14"/>
        <v>RTD Ice TeaFranceDecemberEUR (€)Fully-AutomatedOldPET Bottle0.33Small-scaleMedium</v>
      </c>
      <c r="B953" t="s">
        <v>130</v>
      </c>
      <c r="C953" t="s">
        <v>130</v>
      </c>
      <c r="D953" t="s">
        <v>15</v>
      </c>
      <c r="E953" s="12" t="s">
        <v>182</v>
      </c>
      <c r="F953" t="s">
        <v>187</v>
      </c>
      <c r="G953" t="s">
        <v>12</v>
      </c>
      <c r="H953" t="s">
        <v>72</v>
      </c>
      <c r="I953" t="s">
        <v>175</v>
      </c>
      <c r="J953" s="12">
        <v>0.33</v>
      </c>
      <c r="K953" t="s">
        <v>60</v>
      </c>
      <c r="L953" t="s">
        <v>63</v>
      </c>
      <c r="M953" t="s">
        <v>200</v>
      </c>
      <c r="O953" t="s">
        <v>205</v>
      </c>
      <c r="P953">
        <v>8</v>
      </c>
      <c r="Q953" t="s">
        <v>202</v>
      </c>
      <c r="R953" s="6">
        <v>0.93020688324884127</v>
      </c>
      <c r="S953" s="6">
        <v>21.669151328254358</v>
      </c>
      <c r="T953" s="6">
        <v>7.9669493639129847</v>
      </c>
      <c r="U953" s="6">
        <v>77.343678420226126</v>
      </c>
      <c r="V953" s="6">
        <v>0.39450406522922687</v>
      </c>
      <c r="W953" s="6">
        <v>16.937771967397218</v>
      </c>
      <c r="X953" s="6">
        <v>9.2742237859036791</v>
      </c>
      <c r="Y953" s="6">
        <v>89.106413772589931</v>
      </c>
    </row>
    <row r="954" spans="1:25" x14ac:dyDescent="0.25">
      <c r="A954" t="str">
        <f t="shared" si="14"/>
        <v>RTD Ice TeaFranceDecemberEUR (€)Fully-AutomatedOldPET Bottle0.33Small-scaleHigh</v>
      </c>
      <c r="B954" t="s">
        <v>130</v>
      </c>
      <c r="C954" t="s">
        <v>130</v>
      </c>
      <c r="D954" t="s">
        <v>15</v>
      </c>
      <c r="E954" s="12" t="s">
        <v>182</v>
      </c>
      <c r="F954" t="s">
        <v>187</v>
      </c>
      <c r="G954" t="s">
        <v>12</v>
      </c>
      <c r="H954" t="s">
        <v>72</v>
      </c>
      <c r="I954" t="s">
        <v>175</v>
      </c>
      <c r="J954" s="12">
        <v>0.33</v>
      </c>
      <c r="K954" t="s">
        <v>60</v>
      </c>
      <c r="L954" t="s">
        <v>11</v>
      </c>
      <c r="M954" t="s">
        <v>200</v>
      </c>
      <c r="O954" t="s">
        <v>205</v>
      </c>
      <c r="P954">
        <v>8</v>
      </c>
      <c r="Q954" t="s">
        <v>202</v>
      </c>
      <c r="R954" s="6">
        <v>0.96706701043064658</v>
      </c>
      <c r="S954" s="6">
        <v>22.52869665227508</v>
      </c>
      <c r="T954" s="6">
        <v>8.2822906245152694</v>
      </c>
      <c r="U954" s="6">
        <v>80.40613551435618</v>
      </c>
      <c r="V954" s="6">
        <v>0.40992429517846329</v>
      </c>
      <c r="W954" s="6">
        <v>17.597932395118868</v>
      </c>
      <c r="X954" s="6">
        <v>9.6363591778704514</v>
      </c>
      <c r="Y954" s="6">
        <v>92.585016724437139</v>
      </c>
    </row>
    <row r="955" spans="1:25" x14ac:dyDescent="0.25">
      <c r="A955" t="str">
        <f t="shared" si="14"/>
        <v>RTD Ice TeaFranceDecemberEUR (€)Fully-AutomatedOldPET Bottle0.33High-scaleLow</v>
      </c>
      <c r="B955" t="s">
        <v>130</v>
      </c>
      <c r="C955" t="s">
        <v>130</v>
      </c>
      <c r="D955" t="s">
        <v>15</v>
      </c>
      <c r="E955" s="12" t="s">
        <v>182</v>
      </c>
      <c r="F955" t="s">
        <v>187</v>
      </c>
      <c r="G955" t="s">
        <v>12</v>
      </c>
      <c r="H955" t="s">
        <v>72</v>
      </c>
      <c r="I955" t="s">
        <v>175</v>
      </c>
      <c r="J955" s="12">
        <v>0.33</v>
      </c>
      <c r="K955" t="s">
        <v>107</v>
      </c>
      <c r="L955" t="s">
        <v>13</v>
      </c>
      <c r="M955" t="s">
        <v>199</v>
      </c>
      <c r="O955" t="s">
        <v>205</v>
      </c>
      <c r="P955">
        <v>12</v>
      </c>
      <c r="Q955" t="s">
        <v>203</v>
      </c>
      <c r="R955" s="6">
        <v>0.892595654376799</v>
      </c>
      <c r="S955" s="6">
        <v>20.801068737140625</v>
      </c>
      <c r="T955" s="6">
        <v>7.6415995756648325</v>
      </c>
      <c r="U955" s="6">
        <v>74.195169572945233</v>
      </c>
      <c r="V955" s="6">
        <v>0.4015508365226394</v>
      </c>
      <c r="W955" s="6">
        <v>12.676997104886924</v>
      </c>
      <c r="X955" s="6">
        <v>8.6249285622824203</v>
      </c>
      <c r="Y955" s="6">
        <v>80.891824493186633</v>
      </c>
    </row>
    <row r="956" spans="1:25" x14ac:dyDescent="0.25">
      <c r="A956" t="str">
        <f t="shared" si="14"/>
        <v>RTD Ice TeaFranceDecemberEUR (€)Fully-AutomatedOldPET Bottle0.33High-scaleMedium</v>
      </c>
      <c r="B956" t="s">
        <v>130</v>
      </c>
      <c r="C956" t="s">
        <v>130</v>
      </c>
      <c r="D956" t="s">
        <v>15</v>
      </c>
      <c r="E956" s="12" t="s">
        <v>182</v>
      </c>
      <c r="F956" t="s">
        <v>187</v>
      </c>
      <c r="G956" t="s">
        <v>12</v>
      </c>
      <c r="H956" t="s">
        <v>72</v>
      </c>
      <c r="I956" t="s">
        <v>175</v>
      </c>
      <c r="J956" s="12">
        <v>0.33</v>
      </c>
      <c r="K956" t="s">
        <v>107</v>
      </c>
      <c r="L956" t="s">
        <v>63</v>
      </c>
      <c r="M956" t="s">
        <v>199</v>
      </c>
      <c r="O956" t="s">
        <v>205</v>
      </c>
      <c r="P956">
        <v>12</v>
      </c>
      <c r="Q956" t="s">
        <v>203</v>
      </c>
      <c r="R956" s="6">
        <v>0.92672540176735962</v>
      </c>
      <c r="S956" s="6">
        <v>21.596944037159815</v>
      </c>
      <c r="T956" s="6">
        <v>7.9335822243706549</v>
      </c>
      <c r="U956" s="6">
        <v>77.030777993436004</v>
      </c>
      <c r="V956" s="6">
        <v>0.41664865424437258</v>
      </c>
      <c r="W956" s="6">
        <v>13.151575444471177</v>
      </c>
      <c r="X956" s="6">
        <v>8.9488963328013948</v>
      </c>
      <c r="Y956" s="6">
        <v>83.929240960149883</v>
      </c>
    </row>
    <row r="957" spans="1:25" x14ac:dyDescent="0.25">
      <c r="A957" t="str">
        <f t="shared" si="14"/>
        <v>RTD Ice TeaFranceDecemberEUR (€)Fully-AutomatedOldPET Bottle0.33High-scaleHigh</v>
      </c>
      <c r="B957" t="s">
        <v>130</v>
      </c>
      <c r="C957" t="s">
        <v>130</v>
      </c>
      <c r="D957" t="s">
        <v>15</v>
      </c>
      <c r="E957" s="12" t="s">
        <v>182</v>
      </c>
      <c r="F957" t="s">
        <v>187</v>
      </c>
      <c r="G957" t="s">
        <v>12</v>
      </c>
      <c r="H957" t="s">
        <v>72</v>
      </c>
      <c r="I957" t="s">
        <v>175</v>
      </c>
      <c r="J957" s="12">
        <v>0.33</v>
      </c>
      <c r="K957" t="s">
        <v>107</v>
      </c>
      <c r="L957" t="s">
        <v>11</v>
      </c>
      <c r="M957" t="s">
        <v>199</v>
      </c>
      <c r="O957" t="s">
        <v>205</v>
      </c>
      <c r="P957">
        <v>12</v>
      </c>
      <c r="Q957" t="s">
        <v>203</v>
      </c>
      <c r="R957" s="6">
        <v>0.96358552894916505</v>
      </c>
      <c r="S957" s="6">
        <v>22.45648936118053</v>
      </c>
      <c r="T957" s="6">
        <v>8.2489234849729414</v>
      </c>
      <c r="U957" s="6">
        <v>80.093235087566029</v>
      </c>
      <c r="V957" s="6">
        <v>0.43295429738384439</v>
      </c>
      <c r="W957" s="6">
        <v>13.664120051222168</v>
      </c>
      <c r="X957" s="6">
        <v>9.2987815249618873</v>
      </c>
      <c r="Y957" s="6">
        <v>87.209650744470196</v>
      </c>
    </row>
    <row r="958" spans="1:25" x14ac:dyDescent="0.25">
      <c r="A958" t="str">
        <f t="shared" si="14"/>
        <v>RTD Ice TeaFranceDecemberEUR (€)Fully-AutomatedOldPET Bottle0.33Medium-scaleLow</v>
      </c>
      <c r="B958" t="s">
        <v>130</v>
      </c>
      <c r="C958" t="s">
        <v>130</v>
      </c>
      <c r="D958" t="s">
        <v>15</v>
      </c>
      <c r="E958" s="12" t="s">
        <v>182</v>
      </c>
      <c r="F958" t="s">
        <v>187</v>
      </c>
      <c r="G958" t="s">
        <v>12</v>
      </c>
      <c r="H958" t="s">
        <v>72</v>
      </c>
      <c r="I958" t="s">
        <v>175</v>
      </c>
      <c r="J958" s="12">
        <v>0.33</v>
      </c>
      <c r="K958" t="s">
        <v>62</v>
      </c>
      <c r="L958" t="s">
        <v>13</v>
      </c>
      <c r="M958" t="s">
        <v>199</v>
      </c>
      <c r="O958" t="s">
        <v>205</v>
      </c>
      <c r="P958">
        <v>12</v>
      </c>
      <c r="Q958" t="s">
        <v>203</v>
      </c>
      <c r="R958" s="6">
        <v>0.89390120993235456</v>
      </c>
      <c r="S958" s="6">
        <v>20.828146471301082</v>
      </c>
      <c r="T958" s="6">
        <v>7.6541122529932064</v>
      </c>
      <c r="U958" s="6">
        <v>74.312507232991535</v>
      </c>
      <c r="V958" s="6">
        <v>0.40263795773476058</v>
      </c>
      <c r="W958" s="6">
        <v>12.712951095079156</v>
      </c>
      <c r="X958" s="6">
        <v>8.6490200881079815</v>
      </c>
      <c r="Y958" s="6">
        <v>81.118106260219975</v>
      </c>
    </row>
    <row r="959" spans="1:25" x14ac:dyDescent="0.25">
      <c r="A959" t="str">
        <f t="shared" si="14"/>
        <v>RTD Ice TeaFranceDecemberEUR (€)Fully-AutomatedOldPET Bottle0.33Medium-scaleMedium</v>
      </c>
      <c r="B959" t="s">
        <v>130</v>
      </c>
      <c r="C959" t="s">
        <v>130</v>
      </c>
      <c r="D959" t="s">
        <v>15</v>
      </c>
      <c r="E959" s="12" t="s">
        <v>182</v>
      </c>
      <c r="F959" t="s">
        <v>187</v>
      </c>
      <c r="G959" t="s">
        <v>12</v>
      </c>
      <c r="H959" t="s">
        <v>72</v>
      </c>
      <c r="I959" t="s">
        <v>175</v>
      </c>
      <c r="J959" s="12">
        <v>0.33</v>
      </c>
      <c r="K959" t="s">
        <v>62</v>
      </c>
      <c r="L959" t="s">
        <v>63</v>
      </c>
      <c r="M959" t="s">
        <v>199</v>
      </c>
      <c r="O959" t="s">
        <v>205</v>
      </c>
      <c r="P959">
        <v>12</v>
      </c>
      <c r="Q959" t="s">
        <v>203</v>
      </c>
      <c r="R959" s="6">
        <v>0.9280309573229153</v>
      </c>
      <c r="S959" s="6">
        <v>21.624021771320269</v>
      </c>
      <c r="T959" s="6">
        <v>7.9460949016990279</v>
      </c>
      <c r="U959" s="6">
        <v>77.148115653482321</v>
      </c>
      <c r="V959" s="6">
        <v>0.41773577545649371</v>
      </c>
      <c r="W959" s="6">
        <v>13.187529434663407</v>
      </c>
      <c r="X959" s="6">
        <v>8.9729878586269578</v>
      </c>
      <c r="Y959" s="6">
        <v>84.155522727183225</v>
      </c>
    </row>
    <row r="960" spans="1:25" x14ac:dyDescent="0.25">
      <c r="A960" t="str">
        <f t="shared" si="14"/>
        <v>RTD Ice TeaFranceDecemberEUR (€)Fully-AutomatedOldPET Bottle0.33Medium-scaleHigh</v>
      </c>
      <c r="B960" t="s">
        <v>130</v>
      </c>
      <c r="C960" t="s">
        <v>130</v>
      </c>
      <c r="D960" t="s">
        <v>15</v>
      </c>
      <c r="E960" s="12" t="s">
        <v>182</v>
      </c>
      <c r="F960" t="s">
        <v>187</v>
      </c>
      <c r="G960" t="s">
        <v>12</v>
      </c>
      <c r="H960" t="s">
        <v>72</v>
      </c>
      <c r="I960" t="s">
        <v>175</v>
      </c>
      <c r="J960" s="12">
        <v>0.33</v>
      </c>
      <c r="K960" t="s">
        <v>62</v>
      </c>
      <c r="L960" t="s">
        <v>11</v>
      </c>
      <c r="M960" t="s">
        <v>199</v>
      </c>
      <c r="O960" t="s">
        <v>205</v>
      </c>
      <c r="P960">
        <v>12</v>
      </c>
      <c r="Q960" t="s">
        <v>203</v>
      </c>
      <c r="R960" s="6">
        <v>0.96489108450472072</v>
      </c>
      <c r="S960" s="6">
        <v>22.483567095340984</v>
      </c>
      <c r="T960" s="6">
        <v>8.2614361623013135</v>
      </c>
      <c r="U960" s="6">
        <v>80.210572747612346</v>
      </c>
      <c r="V960" s="6">
        <v>0.43404141859596562</v>
      </c>
      <c r="W960" s="6">
        <v>13.700074041414402</v>
      </c>
      <c r="X960" s="6">
        <v>9.3228730507874502</v>
      </c>
      <c r="Y960" s="6">
        <v>87.435932511503552</v>
      </c>
    </row>
    <row r="961" spans="1:25" x14ac:dyDescent="0.25">
      <c r="A961" t="str">
        <f t="shared" si="14"/>
        <v>RTD Ice TeaFranceDecemberEUR (€)Fully-AutomatedOldPET Bottle0.33Small-scaleLow</v>
      </c>
      <c r="B961" t="s">
        <v>130</v>
      </c>
      <c r="C961" t="s">
        <v>130</v>
      </c>
      <c r="D961" t="s">
        <v>15</v>
      </c>
      <c r="E961" s="12" t="s">
        <v>182</v>
      </c>
      <c r="F961" t="s">
        <v>187</v>
      </c>
      <c r="G961" t="s">
        <v>12</v>
      </c>
      <c r="H961" t="s">
        <v>72</v>
      </c>
      <c r="I961" t="s">
        <v>175</v>
      </c>
      <c r="J961" s="12">
        <v>0.33</v>
      </c>
      <c r="K961" t="s">
        <v>60</v>
      </c>
      <c r="L961" t="s">
        <v>13</v>
      </c>
      <c r="M961" t="s">
        <v>199</v>
      </c>
      <c r="O961" t="s">
        <v>205</v>
      </c>
      <c r="P961">
        <v>12</v>
      </c>
      <c r="Q961" t="s">
        <v>203</v>
      </c>
      <c r="R961" s="6">
        <v>0.89607713585828042</v>
      </c>
      <c r="S961" s="6">
        <v>20.873276028235175</v>
      </c>
      <c r="T961" s="6">
        <v>7.6749667152071641</v>
      </c>
      <c r="U961" s="6">
        <v>74.508069999735369</v>
      </c>
      <c r="V961" s="6">
        <v>0.40444982642162924</v>
      </c>
      <c r="W961" s="6">
        <v>12.77287441206621</v>
      </c>
      <c r="X961" s="6">
        <v>8.6891726311505835</v>
      </c>
      <c r="Y961" s="6">
        <v>81.495242538608863</v>
      </c>
    </row>
    <row r="962" spans="1:25" x14ac:dyDescent="0.25">
      <c r="A962" t="str">
        <f t="shared" ref="A962:A1025" si="15">C962&amp;D962&amp;E962&amp;F962&amp;G962&amp;H962&amp;I962&amp;J962&amp;K962&amp;L962</f>
        <v>RTD Ice TeaFranceDecemberEUR (€)Fully-AutomatedOldPET Bottle0.33Small-scaleMedium</v>
      </c>
      <c r="B962" t="s">
        <v>130</v>
      </c>
      <c r="C962" t="s">
        <v>130</v>
      </c>
      <c r="D962" t="s">
        <v>15</v>
      </c>
      <c r="E962" s="12" t="s">
        <v>182</v>
      </c>
      <c r="F962" t="s">
        <v>187</v>
      </c>
      <c r="G962" t="s">
        <v>12</v>
      </c>
      <c r="H962" t="s">
        <v>72</v>
      </c>
      <c r="I962" t="s">
        <v>175</v>
      </c>
      <c r="J962" s="12">
        <v>0.33</v>
      </c>
      <c r="K962" t="s">
        <v>60</v>
      </c>
      <c r="L962" t="s">
        <v>63</v>
      </c>
      <c r="M962" t="s">
        <v>199</v>
      </c>
      <c r="O962" t="s">
        <v>205</v>
      </c>
      <c r="P962">
        <v>12</v>
      </c>
      <c r="Q962" t="s">
        <v>203</v>
      </c>
      <c r="R962" s="6">
        <v>0.93020688324884127</v>
      </c>
      <c r="S962" s="6">
        <v>21.669151328254358</v>
      </c>
      <c r="T962" s="6">
        <v>7.9669493639129847</v>
      </c>
      <c r="U962" s="6">
        <v>77.343678420226126</v>
      </c>
      <c r="V962" s="6">
        <v>0.41954764414336249</v>
      </c>
      <c r="W962" s="6">
        <v>13.24745275165046</v>
      </c>
      <c r="X962" s="6">
        <v>9.013140401669558</v>
      </c>
      <c r="Y962" s="6">
        <v>84.532659005572128</v>
      </c>
    </row>
    <row r="963" spans="1:25" x14ac:dyDescent="0.25">
      <c r="A963" t="str">
        <f t="shared" si="15"/>
        <v>RTD Ice TeaFranceDecemberEUR (€)Fully-AutomatedOldPET Bottle0.33Small-scaleHigh</v>
      </c>
      <c r="B963" t="s">
        <v>130</v>
      </c>
      <c r="C963" t="s">
        <v>130</v>
      </c>
      <c r="D963" t="s">
        <v>15</v>
      </c>
      <c r="E963" s="12" t="s">
        <v>182</v>
      </c>
      <c r="F963" t="s">
        <v>187</v>
      </c>
      <c r="G963" t="s">
        <v>12</v>
      </c>
      <c r="H963" t="s">
        <v>72</v>
      </c>
      <c r="I963" t="s">
        <v>175</v>
      </c>
      <c r="J963" s="12">
        <v>0.33</v>
      </c>
      <c r="K963" t="s">
        <v>60</v>
      </c>
      <c r="L963" t="s">
        <v>11</v>
      </c>
      <c r="M963" t="s">
        <v>199</v>
      </c>
      <c r="O963" t="s">
        <v>205</v>
      </c>
      <c r="P963">
        <v>12</v>
      </c>
      <c r="Q963" t="s">
        <v>203</v>
      </c>
      <c r="R963" s="6">
        <v>0.96706701043064658</v>
      </c>
      <c r="S963" s="6">
        <v>22.52869665227508</v>
      </c>
      <c r="T963" s="6">
        <v>8.2822906245152694</v>
      </c>
      <c r="U963" s="6">
        <v>80.40613551435618</v>
      </c>
      <c r="V963" s="6">
        <v>0.43585328728283435</v>
      </c>
      <c r="W963" s="6">
        <v>13.759997358401455</v>
      </c>
      <c r="X963" s="6">
        <v>9.3630255938300504</v>
      </c>
      <c r="Y963" s="6">
        <v>87.813068789892441</v>
      </c>
    </row>
    <row r="964" spans="1:25" x14ac:dyDescent="0.25">
      <c r="A964" t="str">
        <f t="shared" si="15"/>
        <v>RTD Ice TeaFranceDecemberEUR (€)Fully-AutomatedOldPET Bottle0.33High-scaleLow</v>
      </c>
      <c r="B964" t="s">
        <v>130</v>
      </c>
      <c r="C964" t="s">
        <v>130</v>
      </c>
      <c r="D964" t="s">
        <v>15</v>
      </c>
      <c r="E964" s="12" t="s">
        <v>182</v>
      </c>
      <c r="F964" t="s">
        <v>187</v>
      </c>
      <c r="G964" t="s">
        <v>12</v>
      </c>
      <c r="H964" t="s">
        <v>72</v>
      </c>
      <c r="I964" t="s">
        <v>175</v>
      </c>
      <c r="J964" s="12">
        <v>0.33</v>
      </c>
      <c r="K964" t="s">
        <v>107</v>
      </c>
      <c r="L964" t="s">
        <v>13</v>
      </c>
      <c r="M964" t="s">
        <v>200</v>
      </c>
      <c r="O964" t="s">
        <v>205</v>
      </c>
      <c r="P964">
        <v>12</v>
      </c>
      <c r="Q964" t="s">
        <v>203</v>
      </c>
      <c r="R964" s="6">
        <v>0.892595654376799</v>
      </c>
      <c r="S964" s="6">
        <v>20.801068737140625</v>
      </c>
      <c r="T964" s="6">
        <v>7.6415995756648325</v>
      </c>
      <c r="U964" s="6">
        <v>74.195169572945233</v>
      </c>
      <c r="V964" s="6">
        <v>0.35702434880694761</v>
      </c>
      <c r="W964" s="6">
        <v>15.662522728716892</v>
      </c>
      <c r="X964" s="6">
        <v>8.5860473732661653</v>
      </c>
      <c r="Y964" s="6">
        <v>82.477136255215811</v>
      </c>
    </row>
    <row r="965" spans="1:25" x14ac:dyDescent="0.25">
      <c r="A965" t="str">
        <f t="shared" si="15"/>
        <v>RTD Ice TeaFranceDecemberEUR (€)Fully-AutomatedOldPET Bottle0.33High-scaleMedium</v>
      </c>
      <c r="B965" t="s">
        <v>130</v>
      </c>
      <c r="C965" t="s">
        <v>130</v>
      </c>
      <c r="D965" t="s">
        <v>15</v>
      </c>
      <c r="E965" s="12" t="s">
        <v>182</v>
      </c>
      <c r="F965" t="s">
        <v>187</v>
      </c>
      <c r="G965" t="s">
        <v>12</v>
      </c>
      <c r="H965" t="s">
        <v>72</v>
      </c>
      <c r="I965" t="s">
        <v>175</v>
      </c>
      <c r="J965" s="12">
        <v>0.33</v>
      </c>
      <c r="K965" t="s">
        <v>107</v>
      </c>
      <c r="L965" t="s">
        <v>63</v>
      </c>
      <c r="M965" t="s">
        <v>200</v>
      </c>
      <c r="O965" t="s">
        <v>205</v>
      </c>
      <c r="P965">
        <v>12</v>
      </c>
      <c r="Q965" t="s">
        <v>203</v>
      </c>
      <c r="R965" s="6">
        <v>0.92672540176735962</v>
      </c>
      <c r="S965" s="6">
        <v>21.596944037159815</v>
      </c>
      <c r="T965" s="6">
        <v>7.9335822243706549</v>
      </c>
      <c r="U965" s="6">
        <v>77.030777993436004</v>
      </c>
      <c r="V965" s="6">
        <v>0.37051110503534224</v>
      </c>
      <c r="W965" s="6">
        <v>16.252667951345668</v>
      </c>
      <c r="X965" s="6">
        <v>8.9102570830892436</v>
      </c>
      <c r="Y965" s="6">
        <v>85.590654651657289</v>
      </c>
    </row>
    <row r="966" spans="1:25" x14ac:dyDescent="0.25">
      <c r="A966" t="str">
        <f t="shared" si="15"/>
        <v>RTD Ice TeaFranceDecemberEUR (€)Fully-AutomatedOldPET Bottle0.33High-scaleHigh</v>
      </c>
      <c r="B966" t="s">
        <v>130</v>
      </c>
      <c r="C966" t="s">
        <v>130</v>
      </c>
      <c r="D966" t="s">
        <v>15</v>
      </c>
      <c r="E966" s="12" t="s">
        <v>182</v>
      </c>
      <c r="F966" t="s">
        <v>187</v>
      </c>
      <c r="G966" t="s">
        <v>12</v>
      </c>
      <c r="H966" t="s">
        <v>72</v>
      </c>
      <c r="I966" t="s">
        <v>175</v>
      </c>
      <c r="J966" s="12">
        <v>0.33</v>
      </c>
      <c r="K966" t="s">
        <v>107</v>
      </c>
      <c r="L966" t="s">
        <v>11</v>
      </c>
      <c r="M966" t="s">
        <v>200</v>
      </c>
      <c r="O966" t="s">
        <v>205</v>
      </c>
      <c r="P966">
        <v>12</v>
      </c>
      <c r="Q966" t="s">
        <v>203</v>
      </c>
      <c r="R966" s="6">
        <v>0.96358552894916505</v>
      </c>
      <c r="S966" s="6">
        <v>22.45648936118053</v>
      </c>
      <c r="T966" s="6">
        <v>8.2489234849729414</v>
      </c>
      <c r="U966" s="6">
        <v>80.093235087566029</v>
      </c>
      <c r="V966" s="6">
        <v>0.38507680176200842</v>
      </c>
      <c r="W966" s="6">
        <v>16.890024791784739</v>
      </c>
      <c r="X966" s="6">
        <v>9.2604035696981644</v>
      </c>
      <c r="Y966" s="6">
        <v>88.953254519814067</v>
      </c>
    </row>
    <row r="967" spans="1:25" x14ac:dyDescent="0.25">
      <c r="A967" t="str">
        <f t="shared" si="15"/>
        <v>RTD Ice TeaFranceDecemberEUR (€)Fully-AutomatedOldPET Bottle0.33Medium-scaleLow</v>
      </c>
      <c r="B967" t="s">
        <v>130</v>
      </c>
      <c r="C967" t="s">
        <v>130</v>
      </c>
      <c r="D967" t="s">
        <v>15</v>
      </c>
      <c r="E967" s="12" t="s">
        <v>182</v>
      </c>
      <c r="F967" t="s">
        <v>187</v>
      </c>
      <c r="G967" t="s">
        <v>12</v>
      </c>
      <c r="H967" t="s">
        <v>72</v>
      </c>
      <c r="I967" t="s">
        <v>175</v>
      </c>
      <c r="J967" s="12">
        <v>0.33</v>
      </c>
      <c r="K967" t="s">
        <v>62</v>
      </c>
      <c r="L967" t="s">
        <v>13</v>
      </c>
      <c r="M967" t="s">
        <v>200</v>
      </c>
      <c r="O967" t="s">
        <v>205</v>
      </c>
      <c r="P967">
        <v>12</v>
      </c>
      <c r="Q967" t="s">
        <v>203</v>
      </c>
      <c r="R967" s="6">
        <v>0.89390120993235456</v>
      </c>
      <c r="S967" s="6">
        <v>20.828146471301082</v>
      </c>
      <c r="T967" s="6">
        <v>7.6541122529932064</v>
      </c>
      <c r="U967" s="6">
        <v>74.312507232991535</v>
      </c>
      <c r="V967" s="6">
        <v>0.35801045991805874</v>
      </c>
      <c r="W967" s="6">
        <v>15.705653103962089</v>
      </c>
      <c r="X967" s="6">
        <v>8.6101388990917265</v>
      </c>
      <c r="Y967" s="6">
        <v>82.708017015967926</v>
      </c>
    </row>
    <row r="968" spans="1:25" x14ac:dyDescent="0.25">
      <c r="A968" t="str">
        <f t="shared" si="15"/>
        <v>RTD Ice TeaFranceDecemberEUR (€)Fully-AutomatedOldPET Bottle0.33Medium-scaleMedium</v>
      </c>
      <c r="B968" t="s">
        <v>130</v>
      </c>
      <c r="C968" t="s">
        <v>130</v>
      </c>
      <c r="D968" t="s">
        <v>15</v>
      </c>
      <c r="E968" s="12" t="s">
        <v>182</v>
      </c>
      <c r="F968" t="s">
        <v>187</v>
      </c>
      <c r="G968" t="s">
        <v>12</v>
      </c>
      <c r="H968" t="s">
        <v>72</v>
      </c>
      <c r="I968" t="s">
        <v>175</v>
      </c>
      <c r="J968" s="12">
        <v>0.33</v>
      </c>
      <c r="K968" t="s">
        <v>62</v>
      </c>
      <c r="L968" t="s">
        <v>63</v>
      </c>
      <c r="M968" t="s">
        <v>200</v>
      </c>
      <c r="O968" t="s">
        <v>205</v>
      </c>
      <c r="P968">
        <v>12</v>
      </c>
      <c r="Q968" t="s">
        <v>203</v>
      </c>
      <c r="R968" s="6">
        <v>0.9280309573229153</v>
      </c>
      <c r="S968" s="6">
        <v>21.624021771320269</v>
      </c>
      <c r="T968" s="6">
        <v>7.9460949016990279</v>
      </c>
      <c r="U968" s="6">
        <v>77.148115653482321</v>
      </c>
      <c r="V968" s="6">
        <v>0.37149721614645331</v>
      </c>
      <c r="W968" s="6">
        <v>16.295798326590859</v>
      </c>
      <c r="X968" s="6">
        <v>8.9343486089148048</v>
      </c>
      <c r="Y968" s="6">
        <v>85.821535412409418</v>
      </c>
    </row>
    <row r="969" spans="1:25" x14ac:dyDescent="0.25">
      <c r="A969" t="str">
        <f t="shared" si="15"/>
        <v>RTD Ice TeaFranceDecemberEUR (€)Fully-AutomatedOldPET Bottle0.33Medium-scaleHigh</v>
      </c>
      <c r="B969" t="s">
        <v>130</v>
      </c>
      <c r="C969" t="s">
        <v>130</v>
      </c>
      <c r="D969" t="s">
        <v>15</v>
      </c>
      <c r="E969" s="12" t="s">
        <v>182</v>
      </c>
      <c r="F969" t="s">
        <v>187</v>
      </c>
      <c r="G969" t="s">
        <v>12</v>
      </c>
      <c r="H969" t="s">
        <v>72</v>
      </c>
      <c r="I969" t="s">
        <v>175</v>
      </c>
      <c r="J969" s="12">
        <v>0.33</v>
      </c>
      <c r="K969" t="s">
        <v>62</v>
      </c>
      <c r="L969" t="s">
        <v>11</v>
      </c>
      <c r="M969" t="s">
        <v>200</v>
      </c>
      <c r="O969" t="s">
        <v>205</v>
      </c>
      <c r="P969">
        <v>12</v>
      </c>
      <c r="Q969" t="s">
        <v>203</v>
      </c>
      <c r="R969" s="6">
        <v>0.96489108450472072</v>
      </c>
      <c r="S969" s="6">
        <v>22.483567095340984</v>
      </c>
      <c r="T969" s="6">
        <v>8.2614361623013135</v>
      </c>
      <c r="U969" s="6">
        <v>80.210572747612346</v>
      </c>
      <c r="V969" s="6">
        <v>0.38606291287311956</v>
      </c>
      <c r="W969" s="6">
        <v>16.933155167029938</v>
      </c>
      <c r="X969" s="6">
        <v>9.2844950955237291</v>
      </c>
      <c r="Y969" s="6">
        <v>89.184135280566196</v>
      </c>
    </row>
    <row r="970" spans="1:25" x14ac:dyDescent="0.25">
      <c r="A970" t="str">
        <f t="shared" si="15"/>
        <v>RTD Ice TeaFranceDecemberEUR (€)Fully-AutomatedOldPET Bottle0.33Small-scaleLow</v>
      </c>
      <c r="B970" t="s">
        <v>130</v>
      </c>
      <c r="C970" t="s">
        <v>130</v>
      </c>
      <c r="D970" t="s">
        <v>15</v>
      </c>
      <c r="E970" s="12" t="s">
        <v>182</v>
      </c>
      <c r="F970" t="s">
        <v>187</v>
      </c>
      <c r="G970" t="s">
        <v>12</v>
      </c>
      <c r="H970" t="s">
        <v>72</v>
      </c>
      <c r="I970" t="s">
        <v>175</v>
      </c>
      <c r="J970" s="12">
        <v>0.33</v>
      </c>
      <c r="K970" t="s">
        <v>60</v>
      </c>
      <c r="L970" t="s">
        <v>13</v>
      </c>
      <c r="M970" t="s">
        <v>200</v>
      </c>
      <c r="O970" t="s">
        <v>205</v>
      </c>
      <c r="P970">
        <v>12</v>
      </c>
      <c r="Q970" t="s">
        <v>203</v>
      </c>
      <c r="R970" s="6">
        <v>0.89607713585828042</v>
      </c>
      <c r="S970" s="6">
        <v>20.873276028235175</v>
      </c>
      <c r="T970" s="6">
        <v>7.6749667152071641</v>
      </c>
      <c r="U970" s="6">
        <v>74.508069999735369</v>
      </c>
      <c r="V970" s="6">
        <v>0.3596539784365772</v>
      </c>
      <c r="W970" s="6">
        <v>15.777537062704079</v>
      </c>
      <c r="X970" s="6">
        <v>8.6502914421343284</v>
      </c>
      <c r="Y970" s="6">
        <v>83.092818283888107</v>
      </c>
    </row>
    <row r="971" spans="1:25" x14ac:dyDescent="0.25">
      <c r="A971" t="str">
        <f t="shared" si="15"/>
        <v>RTD Ice TeaFranceDecemberEUR (€)Fully-AutomatedOldPET Bottle0.33Small-scaleMedium</v>
      </c>
      <c r="B971" t="s">
        <v>130</v>
      </c>
      <c r="C971" t="s">
        <v>130</v>
      </c>
      <c r="D971" t="s">
        <v>15</v>
      </c>
      <c r="E971" s="12" t="s">
        <v>182</v>
      </c>
      <c r="F971" t="s">
        <v>187</v>
      </c>
      <c r="G971" t="s">
        <v>12</v>
      </c>
      <c r="H971" t="s">
        <v>72</v>
      </c>
      <c r="I971" t="s">
        <v>175</v>
      </c>
      <c r="J971" s="12">
        <v>0.33</v>
      </c>
      <c r="K971" t="s">
        <v>60</v>
      </c>
      <c r="L971" t="s">
        <v>63</v>
      </c>
      <c r="M971" t="s">
        <v>200</v>
      </c>
      <c r="O971" t="s">
        <v>205</v>
      </c>
      <c r="P971">
        <v>12</v>
      </c>
      <c r="Q971" t="s">
        <v>203</v>
      </c>
      <c r="R971" s="6">
        <v>0.93020688324884127</v>
      </c>
      <c r="S971" s="6">
        <v>21.669151328254358</v>
      </c>
      <c r="T971" s="6">
        <v>7.9669493639129847</v>
      </c>
      <c r="U971" s="6">
        <v>77.343678420226126</v>
      </c>
      <c r="V971" s="6">
        <v>0.37314073466497183</v>
      </c>
      <c r="W971" s="6">
        <v>16.367682285332851</v>
      </c>
      <c r="X971" s="6">
        <v>8.9745011519574067</v>
      </c>
      <c r="Y971" s="6">
        <v>86.206336680329571</v>
      </c>
    </row>
    <row r="972" spans="1:25" x14ac:dyDescent="0.25">
      <c r="A972" t="str">
        <f t="shared" si="15"/>
        <v>RTD Ice TeaFranceDecemberEUR (€)Fully-AutomatedOldPET Bottle0.33Small-scaleHigh</v>
      </c>
      <c r="B972" t="s">
        <v>130</v>
      </c>
      <c r="C972" t="s">
        <v>130</v>
      </c>
      <c r="D972" t="s">
        <v>15</v>
      </c>
      <c r="E972" s="12" t="s">
        <v>182</v>
      </c>
      <c r="F972" t="s">
        <v>187</v>
      </c>
      <c r="G972" t="s">
        <v>12</v>
      </c>
      <c r="H972" t="s">
        <v>72</v>
      </c>
      <c r="I972" t="s">
        <v>175</v>
      </c>
      <c r="J972" s="12">
        <v>0.33</v>
      </c>
      <c r="K972" t="s">
        <v>60</v>
      </c>
      <c r="L972" t="s">
        <v>11</v>
      </c>
      <c r="M972" t="s">
        <v>200</v>
      </c>
      <c r="O972" t="s">
        <v>205</v>
      </c>
      <c r="P972">
        <v>12</v>
      </c>
      <c r="Q972" t="s">
        <v>203</v>
      </c>
      <c r="R972" s="6">
        <v>0.96706701043064658</v>
      </c>
      <c r="S972" s="6">
        <v>22.52869665227508</v>
      </c>
      <c r="T972" s="6">
        <v>8.2822906245152694</v>
      </c>
      <c r="U972" s="6">
        <v>80.40613551435618</v>
      </c>
      <c r="V972" s="6">
        <v>0.38770643139163807</v>
      </c>
      <c r="W972" s="6">
        <v>17.005039125771926</v>
      </c>
      <c r="X972" s="6">
        <v>9.3246476385663275</v>
      </c>
      <c r="Y972" s="6">
        <v>89.568936548486349</v>
      </c>
    </row>
    <row r="973" spans="1:25" x14ac:dyDescent="0.25">
      <c r="A973" t="str">
        <f t="shared" si="15"/>
        <v>RTD Ice TeaFranceDecemberEUR (€)Fully-AutomatedOldPET Bottle0.33High-scaleLow</v>
      </c>
      <c r="B973" t="s">
        <v>130</v>
      </c>
      <c r="C973" t="s">
        <v>130</v>
      </c>
      <c r="D973" t="s">
        <v>15</v>
      </c>
      <c r="E973" s="12" t="s">
        <v>182</v>
      </c>
      <c r="F973" t="s">
        <v>187</v>
      </c>
      <c r="G973" t="s">
        <v>12</v>
      </c>
      <c r="H973" t="s">
        <v>72</v>
      </c>
      <c r="I973" t="s">
        <v>175</v>
      </c>
      <c r="J973" s="12">
        <v>0.33</v>
      </c>
      <c r="K973" t="s">
        <v>107</v>
      </c>
      <c r="L973" t="s">
        <v>13</v>
      </c>
      <c r="M973" t="s">
        <v>199</v>
      </c>
      <c r="O973" t="s">
        <v>205</v>
      </c>
      <c r="P973">
        <v>24</v>
      </c>
      <c r="Q973" t="s">
        <v>204</v>
      </c>
      <c r="R973" s="6">
        <v>0.892595654376799</v>
      </c>
      <c r="S973" s="6">
        <v>20.801068737140625</v>
      </c>
      <c r="T973" s="6">
        <v>7.6415995756648325</v>
      </c>
      <c r="U973" s="6">
        <v>74.195169572945233</v>
      </c>
      <c r="V973" s="6">
        <v>0.33009227434772925</v>
      </c>
      <c r="W973" s="6">
        <v>10.66758592014761</v>
      </c>
      <c r="X973" s="6">
        <v>7.5317880162275577</v>
      </c>
      <c r="Y973" s="6">
        <v>70.364309655034134</v>
      </c>
    </row>
    <row r="974" spans="1:25" x14ac:dyDescent="0.25">
      <c r="A974" t="str">
        <f t="shared" si="15"/>
        <v>RTD Ice TeaFranceDecemberEUR (€)Fully-AutomatedOldPET Bottle0.33High-scaleMedium</v>
      </c>
      <c r="B974" t="s">
        <v>130</v>
      </c>
      <c r="C974" t="s">
        <v>130</v>
      </c>
      <c r="D974" t="s">
        <v>15</v>
      </c>
      <c r="E974" s="12" t="s">
        <v>182</v>
      </c>
      <c r="F974" t="s">
        <v>187</v>
      </c>
      <c r="G974" t="s">
        <v>12</v>
      </c>
      <c r="H974" t="s">
        <v>72</v>
      </c>
      <c r="I974" t="s">
        <v>175</v>
      </c>
      <c r="J974" s="12">
        <v>0.33</v>
      </c>
      <c r="K974" t="s">
        <v>107</v>
      </c>
      <c r="L974" t="s">
        <v>63</v>
      </c>
      <c r="M974" t="s">
        <v>199</v>
      </c>
      <c r="O974" t="s">
        <v>205</v>
      </c>
      <c r="P974">
        <v>24</v>
      </c>
      <c r="Q974" t="s">
        <v>204</v>
      </c>
      <c r="R974" s="6">
        <v>0.92672540176735962</v>
      </c>
      <c r="S974" s="6">
        <v>21.596944037159815</v>
      </c>
      <c r="T974" s="6">
        <v>7.9335822243706549</v>
      </c>
      <c r="U974" s="6">
        <v>77.030777993436004</v>
      </c>
      <c r="V974" s="6">
        <v>0.3424747083649885</v>
      </c>
      <c r="W974" s="6">
        <v>11.065760434688851</v>
      </c>
      <c r="X974" s="6">
        <v>7.8141752181641442</v>
      </c>
      <c r="Y974" s="6">
        <v>73.001304521682769</v>
      </c>
    </row>
    <row r="975" spans="1:25" x14ac:dyDescent="0.25">
      <c r="A975" t="str">
        <f t="shared" si="15"/>
        <v>RTD Ice TeaFranceDecemberEUR (€)Fully-AutomatedOldPET Bottle0.33High-scaleHigh</v>
      </c>
      <c r="B975" t="s">
        <v>130</v>
      </c>
      <c r="C975" t="s">
        <v>130</v>
      </c>
      <c r="D975" t="s">
        <v>15</v>
      </c>
      <c r="E975" s="12" t="s">
        <v>182</v>
      </c>
      <c r="F975" t="s">
        <v>187</v>
      </c>
      <c r="G975" t="s">
        <v>12</v>
      </c>
      <c r="H975" t="s">
        <v>72</v>
      </c>
      <c r="I975" t="s">
        <v>175</v>
      </c>
      <c r="J975" s="12">
        <v>0.33</v>
      </c>
      <c r="K975" t="s">
        <v>107</v>
      </c>
      <c r="L975" t="s">
        <v>11</v>
      </c>
      <c r="M975" t="s">
        <v>199</v>
      </c>
      <c r="O975" t="s">
        <v>205</v>
      </c>
      <c r="P975">
        <v>24</v>
      </c>
      <c r="Q975" t="s">
        <v>204</v>
      </c>
      <c r="R975" s="6">
        <v>0.96358552894916505</v>
      </c>
      <c r="S975" s="6">
        <v>22.45648936118053</v>
      </c>
      <c r="T975" s="6">
        <v>8.2489234849729414</v>
      </c>
      <c r="U975" s="6">
        <v>80.093235087566029</v>
      </c>
      <c r="V975" s="6">
        <v>0.35584773710362833</v>
      </c>
      <c r="W975" s="6">
        <v>11.495788910393392</v>
      </c>
      <c r="X975" s="6">
        <v>8.1191533962556584</v>
      </c>
      <c r="Y975" s="6">
        <v>75.849258977663283</v>
      </c>
    </row>
    <row r="976" spans="1:25" x14ac:dyDescent="0.25">
      <c r="A976" t="str">
        <f t="shared" si="15"/>
        <v>RTD Ice TeaFranceDecemberEUR (€)Fully-AutomatedOldPET Bottle0.33Medium-scaleLow</v>
      </c>
      <c r="B976" t="s">
        <v>130</v>
      </c>
      <c r="C976" t="s">
        <v>130</v>
      </c>
      <c r="D976" t="s">
        <v>15</v>
      </c>
      <c r="E976" s="12" t="s">
        <v>182</v>
      </c>
      <c r="F976" t="s">
        <v>187</v>
      </c>
      <c r="G976" t="s">
        <v>12</v>
      </c>
      <c r="H976" t="s">
        <v>72</v>
      </c>
      <c r="I976" t="s">
        <v>175</v>
      </c>
      <c r="J976" s="12">
        <v>0.33</v>
      </c>
      <c r="K976" t="s">
        <v>62</v>
      </c>
      <c r="L976" t="s">
        <v>13</v>
      </c>
      <c r="M976" t="s">
        <v>199</v>
      </c>
      <c r="O976" t="s">
        <v>205</v>
      </c>
      <c r="P976">
        <v>24</v>
      </c>
      <c r="Q976" t="s">
        <v>204</v>
      </c>
      <c r="R976" s="6">
        <v>0.89390120993235456</v>
      </c>
      <c r="S976" s="6">
        <v>20.828146471301082</v>
      </c>
      <c r="T976" s="6">
        <v>7.6541122529932064</v>
      </c>
      <c r="U976" s="6">
        <v>74.312507232991535</v>
      </c>
      <c r="V976" s="6">
        <v>0.33096474909520407</v>
      </c>
      <c r="W976" s="6">
        <v>10.697811976934583</v>
      </c>
      <c r="X976" s="6">
        <v>7.5528681013249246</v>
      </c>
      <c r="Y976" s="6">
        <v>70.561453114574476</v>
      </c>
    </row>
    <row r="977" spans="1:25" x14ac:dyDescent="0.25">
      <c r="A977" t="str">
        <f t="shared" si="15"/>
        <v>RTD Ice TeaFranceDecemberEUR (€)Fully-AutomatedOldPET Bottle0.33Medium-scaleMedium</v>
      </c>
      <c r="B977" t="s">
        <v>130</v>
      </c>
      <c r="C977" t="s">
        <v>130</v>
      </c>
      <c r="D977" t="s">
        <v>15</v>
      </c>
      <c r="E977" s="12" t="s">
        <v>182</v>
      </c>
      <c r="F977" t="s">
        <v>187</v>
      </c>
      <c r="G977" t="s">
        <v>12</v>
      </c>
      <c r="H977" t="s">
        <v>72</v>
      </c>
      <c r="I977" t="s">
        <v>175</v>
      </c>
      <c r="J977" s="12">
        <v>0.33</v>
      </c>
      <c r="K977" t="s">
        <v>62</v>
      </c>
      <c r="L977" t="s">
        <v>63</v>
      </c>
      <c r="M977" t="s">
        <v>199</v>
      </c>
      <c r="O977" t="s">
        <v>205</v>
      </c>
      <c r="P977">
        <v>24</v>
      </c>
      <c r="Q977" t="s">
        <v>204</v>
      </c>
      <c r="R977" s="6">
        <v>0.9280309573229153</v>
      </c>
      <c r="S977" s="6">
        <v>21.624021771320269</v>
      </c>
      <c r="T977" s="6">
        <v>7.9460949016990279</v>
      </c>
      <c r="U977" s="6">
        <v>77.148115653482321</v>
      </c>
      <c r="V977" s="6">
        <v>0.34334718311246315</v>
      </c>
      <c r="W977" s="6">
        <v>11.095986491475823</v>
      </c>
      <c r="X977" s="6">
        <v>7.835255303261512</v>
      </c>
      <c r="Y977" s="6">
        <v>73.198447981223097</v>
      </c>
    </row>
    <row r="978" spans="1:25" x14ac:dyDescent="0.25">
      <c r="A978" t="str">
        <f t="shared" si="15"/>
        <v>RTD Ice TeaFranceDecemberEUR (€)Fully-AutomatedOldPET Bottle0.33Medium-scaleHigh</v>
      </c>
      <c r="B978" t="s">
        <v>130</v>
      </c>
      <c r="C978" t="s">
        <v>130</v>
      </c>
      <c r="D978" t="s">
        <v>15</v>
      </c>
      <c r="E978" s="12" t="s">
        <v>182</v>
      </c>
      <c r="F978" t="s">
        <v>187</v>
      </c>
      <c r="G978" t="s">
        <v>12</v>
      </c>
      <c r="H978" t="s">
        <v>72</v>
      </c>
      <c r="I978" t="s">
        <v>175</v>
      </c>
      <c r="J978" s="12">
        <v>0.33</v>
      </c>
      <c r="K978" t="s">
        <v>62</v>
      </c>
      <c r="L978" t="s">
        <v>11</v>
      </c>
      <c r="M978" t="s">
        <v>199</v>
      </c>
      <c r="O978" t="s">
        <v>205</v>
      </c>
      <c r="P978">
        <v>24</v>
      </c>
      <c r="Q978" t="s">
        <v>204</v>
      </c>
      <c r="R978" s="6">
        <v>0.96489108450472072</v>
      </c>
      <c r="S978" s="6">
        <v>22.483567095340984</v>
      </c>
      <c r="T978" s="6">
        <v>8.2614361623013135</v>
      </c>
      <c r="U978" s="6">
        <v>80.210572747612346</v>
      </c>
      <c r="V978" s="6">
        <v>0.35672021185110314</v>
      </c>
      <c r="W978" s="6">
        <v>11.526014967180366</v>
      </c>
      <c r="X978" s="6">
        <v>8.1402334813530253</v>
      </c>
      <c r="Y978" s="6">
        <v>76.046402437203625</v>
      </c>
    </row>
    <row r="979" spans="1:25" x14ac:dyDescent="0.25">
      <c r="A979" t="str">
        <f t="shared" si="15"/>
        <v>RTD Ice TeaFranceDecemberEUR (€)Fully-AutomatedOldPET Bottle0.33Small-scaleLow</v>
      </c>
      <c r="B979" t="s">
        <v>130</v>
      </c>
      <c r="C979" t="s">
        <v>130</v>
      </c>
      <c r="D979" t="s">
        <v>15</v>
      </c>
      <c r="E979" s="12" t="s">
        <v>182</v>
      </c>
      <c r="F979" t="s">
        <v>187</v>
      </c>
      <c r="G979" t="s">
        <v>12</v>
      </c>
      <c r="H979" t="s">
        <v>72</v>
      </c>
      <c r="I979" t="s">
        <v>175</v>
      </c>
      <c r="J979" s="12">
        <v>0.33</v>
      </c>
      <c r="K979" t="s">
        <v>60</v>
      </c>
      <c r="L979" t="s">
        <v>13</v>
      </c>
      <c r="M979" t="s">
        <v>199</v>
      </c>
      <c r="O979" t="s">
        <v>205</v>
      </c>
      <c r="P979">
        <v>24</v>
      </c>
      <c r="Q979" t="s">
        <v>204</v>
      </c>
      <c r="R979" s="6">
        <v>0.89607713585828042</v>
      </c>
      <c r="S979" s="6">
        <v>20.873276028235175</v>
      </c>
      <c r="T979" s="6">
        <v>7.6749667152071641</v>
      </c>
      <c r="U979" s="6">
        <v>74.508069999735369</v>
      </c>
      <c r="V979" s="6">
        <v>0.33241887367432854</v>
      </c>
      <c r="W979" s="6">
        <v>10.74818873824621</v>
      </c>
      <c r="X979" s="6">
        <v>7.5880015764872004</v>
      </c>
      <c r="Y979" s="6">
        <v>70.890025547141704</v>
      </c>
    </row>
    <row r="980" spans="1:25" x14ac:dyDescent="0.25">
      <c r="A980" t="str">
        <f t="shared" si="15"/>
        <v>RTD Ice TeaFranceDecemberEUR (€)Fully-AutomatedOldPET Bottle0.33Small-scaleMedium</v>
      </c>
      <c r="B980" t="s">
        <v>130</v>
      </c>
      <c r="C980" t="s">
        <v>130</v>
      </c>
      <c r="D980" t="s">
        <v>15</v>
      </c>
      <c r="E980" s="12" t="s">
        <v>182</v>
      </c>
      <c r="F980" t="s">
        <v>187</v>
      </c>
      <c r="G980" t="s">
        <v>12</v>
      </c>
      <c r="H980" t="s">
        <v>72</v>
      </c>
      <c r="I980" t="s">
        <v>175</v>
      </c>
      <c r="J980" s="12">
        <v>0.33</v>
      </c>
      <c r="K980" t="s">
        <v>60</v>
      </c>
      <c r="L980" t="s">
        <v>63</v>
      </c>
      <c r="M980" t="s">
        <v>199</v>
      </c>
      <c r="O980" t="s">
        <v>205</v>
      </c>
      <c r="P980">
        <v>24</v>
      </c>
      <c r="Q980" t="s">
        <v>204</v>
      </c>
      <c r="R980" s="6">
        <v>0.93020688324884127</v>
      </c>
      <c r="S980" s="6">
        <v>21.669151328254358</v>
      </c>
      <c r="T980" s="6">
        <v>7.9669493639129847</v>
      </c>
      <c r="U980" s="6">
        <v>77.343678420226126</v>
      </c>
      <c r="V980" s="6">
        <v>0.34480130769158779</v>
      </c>
      <c r="W980" s="6">
        <v>11.146363252787449</v>
      </c>
      <c r="X980" s="6">
        <v>7.8703887784237869</v>
      </c>
      <c r="Y980" s="6">
        <v>73.527020413790325</v>
      </c>
    </row>
    <row r="981" spans="1:25" x14ac:dyDescent="0.25">
      <c r="A981" t="str">
        <f t="shared" si="15"/>
        <v>RTD Ice TeaFranceDecemberEUR (€)Fully-AutomatedOldPET Bottle0.33Small-scaleHigh</v>
      </c>
      <c r="B981" t="s">
        <v>130</v>
      </c>
      <c r="C981" t="s">
        <v>130</v>
      </c>
      <c r="D981" t="s">
        <v>15</v>
      </c>
      <c r="E981" s="12" t="s">
        <v>182</v>
      </c>
      <c r="F981" t="s">
        <v>187</v>
      </c>
      <c r="G981" t="s">
        <v>12</v>
      </c>
      <c r="H981" t="s">
        <v>72</v>
      </c>
      <c r="I981" t="s">
        <v>175</v>
      </c>
      <c r="J981" s="12">
        <v>0.33</v>
      </c>
      <c r="K981" t="s">
        <v>60</v>
      </c>
      <c r="L981" t="s">
        <v>11</v>
      </c>
      <c r="M981" t="s">
        <v>199</v>
      </c>
      <c r="O981" t="s">
        <v>205</v>
      </c>
      <c r="P981">
        <v>24</v>
      </c>
      <c r="Q981" t="s">
        <v>204</v>
      </c>
      <c r="R981" s="6">
        <v>0.96706701043064658</v>
      </c>
      <c r="S981" s="6">
        <v>22.52869665227508</v>
      </c>
      <c r="T981" s="6">
        <v>8.2822906245152694</v>
      </c>
      <c r="U981" s="6">
        <v>80.40613551435618</v>
      </c>
      <c r="V981" s="6">
        <v>0.35817433643022767</v>
      </c>
      <c r="W981" s="6">
        <v>11.576391728491991</v>
      </c>
      <c r="X981" s="6">
        <v>8.1753669565153011</v>
      </c>
      <c r="Y981" s="6">
        <v>76.374974869770838</v>
      </c>
    </row>
    <row r="982" spans="1:25" x14ac:dyDescent="0.25">
      <c r="A982" t="str">
        <f t="shared" si="15"/>
        <v>RTD Ice TeaFranceDecemberEUR (€)Fully-AutomatedOldPET Bottle0.33High-scaleLow</v>
      </c>
      <c r="B982" t="s">
        <v>130</v>
      </c>
      <c r="C982" t="s">
        <v>130</v>
      </c>
      <c r="D982" t="s">
        <v>15</v>
      </c>
      <c r="E982" s="12" t="s">
        <v>182</v>
      </c>
      <c r="F982" t="s">
        <v>187</v>
      </c>
      <c r="G982" t="s">
        <v>12</v>
      </c>
      <c r="H982" t="s">
        <v>72</v>
      </c>
      <c r="I982" t="s">
        <v>175</v>
      </c>
      <c r="J982" s="12">
        <v>0.33</v>
      </c>
      <c r="K982" t="s">
        <v>107</v>
      </c>
      <c r="L982" t="s">
        <v>13</v>
      </c>
      <c r="M982" t="s">
        <v>200</v>
      </c>
      <c r="O982" t="s">
        <v>205</v>
      </c>
      <c r="P982">
        <v>24</v>
      </c>
      <c r="Q982" t="s">
        <v>204</v>
      </c>
      <c r="R982" s="6">
        <v>0.892595654376799</v>
      </c>
      <c r="S982" s="6">
        <v>20.801068737140625</v>
      </c>
      <c r="T982" s="6">
        <v>7.6415995756648325</v>
      </c>
      <c r="U982" s="6">
        <v>74.195169572945233</v>
      </c>
      <c r="V982" s="6">
        <v>0.28556578663203747</v>
      </c>
      <c r="W982" s="6">
        <v>13.653111543977579</v>
      </c>
      <c r="X982" s="6">
        <v>7.4929068272113026</v>
      </c>
      <c r="Y982" s="6">
        <v>71.949621417063327</v>
      </c>
    </row>
    <row r="983" spans="1:25" x14ac:dyDescent="0.25">
      <c r="A983" t="str">
        <f t="shared" si="15"/>
        <v>RTD Ice TeaFranceDecemberEUR (€)Fully-AutomatedOldPET Bottle0.33High-scaleMedium</v>
      </c>
      <c r="B983" t="s">
        <v>130</v>
      </c>
      <c r="C983" t="s">
        <v>130</v>
      </c>
      <c r="D983" t="s">
        <v>15</v>
      </c>
      <c r="E983" s="12" t="s">
        <v>182</v>
      </c>
      <c r="F983" t="s">
        <v>187</v>
      </c>
      <c r="G983" t="s">
        <v>12</v>
      </c>
      <c r="H983" t="s">
        <v>72</v>
      </c>
      <c r="I983" t="s">
        <v>175</v>
      </c>
      <c r="J983" s="12">
        <v>0.33</v>
      </c>
      <c r="K983" t="s">
        <v>107</v>
      </c>
      <c r="L983" t="s">
        <v>63</v>
      </c>
      <c r="M983" t="s">
        <v>200</v>
      </c>
      <c r="O983" t="s">
        <v>205</v>
      </c>
      <c r="P983">
        <v>24</v>
      </c>
      <c r="Q983" t="s">
        <v>204</v>
      </c>
      <c r="R983" s="6">
        <v>0.92672540176735962</v>
      </c>
      <c r="S983" s="6">
        <v>21.596944037159815</v>
      </c>
      <c r="T983" s="6">
        <v>7.9335822243706549</v>
      </c>
      <c r="U983" s="6">
        <v>77.030777993436004</v>
      </c>
      <c r="V983" s="6">
        <v>0.29633715915595815</v>
      </c>
      <c r="W983" s="6">
        <v>14.166852941563342</v>
      </c>
      <c r="X983" s="6">
        <v>7.775535968451992</v>
      </c>
      <c r="Y983" s="6">
        <v>74.662718213190161</v>
      </c>
    </row>
    <row r="984" spans="1:25" x14ac:dyDescent="0.25">
      <c r="A984" t="str">
        <f t="shared" si="15"/>
        <v>RTD Ice TeaFranceDecemberEUR (€)Fully-AutomatedOldPET Bottle0.33High-scaleHigh</v>
      </c>
      <c r="B984" t="s">
        <v>130</v>
      </c>
      <c r="C984" t="s">
        <v>130</v>
      </c>
      <c r="D984" t="s">
        <v>15</v>
      </c>
      <c r="E984" s="12" t="s">
        <v>182</v>
      </c>
      <c r="F984" t="s">
        <v>187</v>
      </c>
      <c r="G984" t="s">
        <v>12</v>
      </c>
      <c r="H984" t="s">
        <v>72</v>
      </c>
      <c r="I984" t="s">
        <v>175</v>
      </c>
      <c r="J984" s="12">
        <v>0.33</v>
      </c>
      <c r="K984" t="s">
        <v>107</v>
      </c>
      <c r="L984" t="s">
        <v>11</v>
      </c>
      <c r="M984" t="s">
        <v>200</v>
      </c>
      <c r="O984" t="s">
        <v>205</v>
      </c>
      <c r="P984">
        <v>24</v>
      </c>
      <c r="Q984" t="s">
        <v>204</v>
      </c>
      <c r="R984" s="6">
        <v>0.96358552894916505</v>
      </c>
      <c r="S984" s="6">
        <v>22.45648936118053</v>
      </c>
      <c r="T984" s="6">
        <v>8.2489234849729414</v>
      </c>
      <c r="U984" s="6">
        <v>80.093235087566029</v>
      </c>
      <c r="V984" s="6">
        <v>0.30797024148179236</v>
      </c>
      <c r="W984" s="6">
        <v>14.721693650955965</v>
      </c>
      <c r="X984" s="6">
        <v>8.0807754409919355</v>
      </c>
      <c r="Y984" s="6">
        <v>77.592862753007154</v>
      </c>
    </row>
    <row r="985" spans="1:25" x14ac:dyDescent="0.25">
      <c r="A985" t="str">
        <f t="shared" si="15"/>
        <v>RTD Ice TeaFranceDecemberEUR (€)Fully-AutomatedOldPET Bottle0.33Medium-scaleLow</v>
      </c>
      <c r="B985" t="s">
        <v>130</v>
      </c>
      <c r="C985" t="s">
        <v>130</v>
      </c>
      <c r="D985" t="s">
        <v>15</v>
      </c>
      <c r="E985" s="12" t="s">
        <v>182</v>
      </c>
      <c r="F985" t="s">
        <v>187</v>
      </c>
      <c r="G985" t="s">
        <v>12</v>
      </c>
      <c r="H985" t="s">
        <v>72</v>
      </c>
      <c r="I985" t="s">
        <v>175</v>
      </c>
      <c r="J985" s="12">
        <v>0.33</v>
      </c>
      <c r="K985" t="s">
        <v>62</v>
      </c>
      <c r="L985" t="s">
        <v>13</v>
      </c>
      <c r="M985" t="s">
        <v>200</v>
      </c>
      <c r="O985" t="s">
        <v>205</v>
      </c>
      <c r="P985">
        <v>24</v>
      </c>
      <c r="Q985" t="s">
        <v>204</v>
      </c>
      <c r="R985" s="6">
        <v>0.89390120993235456</v>
      </c>
      <c r="S985" s="6">
        <v>20.828146471301082</v>
      </c>
      <c r="T985" s="6">
        <v>7.6541122529932064</v>
      </c>
      <c r="U985" s="6">
        <v>74.312507232991535</v>
      </c>
      <c r="V985" s="6">
        <v>0.28633725127850218</v>
      </c>
      <c r="W985" s="6">
        <v>13.690513985817516</v>
      </c>
      <c r="X985" s="6">
        <v>7.5139869123086696</v>
      </c>
      <c r="Y985" s="6">
        <v>72.151363870322427</v>
      </c>
    </row>
    <row r="986" spans="1:25" x14ac:dyDescent="0.25">
      <c r="A986" t="str">
        <f t="shared" si="15"/>
        <v>RTD Ice TeaFranceDecemberEUR (€)Fully-AutomatedOldPET Bottle0.33Medium-scaleMedium</v>
      </c>
      <c r="B986" t="s">
        <v>130</v>
      </c>
      <c r="C986" t="s">
        <v>130</v>
      </c>
      <c r="D986" t="s">
        <v>15</v>
      </c>
      <c r="E986" s="12" t="s">
        <v>182</v>
      </c>
      <c r="F986" t="s">
        <v>187</v>
      </c>
      <c r="G986" t="s">
        <v>12</v>
      </c>
      <c r="H986" t="s">
        <v>72</v>
      </c>
      <c r="I986" t="s">
        <v>175</v>
      </c>
      <c r="J986" s="12">
        <v>0.33</v>
      </c>
      <c r="K986" t="s">
        <v>62</v>
      </c>
      <c r="L986" t="s">
        <v>63</v>
      </c>
      <c r="M986" t="s">
        <v>200</v>
      </c>
      <c r="O986" t="s">
        <v>205</v>
      </c>
      <c r="P986">
        <v>24</v>
      </c>
      <c r="Q986" t="s">
        <v>204</v>
      </c>
      <c r="R986" s="6">
        <v>0.9280309573229153</v>
      </c>
      <c r="S986" s="6">
        <v>21.624021771320269</v>
      </c>
      <c r="T986" s="6">
        <v>7.9460949016990279</v>
      </c>
      <c r="U986" s="6">
        <v>77.148115653482321</v>
      </c>
      <c r="V986" s="6">
        <v>0.29710862380242276</v>
      </c>
      <c r="W986" s="6">
        <v>14.204255383403277</v>
      </c>
      <c r="X986" s="6">
        <v>7.7966160535493589</v>
      </c>
      <c r="Y986" s="6">
        <v>74.864460666449276</v>
      </c>
    </row>
    <row r="987" spans="1:25" x14ac:dyDescent="0.25">
      <c r="A987" t="str">
        <f t="shared" si="15"/>
        <v>RTD Ice TeaFranceDecemberEUR (€)Fully-AutomatedOldPET Bottle0.33Medium-scaleHigh</v>
      </c>
      <c r="B987" t="s">
        <v>130</v>
      </c>
      <c r="C987" t="s">
        <v>130</v>
      </c>
      <c r="D987" t="s">
        <v>15</v>
      </c>
      <c r="E987" s="12" t="s">
        <v>182</v>
      </c>
      <c r="F987" t="s">
        <v>187</v>
      </c>
      <c r="G987" t="s">
        <v>12</v>
      </c>
      <c r="H987" t="s">
        <v>72</v>
      </c>
      <c r="I987" t="s">
        <v>175</v>
      </c>
      <c r="J987" s="12">
        <v>0.33</v>
      </c>
      <c r="K987" t="s">
        <v>62</v>
      </c>
      <c r="L987" t="s">
        <v>11</v>
      </c>
      <c r="M987" t="s">
        <v>200</v>
      </c>
      <c r="O987" t="s">
        <v>205</v>
      </c>
      <c r="P987">
        <v>24</v>
      </c>
      <c r="Q987" t="s">
        <v>204</v>
      </c>
      <c r="R987" s="6">
        <v>0.96489108450472072</v>
      </c>
      <c r="S987" s="6">
        <v>22.483567095340984</v>
      </c>
      <c r="T987" s="6">
        <v>8.2614361623013135</v>
      </c>
      <c r="U987" s="6">
        <v>80.210572747612346</v>
      </c>
      <c r="V987" s="6">
        <v>0.30874170612825708</v>
      </c>
      <c r="W987" s="6">
        <v>14.759096092795904</v>
      </c>
      <c r="X987" s="6">
        <v>8.1018555260893024</v>
      </c>
      <c r="Y987" s="6">
        <v>77.794605206266269</v>
      </c>
    </row>
    <row r="988" spans="1:25" x14ac:dyDescent="0.25">
      <c r="A988" t="str">
        <f t="shared" si="15"/>
        <v>RTD Ice TeaFranceDecemberEUR (€)Fully-AutomatedOldPET Bottle0.33Small-scaleLow</v>
      </c>
      <c r="B988" t="s">
        <v>130</v>
      </c>
      <c r="C988" t="s">
        <v>130</v>
      </c>
      <c r="D988" t="s">
        <v>15</v>
      </c>
      <c r="E988" s="12" t="s">
        <v>182</v>
      </c>
      <c r="F988" t="s">
        <v>187</v>
      </c>
      <c r="G988" t="s">
        <v>12</v>
      </c>
      <c r="H988" t="s">
        <v>72</v>
      </c>
      <c r="I988" t="s">
        <v>175</v>
      </c>
      <c r="J988" s="12">
        <v>0.33</v>
      </c>
      <c r="K988" t="s">
        <v>60</v>
      </c>
      <c r="L988" t="s">
        <v>13</v>
      </c>
      <c r="M988" t="s">
        <v>200</v>
      </c>
      <c r="O988" t="s">
        <v>205</v>
      </c>
      <c r="P988">
        <v>24</v>
      </c>
      <c r="Q988" t="s">
        <v>204</v>
      </c>
      <c r="R988" s="6">
        <v>0.89607713585828042</v>
      </c>
      <c r="S988" s="6">
        <v>20.873276028235175</v>
      </c>
      <c r="T988" s="6">
        <v>7.6749667152071641</v>
      </c>
      <c r="U988" s="6">
        <v>74.508069999735369</v>
      </c>
      <c r="V988" s="6">
        <v>0.2876230256892765</v>
      </c>
      <c r="W988" s="6">
        <v>13.752851388884078</v>
      </c>
      <c r="X988" s="6">
        <v>7.5491203874709436</v>
      </c>
      <c r="Y988" s="6">
        <v>72.487601292420948</v>
      </c>
    </row>
    <row r="989" spans="1:25" x14ac:dyDescent="0.25">
      <c r="A989" t="str">
        <f t="shared" si="15"/>
        <v>RTD Ice TeaFranceDecemberEUR (€)Fully-AutomatedOldPET Bottle0.33Small-scaleMedium</v>
      </c>
      <c r="B989" t="s">
        <v>130</v>
      </c>
      <c r="C989" t="s">
        <v>130</v>
      </c>
      <c r="D989" t="s">
        <v>15</v>
      </c>
      <c r="E989" s="12" t="s">
        <v>182</v>
      </c>
      <c r="F989" t="s">
        <v>187</v>
      </c>
      <c r="G989" t="s">
        <v>12</v>
      </c>
      <c r="H989" t="s">
        <v>72</v>
      </c>
      <c r="I989" t="s">
        <v>175</v>
      </c>
      <c r="J989" s="12">
        <v>0.33</v>
      </c>
      <c r="K989" t="s">
        <v>60</v>
      </c>
      <c r="L989" t="s">
        <v>63</v>
      </c>
      <c r="M989" t="s">
        <v>200</v>
      </c>
      <c r="O989" t="s">
        <v>205</v>
      </c>
      <c r="P989">
        <v>24</v>
      </c>
      <c r="Q989" t="s">
        <v>204</v>
      </c>
      <c r="R989" s="6">
        <v>0.93020688324884127</v>
      </c>
      <c r="S989" s="6">
        <v>21.669151328254358</v>
      </c>
      <c r="T989" s="6">
        <v>7.9669493639129847</v>
      </c>
      <c r="U989" s="6">
        <v>77.343678420226126</v>
      </c>
      <c r="V989" s="6">
        <v>0.29839439821319719</v>
      </c>
      <c r="W989" s="6">
        <v>14.26659278646984</v>
      </c>
      <c r="X989" s="6">
        <v>7.8317495287116357</v>
      </c>
      <c r="Y989" s="6">
        <v>75.200698088547767</v>
      </c>
    </row>
    <row r="990" spans="1:25" x14ac:dyDescent="0.25">
      <c r="A990" t="str">
        <f t="shared" si="15"/>
        <v>RTD Ice TeaFranceDecemberEUR (€)Fully-AutomatedOldPET Bottle0.33Small-scaleHigh</v>
      </c>
      <c r="B990" t="s">
        <v>130</v>
      </c>
      <c r="C990" t="s">
        <v>130</v>
      </c>
      <c r="D990" t="s">
        <v>15</v>
      </c>
      <c r="E990" s="12" t="s">
        <v>182</v>
      </c>
      <c r="F990" t="s">
        <v>187</v>
      </c>
      <c r="G990" t="s">
        <v>12</v>
      </c>
      <c r="H990" t="s">
        <v>72</v>
      </c>
      <c r="I990" t="s">
        <v>175</v>
      </c>
      <c r="J990" s="12">
        <v>0.33</v>
      </c>
      <c r="K990" t="s">
        <v>60</v>
      </c>
      <c r="L990" t="s">
        <v>11</v>
      </c>
      <c r="M990" t="s">
        <v>200</v>
      </c>
      <c r="O990" t="s">
        <v>205</v>
      </c>
      <c r="P990">
        <v>24</v>
      </c>
      <c r="Q990" t="s">
        <v>204</v>
      </c>
      <c r="R990" s="6">
        <v>0.96706701043064658</v>
      </c>
      <c r="S990" s="6">
        <v>22.52869665227508</v>
      </c>
      <c r="T990" s="6">
        <v>8.2822906245152694</v>
      </c>
      <c r="U990" s="6">
        <v>80.40613551435618</v>
      </c>
      <c r="V990" s="6">
        <v>0.3100274805390314</v>
      </c>
      <c r="W990" s="6">
        <v>14.821433495862465</v>
      </c>
      <c r="X990" s="6">
        <v>8.1369890012515782</v>
      </c>
      <c r="Y990" s="6">
        <v>78.130842628364761</v>
      </c>
    </row>
    <row r="991" spans="1:25" x14ac:dyDescent="0.25">
      <c r="A991" t="str">
        <f t="shared" si="15"/>
        <v>RTD Ice TeaFranceDecemberEUR (€)Fully-AutomatedOldPET Bottle0.5High-scaleLow</v>
      </c>
      <c r="B991" t="s">
        <v>130</v>
      </c>
      <c r="C991" t="s">
        <v>130</v>
      </c>
      <c r="D991" t="s">
        <v>15</v>
      </c>
      <c r="E991" s="12" t="s">
        <v>182</v>
      </c>
      <c r="F991" t="s">
        <v>187</v>
      </c>
      <c r="G991" t="s">
        <v>12</v>
      </c>
      <c r="H991" t="s">
        <v>72</v>
      </c>
      <c r="I991" t="s">
        <v>175</v>
      </c>
      <c r="J991" s="12">
        <v>0.5</v>
      </c>
      <c r="K991" t="s">
        <v>107</v>
      </c>
      <c r="L991" t="s">
        <v>13</v>
      </c>
      <c r="M991" t="s">
        <v>199</v>
      </c>
      <c r="O991" t="s">
        <v>205</v>
      </c>
      <c r="P991">
        <v>4</v>
      </c>
      <c r="Q991" t="s">
        <v>198</v>
      </c>
      <c r="R991" s="6">
        <v>0.892595654376799</v>
      </c>
      <c r="S991" s="6">
        <v>20.801068737140625</v>
      </c>
      <c r="T991" s="6">
        <v>7.6415995756648325</v>
      </c>
      <c r="U991" s="6">
        <v>74.195169572945233</v>
      </c>
      <c r="V991" s="6">
        <v>0.31907133909214846</v>
      </c>
      <c r="W991" s="6">
        <v>9.8422869153410542</v>
      </c>
      <c r="X991" s="6">
        <v>6.4763643048533543</v>
      </c>
      <c r="Y991" s="6">
        <v>60.962317206551575</v>
      </c>
    </row>
    <row r="992" spans="1:25" x14ac:dyDescent="0.25">
      <c r="A992" t="str">
        <f t="shared" si="15"/>
        <v>RTD Ice TeaFranceDecemberEUR (€)Fully-AutomatedOldPET Bottle0.5High-scaleMedium</v>
      </c>
      <c r="B992" t="s">
        <v>130</v>
      </c>
      <c r="C992" t="s">
        <v>130</v>
      </c>
      <c r="D992" t="s">
        <v>15</v>
      </c>
      <c r="E992" s="12" t="s">
        <v>182</v>
      </c>
      <c r="F992" t="s">
        <v>187</v>
      </c>
      <c r="G992" t="s">
        <v>12</v>
      </c>
      <c r="H992" t="s">
        <v>72</v>
      </c>
      <c r="I992" t="s">
        <v>175</v>
      </c>
      <c r="J992" s="12">
        <v>0.5</v>
      </c>
      <c r="K992" t="s">
        <v>107</v>
      </c>
      <c r="L992" t="s">
        <v>63</v>
      </c>
      <c r="M992" t="s">
        <v>199</v>
      </c>
      <c r="O992" t="s">
        <v>205</v>
      </c>
      <c r="P992">
        <v>4</v>
      </c>
      <c r="Q992" t="s">
        <v>198</v>
      </c>
      <c r="R992" s="6">
        <v>0.92672540176735962</v>
      </c>
      <c r="S992" s="6">
        <v>21.596944037159815</v>
      </c>
      <c r="T992" s="6">
        <v>7.9335822243706549</v>
      </c>
      <c r="U992" s="6">
        <v>77.030777993436004</v>
      </c>
      <c r="V992" s="6">
        <v>0.33099686845117055</v>
      </c>
      <c r="W992" s="6">
        <v>10.207837939942774</v>
      </c>
      <c r="X992" s="6">
        <v>6.7176949885481338</v>
      </c>
      <c r="Y992" s="6">
        <v>63.233214162490398</v>
      </c>
    </row>
    <row r="993" spans="1:25" x14ac:dyDescent="0.25">
      <c r="A993" t="str">
        <f t="shared" si="15"/>
        <v>RTD Ice TeaFranceDecemberEUR (€)Fully-AutomatedOldPET Bottle0.5High-scaleHigh</v>
      </c>
      <c r="B993" t="s">
        <v>130</v>
      </c>
      <c r="C993" t="s">
        <v>130</v>
      </c>
      <c r="D993" t="s">
        <v>15</v>
      </c>
      <c r="E993" s="12" t="s">
        <v>182</v>
      </c>
      <c r="F993" t="s">
        <v>187</v>
      </c>
      <c r="G993" t="s">
        <v>12</v>
      </c>
      <c r="H993" t="s">
        <v>72</v>
      </c>
      <c r="I993" t="s">
        <v>175</v>
      </c>
      <c r="J993" s="12">
        <v>0.5</v>
      </c>
      <c r="K993" t="s">
        <v>107</v>
      </c>
      <c r="L993" t="s">
        <v>11</v>
      </c>
      <c r="M993" t="s">
        <v>199</v>
      </c>
      <c r="O993" t="s">
        <v>205</v>
      </c>
      <c r="P993">
        <v>4</v>
      </c>
      <c r="Q993" t="s">
        <v>198</v>
      </c>
      <c r="R993" s="6">
        <v>0.96358552894916505</v>
      </c>
      <c r="S993" s="6">
        <v>22.45648936118053</v>
      </c>
      <c r="T993" s="6">
        <v>8.2489234849729414</v>
      </c>
      <c r="U993" s="6">
        <v>80.093235087566029</v>
      </c>
      <c r="V993" s="6">
        <v>0.34387644015891422</v>
      </c>
      <c r="W993" s="6">
        <v>10.602633046512629</v>
      </c>
      <c r="X993" s="6">
        <v>6.9783321269384961</v>
      </c>
      <c r="Y993" s="6">
        <v>65.685782874904334</v>
      </c>
    </row>
    <row r="994" spans="1:25" x14ac:dyDescent="0.25">
      <c r="A994" t="str">
        <f t="shared" si="15"/>
        <v>RTD Ice TeaFranceDecemberEUR (€)Fully-AutomatedOldPET Bottle0.5Medium-scaleLow</v>
      </c>
      <c r="B994" t="s">
        <v>130</v>
      </c>
      <c r="C994" t="s">
        <v>130</v>
      </c>
      <c r="D994" t="s">
        <v>15</v>
      </c>
      <c r="E994" s="12" t="s">
        <v>182</v>
      </c>
      <c r="F994" t="s">
        <v>187</v>
      </c>
      <c r="G994" t="s">
        <v>12</v>
      </c>
      <c r="H994" t="s">
        <v>72</v>
      </c>
      <c r="I994" t="s">
        <v>175</v>
      </c>
      <c r="J994" s="12">
        <v>0.5</v>
      </c>
      <c r="K994" t="s">
        <v>62</v>
      </c>
      <c r="L994" t="s">
        <v>13</v>
      </c>
      <c r="M994" t="s">
        <v>199</v>
      </c>
      <c r="O994" t="s">
        <v>205</v>
      </c>
      <c r="P994">
        <v>4</v>
      </c>
      <c r="Q994" t="s">
        <v>198</v>
      </c>
      <c r="R994" s="6">
        <v>0.89390120993235456</v>
      </c>
      <c r="S994" s="6">
        <v>20.828146471301082</v>
      </c>
      <c r="T994" s="6">
        <v>7.6541122529932064</v>
      </c>
      <c r="U994" s="6">
        <v>74.312507232991535</v>
      </c>
      <c r="V994" s="6">
        <v>0.32015846030426964</v>
      </c>
      <c r="W994" s="6">
        <v>9.878240905533282</v>
      </c>
      <c r="X994" s="6">
        <v>6.5004558306789155</v>
      </c>
      <c r="Y994" s="6">
        <v>61.188598973584902</v>
      </c>
    </row>
    <row r="995" spans="1:25" x14ac:dyDescent="0.25">
      <c r="A995" t="str">
        <f t="shared" si="15"/>
        <v>RTD Ice TeaFranceDecemberEUR (€)Fully-AutomatedOldPET Bottle0.5Medium-scaleMedium</v>
      </c>
      <c r="B995" t="s">
        <v>130</v>
      </c>
      <c r="C995" t="s">
        <v>130</v>
      </c>
      <c r="D995" t="s">
        <v>15</v>
      </c>
      <c r="E995" s="12" t="s">
        <v>182</v>
      </c>
      <c r="F995" t="s">
        <v>187</v>
      </c>
      <c r="G995" t="s">
        <v>12</v>
      </c>
      <c r="H995" t="s">
        <v>72</v>
      </c>
      <c r="I995" t="s">
        <v>175</v>
      </c>
      <c r="J995" s="12">
        <v>0.5</v>
      </c>
      <c r="K995" t="s">
        <v>62</v>
      </c>
      <c r="L995" t="s">
        <v>63</v>
      </c>
      <c r="M995" t="s">
        <v>199</v>
      </c>
      <c r="O995" t="s">
        <v>205</v>
      </c>
      <c r="P995">
        <v>4</v>
      </c>
      <c r="Q995" t="s">
        <v>198</v>
      </c>
      <c r="R995" s="6">
        <v>0.9280309573229153</v>
      </c>
      <c r="S995" s="6">
        <v>21.624021771320269</v>
      </c>
      <c r="T995" s="6">
        <v>7.9460949016990279</v>
      </c>
      <c r="U995" s="6">
        <v>77.148115653482321</v>
      </c>
      <c r="V995" s="6">
        <v>0.33208398966329167</v>
      </c>
      <c r="W995" s="6">
        <v>10.243791930135005</v>
      </c>
      <c r="X995" s="6">
        <v>6.7417865143736959</v>
      </c>
      <c r="Y995" s="6">
        <v>63.459495929523747</v>
      </c>
    </row>
    <row r="996" spans="1:25" x14ac:dyDescent="0.25">
      <c r="A996" t="str">
        <f t="shared" si="15"/>
        <v>RTD Ice TeaFranceDecemberEUR (€)Fully-AutomatedOldPET Bottle0.5Medium-scaleHigh</v>
      </c>
      <c r="B996" t="s">
        <v>130</v>
      </c>
      <c r="C996" t="s">
        <v>130</v>
      </c>
      <c r="D996" t="s">
        <v>15</v>
      </c>
      <c r="E996" s="12" t="s">
        <v>182</v>
      </c>
      <c r="F996" t="s">
        <v>187</v>
      </c>
      <c r="G996" t="s">
        <v>12</v>
      </c>
      <c r="H996" t="s">
        <v>72</v>
      </c>
      <c r="I996" t="s">
        <v>175</v>
      </c>
      <c r="J996" s="12">
        <v>0.5</v>
      </c>
      <c r="K996" t="s">
        <v>62</v>
      </c>
      <c r="L996" t="s">
        <v>11</v>
      </c>
      <c r="M996" t="s">
        <v>199</v>
      </c>
      <c r="O996" t="s">
        <v>205</v>
      </c>
      <c r="P996">
        <v>4</v>
      </c>
      <c r="Q996" t="s">
        <v>198</v>
      </c>
      <c r="R996" s="6">
        <v>0.96489108450472072</v>
      </c>
      <c r="S996" s="6">
        <v>22.483567095340984</v>
      </c>
      <c r="T996" s="6">
        <v>8.2614361623013135</v>
      </c>
      <c r="U996" s="6">
        <v>80.210572747612346</v>
      </c>
      <c r="V996" s="6">
        <v>0.34496356137103551</v>
      </c>
      <c r="W996" s="6">
        <v>10.638587036704861</v>
      </c>
      <c r="X996" s="6">
        <v>7.0024236527640573</v>
      </c>
      <c r="Y996" s="6">
        <v>65.912064641937675</v>
      </c>
    </row>
    <row r="997" spans="1:25" x14ac:dyDescent="0.25">
      <c r="A997" t="str">
        <f t="shared" si="15"/>
        <v>RTD Ice TeaFranceDecemberEUR (€)Fully-AutomatedOldPET Bottle0.5Small-scaleLow</v>
      </c>
      <c r="B997" t="s">
        <v>130</v>
      </c>
      <c r="C997" t="s">
        <v>130</v>
      </c>
      <c r="D997" t="s">
        <v>15</v>
      </c>
      <c r="E997" s="12" t="s">
        <v>182</v>
      </c>
      <c r="F997" t="s">
        <v>187</v>
      </c>
      <c r="G997" t="s">
        <v>12</v>
      </c>
      <c r="H997" t="s">
        <v>72</v>
      </c>
      <c r="I997" t="s">
        <v>175</v>
      </c>
      <c r="J997" s="12">
        <v>0.5</v>
      </c>
      <c r="K997" t="s">
        <v>60</v>
      </c>
      <c r="L997" t="s">
        <v>13</v>
      </c>
      <c r="M997" t="s">
        <v>199</v>
      </c>
      <c r="O997" t="s">
        <v>205</v>
      </c>
      <c r="P997">
        <v>4</v>
      </c>
      <c r="Q997" t="s">
        <v>198</v>
      </c>
      <c r="R997" s="6">
        <v>0.89607713585828042</v>
      </c>
      <c r="S997" s="6">
        <v>20.873276028235175</v>
      </c>
      <c r="T997" s="6">
        <v>7.6749667152071641</v>
      </c>
      <c r="U997" s="6">
        <v>74.508069999735369</v>
      </c>
      <c r="V997" s="6">
        <v>0.32197032899113837</v>
      </c>
      <c r="W997" s="6">
        <v>9.9381642225203386</v>
      </c>
      <c r="X997" s="6">
        <v>6.5406083737215175</v>
      </c>
      <c r="Y997" s="6">
        <v>61.565735251973798</v>
      </c>
    </row>
    <row r="998" spans="1:25" x14ac:dyDescent="0.25">
      <c r="A998" t="str">
        <f t="shared" si="15"/>
        <v>RTD Ice TeaFranceDecemberEUR (€)Fully-AutomatedOldPET Bottle0.5Small-scaleMedium</v>
      </c>
      <c r="B998" t="s">
        <v>130</v>
      </c>
      <c r="C998" t="s">
        <v>130</v>
      </c>
      <c r="D998" t="s">
        <v>15</v>
      </c>
      <c r="E998" s="12" t="s">
        <v>182</v>
      </c>
      <c r="F998" t="s">
        <v>187</v>
      </c>
      <c r="G998" t="s">
        <v>12</v>
      </c>
      <c r="H998" t="s">
        <v>72</v>
      </c>
      <c r="I998" t="s">
        <v>175</v>
      </c>
      <c r="J998" s="12">
        <v>0.5</v>
      </c>
      <c r="K998" t="s">
        <v>60</v>
      </c>
      <c r="L998" t="s">
        <v>63</v>
      </c>
      <c r="M998" t="s">
        <v>199</v>
      </c>
      <c r="O998" t="s">
        <v>205</v>
      </c>
      <c r="P998">
        <v>4</v>
      </c>
      <c r="Q998" t="s">
        <v>198</v>
      </c>
      <c r="R998" s="6">
        <v>0.93020688324884127</v>
      </c>
      <c r="S998" s="6">
        <v>21.669151328254358</v>
      </c>
      <c r="T998" s="6">
        <v>7.9669493639129847</v>
      </c>
      <c r="U998" s="6">
        <v>77.343678420226126</v>
      </c>
      <c r="V998" s="6">
        <v>0.33389585835016045</v>
      </c>
      <c r="W998" s="6">
        <v>10.303715247122058</v>
      </c>
      <c r="X998" s="6">
        <v>6.781939057416297</v>
      </c>
      <c r="Y998" s="6">
        <v>63.836632207912643</v>
      </c>
    </row>
    <row r="999" spans="1:25" x14ac:dyDescent="0.25">
      <c r="A999" t="str">
        <f t="shared" si="15"/>
        <v>RTD Ice TeaFranceDecemberEUR (€)Fully-AutomatedOldPET Bottle0.5Small-scaleHigh</v>
      </c>
      <c r="B999" t="s">
        <v>130</v>
      </c>
      <c r="C999" t="s">
        <v>130</v>
      </c>
      <c r="D999" t="s">
        <v>15</v>
      </c>
      <c r="E999" s="12" t="s">
        <v>182</v>
      </c>
      <c r="F999" t="s">
        <v>187</v>
      </c>
      <c r="G999" t="s">
        <v>12</v>
      </c>
      <c r="H999" t="s">
        <v>72</v>
      </c>
      <c r="I999" t="s">
        <v>175</v>
      </c>
      <c r="J999" s="12">
        <v>0.5</v>
      </c>
      <c r="K999" t="s">
        <v>60</v>
      </c>
      <c r="L999" t="s">
        <v>11</v>
      </c>
      <c r="M999" t="s">
        <v>199</v>
      </c>
      <c r="O999" t="s">
        <v>205</v>
      </c>
      <c r="P999">
        <v>4</v>
      </c>
      <c r="Q999" t="s">
        <v>198</v>
      </c>
      <c r="R999" s="6">
        <v>0.96706701043064658</v>
      </c>
      <c r="S999" s="6">
        <v>22.52869665227508</v>
      </c>
      <c r="T999" s="6">
        <v>8.2822906245152694</v>
      </c>
      <c r="U999" s="6">
        <v>80.40613551435618</v>
      </c>
      <c r="V999" s="6">
        <v>0.34677543005790412</v>
      </c>
      <c r="W999" s="6">
        <v>10.698510353691915</v>
      </c>
      <c r="X999" s="6">
        <v>7.0425761958066593</v>
      </c>
      <c r="Y999" s="6">
        <v>66.289200920326564</v>
      </c>
    </row>
    <row r="1000" spans="1:25" x14ac:dyDescent="0.25">
      <c r="A1000" t="str">
        <f t="shared" si="15"/>
        <v>RTD Ice TeaFranceDecemberEUR (€)Fully-AutomatedOldPET Bottle0.5High-scaleLow</v>
      </c>
      <c r="B1000" t="s">
        <v>130</v>
      </c>
      <c r="C1000" t="s">
        <v>130</v>
      </c>
      <c r="D1000" t="s">
        <v>15</v>
      </c>
      <c r="E1000" s="12" t="s">
        <v>182</v>
      </c>
      <c r="F1000" t="s">
        <v>187</v>
      </c>
      <c r="G1000" t="s">
        <v>12</v>
      </c>
      <c r="H1000" t="s">
        <v>72</v>
      </c>
      <c r="I1000" t="s">
        <v>175</v>
      </c>
      <c r="J1000" s="12">
        <v>0.5</v>
      </c>
      <c r="K1000" t="s">
        <v>107</v>
      </c>
      <c r="L1000" t="s">
        <v>13</v>
      </c>
      <c r="M1000" t="s">
        <v>200</v>
      </c>
      <c r="O1000" t="s">
        <v>205</v>
      </c>
      <c r="P1000">
        <v>4</v>
      </c>
      <c r="Q1000" t="s">
        <v>198</v>
      </c>
      <c r="R1000" s="6">
        <v>0.892595654376799</v>
      </c>
      <c r="S1000" s="6">
        <v>20.801068737140625</v>
      </c>
      <c r="T1000" s="6">
        <v>7.6415995756648325</v>
      </c>
      <c r="U1000" s="6">
        <v>74.195169572945233</v>
      </c>
      <c r="V1000" s="6">
        <v>0.28878663497756968</v>
      </c>
      <c r="W1000" s="6">
        <v>11.806201293057455</v>
      </c>
      <c r="X1000" s="6">
        <v>6.4353443723888297</v>
      </c>
      <c r="Y1000" s="6">
        <v>61.874887911993426</v>
      </c>
    </row>
    <row r="1001" spans="1:25" x14ac:dyDescent="0.25">
      <c r="A1001" t="str">
        <f t="shared" si="15"/>
        <v>RTD Ice TeaFranceDecemberEUR (€)Fully-AutomatedOldPET Bottle0.5High-scaleMedium</v>
      </c>
      <c r="B1001" t="s">
        <v>130</v>
      </c>
      <c r="C1001" t="s">
        <v>130</v>
      </c>
      <c r="D1001" t="s">
        <v>15</v>
      </c>
      <c r="E1001" s="12" t="s">
        <v>182</v>
      </c>
      <c r="F1001" t="s">
        <v>187</v>
      </c>
      <c r="G1001" t="s">
        <v>12</v>
      </c>
      <c r="H1001" t="s">
        <v>72</v>
      </c>
      <c r="I1001" t="s">
        <v>175</v>
      </c>
      <c r="J1001" s="12">
        <v>0.5</v>
      </c>
      <c r="K1001" t="s">
        <v>107</v>
      </c>
      <c r="L1001" t="s">
        <v>63</v>
      </c>
      <c r="M1001" t="s">
        <v>200</v>
      </c>
      <c r="O1001" t="s">
        <v>205</v>
      </c>
      <c r="P1001">
        <v>4</v>
      </c>
      <c r="Q1001" t="s">
        <v>198</v>
      </c>
      <c r="R1001" s="6">
        <v>0.92672540176735962</v>
      </c>
      <c r="S1001" s="6">
        <v>21.596944037159815</v>
      </c>
      <c r="T1001" s="6">
        <v>7.9335822243706549</v>
      </c>
      <c r="U1001" s="6">
        <v>77.030777993436004</v>
      </c>
      <c r="V1001" s="6">
        <v>0.29964886375098831</v>
      </c>
      <c r="W1001" s="6">
        <v>12.248026460468562</v>
      </c>
      <c r="X1001" s="6">
        <v>6.6768347360243174</v>
      </c>
      <c r="Y1001" s="6">
        <v>64.196012141387882</v>
      </c>
    </row>
    <row r="1002" spans="1:25" x14ac:dyDescent="0.25">
      <c r="A1002" t="str">
        <f t="shared" si="15"/>
        <v>RTD Ice TeaFranceDecemberEUR (€)Fully-AutomatedOldPET Bottle0.5High-scaleHigh</v>
      </c>
      <c r="B1002" t="s">
        <v>130</v>
      </c>
      <c r="C1002" t="s">
        <v>130</v>
      </c>
      <c r="D1002" t="s">
        <v>15</v>
      </c>
      <c r="E1002" s="12" t="s">
        <v>182</v>
      </c>
      <c r="F1002" t="s">
        <v>187</v>
      </c>
      <c r="G1002" t="s">
        <v>12</v>
      </c>
      <c r="H1002" t="s">
        <v>72</v>
      </c>
      <c r="I1002" t="s">
        <v>175</v>
      </c>
      <c r="J1002" s="12">
        <v>0.5</v>
      </c>
      <c r="K1002" t="s">
        <v>107</v>
      </c>
      <c r="L1002" t="s">
        <v>11</v>
      </c>
      <c r="M1002" t="s">
        <v>200</v>
      </c>
      <c r="O1002" t="s">
        <v>205</v>
      </c>
      <c r="P1002">
        <v>4</v>
      </c>
      <c r="Q1002" t="s">
        <v>198</v>
      </c>
      <c r="R1002" s="6">
        <v>0.96358552894916505</v>
      </c>
      <c r="S1002" s="6">
        <v>22.45648936118053</v>
      </c>
      <c r="T1002" s="6">
        <v>8.2489234849729414</v>
      </c>
      <c r="U1002" s="6">
        <v>80.093235087566029</v>
      </c>
      <c r="V1002" s="6">
        <v>0.31138007082628022</v>
      </c>
      <c r="W1002" s="6">
        <v>12.725197641272549</v>
      </c>
      <c r="X1002" s="6">
        <v>6.9376443287506442</v>
      </c>
      <c r="Y1002" s="6">
        <v>66.702826309133883</v>
      </c>
    </row>
    <row r="1003" spans="1:25" x14ac:dyDescent="0.25">
      <c r="A1003" t="str">
        <f t="shared" si="15"/>
        <v>RTD Ice TeaFranceDecemberEUR (€)Fully-AutomatedOldPET Bottle0.5Medium-scaleLow</v>
      </c>
      <c r="B1003" t="s">
        <v>130</v>
      </c>
      <c r="C1003" t="s">
        <v>130</v>
      </c>
      <c r="D1003" t="s">
        <v>15</v>
      </c>
      <c r="E1003" s="12" t="s">
        <v>182</v>
      </c>
      <c r="F1003" t="s">
        <v>187</v>
      </c>
      <c r="G1003" t="s">
        <v>12</v>
      </c>
      <c r="H1003" t="s">
        <v>72</v>
      </c>
      <c r="I1003" t="s">
        <v>175</v>
      </c>
      <c r="J1003" s="12">
        <v>0.5</v>
      </c>
      <c r="K1003" t="s">
        <v>62</v>
      </c>
      <c r="L1003" t="s">
        <v>13</v>
      </c>
      <c r="M1003" t="s">
        <v>200</v>
      </c>
      <c r="O1003" t="s">
        <v>205</v>
      </c>
      <c r="P1003">
        <v>4</v>
      </c>
      <c r="Q1003" t="s">
        <v>198</v>
      </c>
      <c r="R1003" s="6">
        <v>0.89390120993235456</v>
      </c>
      <c r="S1003" s="6">
        <v>20.828146471301082</v>
      </c>
      <c r="T1003" s="6">
        <v>7.6541122529932064</v>
      </c>
      <c r="U1003" s="6">
        <v>74.312507232991535</v>
      </c>
      <c r="V1003" s="6">
        <v>0.28977274608868075</v>
      </c>
      <c r="W1003" s="6">
        <v>11.849331668302648</v>
      </c>
      <c r="X1003" s="6">
        <v>6.4594358982143909</v>
      </c>
      <c r="Y1003" s="6">
        <v>62.105768672745526</v>
      </c>
    </row>
    <row r="1004" spans="1:25" x14ac:dyDescent="0.25">
      <c r="A1004" t="str">
        <f t="shared" si="15"/>
        <v>RTD Ice TeaFranceDecemberEUR (€)Fully-AutomatedOldPET Bottle0.5Medium-scaleMedium</v>
      </c>
      <c r="B1004" t="s">
        <v>130</v>
      </c>
      <c r="C1004" t="s">
        <v>130</v>
      </c>
      <c r="D1004" t="s">
        <v>15</v>
      </c>
      <c r="E1004" s="12" t="s">
        <v>182</v>
      </c>
      <c r="F1004" t="s">
        <v>187</v>
      </c>
      <c r="G1004" t="s">
        <v>12</v>
      </c>
      <c r="H1004" t="s">
        <v>72</v>
      </c>
      <c r="I1004" t="s">
        <v>175</v>
      </c>
      <c r="J1004" s="12">
        <v>0.5</v>
      </c>
      <c r="K1004" t="s">
        <v>62</v>
      </c>
      <c r="L1004" t="s">
        <v>63</v>
      </c>
      <c r="M1004" t="s">
        <v>200</v>
      </c>
      <c r="O1004" t="s">
        <v>205</v>
      </c>
      <c r="P1004">
        <v>4</v>
      </c>
      <c r="Q1004" t="s">
        <v>198</v>
      </c>
      <c r="R1004" s="6">
        <v>0.9280309573229153</v>
      </c>
      <c r="S1004" s="6">
        <v>21.624021771320269</v>
      </c>
      <c r="T1004" s="6">
        <v>7.9460949016990279</v>
      </c>
      <c r="U1004" s="6">
        <v>77.148115653482321</v>
      </c>
      <c r="V1004" s="6">
        <v>0.30063497486209934</v>
      </c>
      <c r="W1004" s="6">
        <v>12.291156835713755</v>
      </c>
      <c r="X1004" s="6">
        <v>6.7009262618498786</v>
      </c>
      <c r="Y1004" s="6">
        <v>64.426892902139983</v>
      </c>
    </row>
    <row r="1005" spans="1:25" x14ac:dyDescent="0.25">
      <c r="A1005" t="str">
        <f t="shared" si="15"/>
        <v>RTD Ice TeaFranceDecemberEUR (€)Fully-AutomatedOldPET Bottle0.5Medium-scaleHigh</v>
      </c>
      <c r="B1005" t="s">
        <v>130</v>
      </c>
      <c r="C1005" t="s">
        <v>130</v>
      </c>
      <c r="D1005" t="s">
        <v>15</v>
      </c>
      <c r="E1005" s="12" t="s">
        <v>182</v>
      </c>
      <c r="F1005" t="s">
        <v>187</v>
      </c>
      <c r="G1005" t="s">
        <v>12</v>
      </c>
      <c r="H1005" t="s">
        <v>72</v>
      </c>
      <c r="I1005" t="s">
        <v>175</v>
      </c>
      <c r="J1005" s="12">
        <v>0.5</v>
      </c>
      <c r="K1005" t="s">
        <v>62</v>
      </c>
      <c r="L1005" t="s">
        <v>11</v>
      </c>
      <c r="M1005" t="s">
        <v>200</v>
      </c>
      <c r="O1005" t="s">
        <v>205</v>
      </c>
      <c r="P1005">
        <v>4</v>
      </c>
      <c r="Q1005" t="s">
        <v>198</v>
      </c>
      <c r="R1005" s="6">
        <v>0.96489108450472072</v>
      </c>
      <c r="S1005" s="6">
        <v>22.483567095340984</v>
      </c>
      <c r="T1005" s="6">
        <v>8.2614361623013135</v>
      </c>
      <c r="U1005" s="6">
        <v>80.210572747612346</v>
      </c>
      <c r="V1005" s="6">
        <v>0.31236618193739141</v>
      </c>
      <c r="W1005" s="6">
        <v>12.768328016517746</v>
      </c>
      <c r="X1005" s="6">
        <v>6.9617358545762063</v>
      </c>
      <c r="Y1005" s="6">
        <v>66.933707069885969</v>
      </c>
    </row>
    <row r="1006" spans="1:25" x14ac:dyDescent="0.25">
      <c r="A1006" t="str">
        <f t="shared" si="15"/>
        <v>RTD Ice TeaFranceDecemberEUR (€)Fully-AutomatedOldPET Bottle0.5Small-scaleLow</v>
      </c>
      <c r="B1006" t="s">
        <v>130</v>
      </c>
      <c r="C1006" t="s">
        <v>130</v>
      </c>
      <c r="D1006" t="s">
        <v>15</v>
      </c>
      <c r="E1006" s="12" t="s">
        <v>182</v>
      </c>
      <c r="F1006" t="s">
        <v>187</v>
      </c>
      <c r="G1006" t="s">
        <v>12</v>
      </c>
      <c r="H1006" t="s">
        <v>72</v>
      </c>
      <c r="I1006" t="s">
        <v>175</v>
      </c>
      <c r="J1006" s="12">
        <v>0.5</v>
      </c>
      <c r="K1006" t="s">
        <v>60</v>
      </c>
      <c r="L1006" t="s">
        <v>13</v>
      </c>
      <c r="M1006" t="s">
        <v>200</v>
      </c>
      <c r="O1006" t="s">
        <v>205</v>
      </c>
      <c r="P1006">
        <v>4</v>
      </c>
      <c r="Q1006" t="s">
        <v>198</v>
      </c>
      <c r="R1006" s="6">
        <v>0.89607713585828042</v>
      </c>
      <c r="S1006" s="6">
        <v>20.873276028235175</v>
      </c>
      <c r="T1006" s="6">
        <v>7.6749667152071641</v>
      </c>
      <c r="U1006" s="6">
        <v>74.508069999735369</v>
      </c>
      <c r="V1006" s="6">
        <v>0.29141626460719927</v>
      </c>
      <c r="W1006" s="6">
        <v>11.921215627044639</v>
      </c>
      <c r="X1006" s="6">
        <v>6.4995884412569929</v>
      </c>
      <c r="Y1006" s="6">
        <v>62.490569940665708</v>
      </c>
    </row>
    <row r="1007" spans="1:25" x14ac:dyDescent="0.25">
      <c r="A1007" t="str">
        <f t="shared" si="15"/>
        <v>RTD Ice TeaFranceDecemberEUR (€)Fully-AutomatedOldPET Bottle0.5Small-scaleMedium</v>
      </c>
      <c r="B1007" t="s">
        <v>130</v>
      </c>
      <c r="C1007" t="s">
        <v>130</v>
      </c>
      <c r="D1007" t="s">
        <v>15</v>
      </c>
      <c r="E1007" s="12" t="s">
        <v>182</v>
      </c>
      <c r="F1007" t="s">
        <v>187</v>
      </c>
      <c r="G1007" t="s">
        <v>12</v>
      </c>
      <c r="H1007" t="s">
        <v>72</v>
      </c>
      <c r="I1007" t="s">
        <v>175</v>
      </c>
      <c r="J1007" s="12">
        <v>0.5</v>
      </c>
      <c r="K1007" t="s">
        <v>60</v>
      </c>
      <c r="L1007" t="s">
        <v>63</v>
      </c>
      <c r="M1007" t="s">
        <v>200</v>
      </c>
      <c r="O1007" t="s">
        <v>205</v>
      </c>
      <c r="P1007">
        <v>4</v>
      </c>
      <c r="Q1007" t="s">
        <v>198</v>
      </c>
      <c r="R1007" s="6">
        <v>0.93020688324884127</v>
      </c>
      <c r="S1007" s="6">
        <v>21.669151328254358</v>
      </c>
      <c r="T1007" s="6">
        <v>7.9669493639129847</v>
      </c>
      <c r="U1007" s="6">
        <v>77.343678420226126</v>
      </c>
      <c r="V1007" s="6">
        <v>0.30227849338061791</v>
      </c>
      <c r="W1007" s="6">
        <v>12.363040794455744</v>
      </c>
      <c r="X1007" s="6">
        <v>6.7410788048924806</v>
      </c>
      <c r="Y1007" s="6">
        <v>64.81169417006015</v>
      </c>
    </row>
    <row r="1008" spans="1:25" x14ac:dyDescent="0.25">
      <c r="A1008" t="str">
        <f t="shared" si="15"/>
        <v>RTD Ice TeaFranceDecemberEUR (€)Fully-AutomatedOldPET Bottle0.5Small-scaleHigh</v>
      </c>
      <c r="B1008" t="s">
        <v>130</v>
      </c>
      <c r="C1008" t="s">
        <v>130</v>
      </c>
      <c r="D1008" t="s">
        <v>15</v>
      </c>
      <c r="E1008" s="12" t="s">
        <v>182</v>
      </c>
      <c r="F1008" t="s">
        <v>187</v>
      </c>
      <c r="G1008" t="s">
        <v>12</v>
      </c>
      <c r="H1008" t="s">
        <v>72</v>
      </c>
      <c r="I1008" t="s">
        <v>175</v>
      </c>
      <c r="J1008" s="12">
        <v>0.5</v>
      </c>
      <c r="K1008" t="s">
        <v>60</v>
      </c>
      <c r="L1008" t="s">
        <v>11</v>
      </c>
      <c r="M1008" t="s">
        <v>200</v>
      </c>
      <c r="O1008" t="s">
        <v>205</v>
      </c>
      <c r="P1008">
        <v>4</v>
      </c>
      <c r="Q1008" t="s">
        <v>198</v>
      </c>
      <c r="R1008" s="6">
        <v>0.96706701043064658</v>
      </c>
      <c r="S1008" s="6">
        <v>22.52869665227508</v>
      </c>
      <c r="T1008" s="6">
        <v>8.2822906245152694</v>
      </c>
      <c r="U1008" s="6">
        <v>80.40613551435618</v>
      </c>
      <c r="V1008" s="6">
        <v>0.31400970045590987</v>
      </c>
      <c r="W1008" s="6">
        <v>12.840211975259736</v>
      </c>
      <c r="X1008" s="6">
        <v>7.0018883976188073</v>
      </c>
      <c r="Y1008" s="6">
        <v>67.318508337806151</v>
      </c>
    </row>
    <row r="1009" spans="1:25" x14ac:dyDescent="0.25">
      <c r="A1009" t="str">
        <f t="shared" si="15"/>
        <v>RTD Ice TeaFranceDecemberEUR (€)Fully-AutomatedOldPET Bottle0.5High-scaleLow</v>
      </c>
      <c r="B1009" t="s">
        <v>130</v>
      </c>
      <c r="C1009" t="s">
        <v>130</v>
      </c>
      <c r="D1009" t="s">
        <v>15</v>
      </c>
      <c r="E1009" s="12" t="s">
        <v>182</v>
      </c>
      <c r="F1009" t="s">
        <v>187</v>
      </c>
      <c r="G1009" t="s">
        <v>12</v>
      </c>
      <c r="H1009" t="s">
        <v>72</v>
      </c>
      <c r="I1009" t="s">
        <v>175</v>
      </c>
      <c r="J1009" s="12">
        <v>0.5</v>
      </c>
      <c r="K1009" t="s">
        <v>107</v>
      </c>
      <c r="L1009" t="s">
        <v>13</v>
      </c>
      <c r="M1009" t="s">
        <v>199</v>
      </c>
      <c r="O1009" t="s">
        <v>205</v>
      </c>
      <c r="P1009">
        <v>6</v>
      </c>
      <c r="Q1009" t="s">
        <v>201</v>
      </c>
      <c r="R1009" s="6">
        <v>0.892595654376799</v>
      </c>
      <c r="S1009" s="6">
        <v>20.801068737140625</v>
      </c>
      <c r="T1009" s="6">
        <v>7.6415995756648325</v>
      </c>
      <c r="U1009" s="6">
        <v>74.195169572945233</v>
      </c>
      <c r="V1009" s="6">
        <v>0.29485336375807386</v>
      </c>
      <c r="W1009" s="6">
        <v>9.1960198074610631</v>
      </c>
      <c r="X1009" s="6">
        <v>6.1365916587229856</v>
      </c>
      <c r="Y1009" s="6">
        <v>57.674721422924485</v>
      </c>
    </row>
    <row r="1010" spans="1:25" x14ac:dyDescent="0.25">
      <c r="A1010" t="str">
        <f t="shared" si="15"/>
        <v>RTD Ice TeaFranceDecemberEUR (€)Fully-AutomatedOldPET Bottle0.5High-scaleMedium</v>
      </c>
      <c r="B1010" t="s">
        <v>130</v>
      </c>
      <c r="C1010" t="s">
        <v>130</v>
      </c>
      <c r="D1010" t="s">
        <v>15</v>
      </c>
      <c r="E1010" s="12" t="s">
        <v>182</v>
      </c>
      <c r="F1010" t="s">
        <v>187</v>
      </c>
      <c r="G1010" t="s">
        <v>12</v>
      </c>
      <c r="H1010" t="s">
        <v>72</v>
      </c>
      <c r="I1010" t="s">
        <v>175</v>
      </c>
      <c r="J1010" s="12">
        <v>0.5</v>
      </c>
      <c r="K1010" t="s">
        <v>107</v>
      </c>
      <c r="L1010" t="s">
        <v>63</v>
      </c>
      <c r="M1010" t="s">
        <v>199</v>
      </c>
      <c r="O1010" t="s">
        <v>205</v>
      </c>
      <c r="P1010">
        <v>6</v>
      </c>
      <c r="Q1010" t="s">
        <v>201</v>
      </c>
      <c r="R1010" s="6">
        <v>0.92672540176735962</v>
      </c>
      <c r="S1010" s="6">
        <v>21.596944037159815</v>
      </c>
      <c r="T1010" s="6">
        <v>7.9335822243706549</v>
      </c>
      <c r="U1010" s="6">
        <v>77.030777993436004</v>
      </c>
      <c r="V1010" s="6">
        <v>0.30584743252732383</v>
      </c>
      <c r="W1010" s="6">
        <v>9.5367144048366299</v>
      </c>
      <c r="X1010" s="6">
        <v>6.3648541637204437</v>
      </c>
      <c r="Y1010" s="6">
        <v>59.819172387185354</v>
      </c>
    </row>
    <row r="1011" spans="1:25" x14ac:dyDescent="0.25">
      <c r="A1011" t="str">
        <f t="shared" si="15"/>
        <v>RTD Ice TeaFranceDecemberEUR (€)Fully-AutomatedOldPET Bottle0.5High-scaleHigh</v>
      </c>
      <c r="B1011" t="s">
        <v>130</v>
      </c>
      <c r="C1011" t="s">
        <v>130</v>
      </c>
      <c r="D1011" t="s">
        <v>15</v>
      </c>
      <c r="E1011" s="12" t="s">
        <v>182</v>
      </c>
      <c r="F1011" t="s">
        <v>187</v>
      </c>
      <c r="G1011" t="s">
        <v>12</v>
      </c>
      <c r="H1011" t="s">
        <v>72</v>
      </c>
      <c r="I1011" t="s">
        <v>175</v>
      </c>
      <c r="J1011" s="12">
        <v>0.5</v>
      </c>
      <c r="K1011" t="s">
        <v>107</v>
      </c>
      <c r="L1011" t="s">
        <v>11</v>
      </c>
      <c r="M1011" t="s">
        <v>199</v>
      </c>
      <c r="O1011" t="s">
        <v>205</v>
      </c>
      <c r="P1011">
        <v>6</v>
      </c>
      <c r="Q1011" t="s">
        <v>201</v>
      </c>
      <c r="R1011" s="6">
        <v>0.96358552894916505</v>
      </c>
      <c r="S1011" s="6">
        <v>22.45648936118053</v>
      </c>
      <c r="T1011" s="6">
        <v>8.2489234849729414</v>
      </c>
      <c r="U1011" s="6">
        <v>80.093235087566029</v>
      </c>
      <c r="V1011" s="6">
        <v>0.31772102679811365</v>
      </c>
      <c r="W1011" s="6">
        <v>9.9046645700022413</v>
      </c>
      <c r="X1011" s="6">
        <v>6.6113776691176982</v>
      </c>
      <c r="Y1011" s="6">
        <v>62.13517942858708</v>
      </c>
    </row>
    <row r="1012" spans="1:25" x14ac:dyDescent="0.25">
      <c r="A1012" t="str">
        <f t="shared" si="15"/>
        <v>RTD Ice TeaFranceDecemberEUR (€)Fully-AutomatedOldPET Bottle0.5Medium-scaleLow</v>
      </c>
      <c r="B1012" t="s">
        <v>130</v>
      </c>
      <c r="C1012" t="s">
        <v>130</v>
      </c>
      <c r="D1012" t="s">
        <v>15</v>
      </c>
      <c r="E1012" s="12" t="s">
        <v>182</v>
      </c>
      <c r="F1012" t="s">
        <v>187</v>
      </c>
      <c r="G1012" t="s">
        <v>12</v>
      </c>
      <c r="H1012" t="s">
        <v>72</v>
      </c>
      <c r="I1012" t="s">
        <v>175</v>
      </c>
      <c r="J1012" s="12">
        <v>0.5</v>
      </c>
      <c r="K1012" t="s">
        <v>62</v>
      </c>
      <c r="L1012" t="s">
        <v>13</v>
      </c>
      <c r="M1012" t="s">
        <v>199</v>
      </c>
      <c r="O1012" t="s">
        <v>205</v>
      </c>
      <c r="P1012">
        <v>6</v>
      </c>
      <c r="Q1012" t="s">
        <v>201</v>
      </c>
      <c r="R1012" s="6">
        <v>0.89390120993235456</v>
      </c>
      <c r="S1012" s="6">
        <v>20.828146471301082</v>
      </c>
      <c r="T1012" s="6">
        <v>7.6541122529932064</v>
      </c>
      <c r="U1012" s="6">
        <v>74.312507232991535</v>
      </c>
      <c r="V1012" s="6">
        <v>0.29594048497019504</v>
      </c>
      <c r="W1012" s="6">
        <v>9.2319737976532927</v>
      </c>
      <c r="X1012" s="6">
        <v>6.1606831845485468</v>
      </c>
      <c r="Y1012" s="6">
        <v>57.901003189957827</v>
      </c>
    </row>
    <row r="1013" spans="1:25" x14ac:dyDescent="0.25">
      <c r="A1013" t="str">
        <f t="shared" si="15"/>
        <v>RTD Ice TeaFranceDecemberEUR (€)Fully-AutomatedOldPET Bottle0.5Medium-scaleMedium</v>
      </c>
      <c r="B1013" t="s">
        <v>130</v>
      </c>
      <c r="C1013" t="s">
        <v>130</v>
      </c>
      <c r="D1013" t="s">
        <v>15</v>
      </c>
      <c r="E1013" s="12" t="s">
        <v>182</v>
      </c>
      <c r="F1013" t="s">
        <v>187</v>
      </c>
      <c r="G1013" t="s">
        <v>12</v>
      </c>
      <c r="H1013" t="s">
        <v>72</v>
      </c>
      <c r="I1013" t="s">
        <v>175</v>
      </c>
      <c r="J1013" s="12">
        <v>0.5</v>
      </c>
      <c r="K1013" t="s">
        <v>62</v>
      </c>
      <c r="L1013" t="s">
        <v>63</v>
      </c>
      <c r="M1013" t="s">
        <v>199</v>
      </c>
      <c r="O1013" t="s">
        <v>205</v>
      </c>
      <c r="P1013">
        <v>6</v>
      </c>
      <c r="Q1013" t="s">
        <v>201</v>
      </c>
      <c r="R1013" s="6">
        <v>0.9280309573229153</v>
      </c>
      <c r="S1013" s="6">
        <v>21.624021771320269</v>
      </c>
      <c r="T1013" s="6">
        <v>7.9460949016990279</v>
      </c>
      <c r="U1013" s="6">
        <v>77.148115653482321</v>
      </c>
      <c r="V1013" s="6">
        <v>0.306934553739445</v>
      </c>
      <c r="W1013" s="6">
        <v>9.5726683950288631</v>
      </c>
      <c r="X1013" s="6">
        <v>6.3889456895460048</v>
      </c>
      <c r="Y1013" s="6">
        <v>60.045454154218696</v>
      </c>
    </row>
    <row r="1014" spans="1:25" x14ac:dyDescent="0.25">
      <c r="A1014" t="str">
        <f t="shared" si="15"/>
        <v>RTD Ice TeaFranceDecemberEUR (€)Fully-AutomatedOldPET Bottle0.5Medium-scaleHigh</v>
      </c>
      <c r="B1014" t="s">
        <v>130</v>
      </c>
      <c r="C1014" t="s">
        <v>130</v>
      </c>
      <c r="D1014" t="s">
        <v>15</v>
      </c>
      <c r="E1014" s="12" t="s">
        <v>182</v>
      </c>
      <c r="F1014" t="s">
        <v>187</v>
      </c>
      <c r="G1014" t="s">
        <v>12</v>
      </c>
      <c r="H1014" t="s">
        <v>72</v>
      </c>
      <c r="I1014" t="s">
        <v>175</v>
      </c>
      <c r="J1014" s="12">
        <v>0.5</v>
      </c>
      <c r="K1014" t="s">
        <v>62</v>
      </c>
      <c r="L1014" t="s">
        <v>11</v>
      </c>
      <c r="M1014" t="s">
        <v>199</v>
      </c>
      <c r="O1014" t="s">
        <v>205</v>
      </c>
      <c r="P1014">
        <v>6</v>
      </c>
      <c r="Q1014" t="s">
        <v>201</v>
      </c>
      <c r="R1014" s="6">
        <v>0.96489108450472072</v>
      </c>
      <c r="S1014" s="6">
        <v>22.483567095340984</v>
      </c>
      <c r="T1014" s="6">
        <v>8.2614361623013135</v>
      </c>
      <c r="U1014" s="6">
        <v>80.210572747612346</v>
      </c>
      <c r="V1014" s="6">
        <v>0.31880814801023494</v>
      </c>
      <c r="W1014" s="6">
        <v>9.9406185601944728</v>
      </c>
      <c r="X1014" s="6">
        <v>6.6354691949432594</v>
      </c>
      <c r="Y1014" s="6">
        <v>62.361461195620429</v>
      </c>
    </row>
    <row r="1015" spans="1:25" x14ac:dyDescent="0.25">
      <c r="A1015" t="str">
        <f t="shared" si="15"/>
        <v>RTD Ice TeaFranceDecemberEUR (€)Fully-AutomatedOldPET Bottle0.5Small-scaleLow</v>
      </c>
      <c r="B1015" t="s">
        <v>130</v>
      </c>
      <c r="C1015" t="s">
        <v>130</v>
      </c>
      <c r="D1015" t="s">
        <v>15</v>
      </c>
      <c r="E1015" s="12" t="s">
        <v>182</v>
      </c>
      <c r="F1015" t="s">
        <v>187</v>
      </c>
      <c r="G1015" t="s">
        <v>12</v>
      </c>
      <c r="H1015" t="s">
        <v>72</v>
      </c>
      <c r="I1015" t="s">
        <v>175</v>
      </c>
      <c r="J1015" s="12">
        <v>0.5</v>
      </c>
      <c r="K1015" t="s">
        <v>60</v>
      </c>
      <c r="L1015" t="s">
        <v>13</v>
      </c>
      <c r="M1015" t="s">
        <v>199</v>
      </c>
      <c r="O1015" t="s">
        <v>205</v>
      </c>
      <c r="P1015">
        <v>6</v>
      </c>
      <c r="Q1015" t="s">
        <v>201</v>
      </c>
      <c r="R1015" s="6">
        <v>0.89607713585828042</v>
      </c>
      <c r="S1015" s="6">
        <v>20.873276028235175</v>
      </c>
      <c r="T1015" s="6">
        <v>7.6749667152071641</v>
      </c>
      <c r="U1015" s="6">
        <v>74.508069999735369</v>
      </c>
      <c r="V1015" s="6">
        <v>0.29775235365706376</v>
      </c>
      <c r="W1015" s="6">
        <v>9.2918971146403493</v>
      </c>
      <c r="X1015" s="6">
        <v>6.2008357275911488</v>
      </c>
      <c r="Y1015" s="6">
        <v>58.278139468346723</v>
      </c>
    </row>
    <row r="1016" spans="1:25" x14ac:dyDescent="0.25">
      <c r="A1016" t="str">
        <f t="shared" si="15"/>
        <v>RTD Ice TeaFranceDecemberEUR (€)Fully-AutomatedOldPET Bottle0.5Small-scaleMedium</v>
      </c>
      <c r="B1016" t="s">
        <v>130</v>
      </c>
      <c r="C1016" t="s">
        <v>130</v>
      </c>
      <c r="D1016" t="s">
        <v>15</v>
      </c>
      <c r="E1016" s="12" t="s">
        <v>182</v>
      </c>
      <c r="F1016" t="s">
        <v>187</v>
      </c>
      <c r="G1016" t="s">
        <v>12</v>
      </c>
      <c r="H1016" t="s">
        <v>72</v>
      </c>
      <c r="I1016" t="s">
        <v>175</v>
      </c>
      <c r="J1016" s="12">
        <v>0.5</v>
      </c>
      <c r="K1016" t="s">
        <v>60</v>
      </c>
      <c r="L1016" t="s">
        <v>63</v>
      </c>
      <c r="M1016" t="s">
        <v>199</v>
      </c>
      <c r="O1016" t="s">
        <v>205</v>
      </c>
      <c r="P1016">
        <v>6</v>
      </c>
      <c r="Q1016" t="s">
        <v>201</v>
      </c>
      <c r="R1016" s="6">
        <v>0.93020688324884127</v>
      </c>
      <c r="S1016" s="6">
        <v>21.669151328254358</v>
      </c>
      <c r="T1016" s="6">
        <v>7.9669493639129847</v>
      </c>
      <c r="U1016" s="6">
        <v>77.343678420226126</v>
      </c>
      <c r="V1016" s="6">
        <v>0.30874642242631373</v>
      </c>
      <c r="W1016" s="6">
        <v>9.6325917120159179</v>
      </c>
      <c r="X1016" s="6">
        <v>6.4290982325886068</v>
      </c>
      <c r="Y1016" s="6">
        <v>60.422590432607592</v>
      </c>
    </row>
    <row r="1017" spans="1:25" x14ac:dyDescent="0.25">
      <c r="A1017" t="str">
        <f t="shared" si="15"/>
        <v>RTD Ice TeaFranceDecemberEUR (€)Fully-AutomatedOldPET Bottle0.5Small-scaleHigh</v>
      </c>
      <c r="B1017" t="s">
        <v>130</v>
      </c>
      <c r="C1017" t="s">
        <v>130</v>
      </c>
      <c r="D1017" t="s">
        <v>15</v>
      </c>
      <c r="E1017" s="12" t="s">
        <v>182</v>
      </c>
      <c r="F1017" t="s">
        <v>187</v>
      </c>
      <c r="G1017" t="s">
        <v>12</v>
      </c>
      <c r="H1017" t="s">
        <v>72</v>
      </c>
      <c r="I1017" t="s">
        <v>175</v>
      </c>
      <c r="J1017" s="12">
        <v>0.5</v>
      </c>
      <c r="K1017" t="s">
        <v>60</v>
      </c>
      <c r="L1017" t="s">
        <v>11</v>
      </c>
      <c r="M1017" t="s">
        <v>199</v>
      </c>
      <c r="O1017" t="s">
        <v>205</v>
      </c>
      <c r="P1017">
        <v>6</v>
      </c>
      <c r="Q1017" t="s">
        <v>201</v>
      </c>
      <c r="R1017" s="6">
        <v>0.96706701043064658</v>
      </c>
      <c r="S1017" s="6">
        <v>22.52869665227508</v>
      </c>
      <c r="T1017" s="6">
        <v>8.2822906245152694</v>
      </c>
      <c r="U1017" s="6">
        <v>80.40613551435618</v>
      </c>
      <c r="V1017" s="6">
        <v>0.32062001669710355</v>
      </c>
      <c r="W1017" s="6">
        <v>10.000541877181528</v>
      </c>
      <c r="X1017" s="6">
        <v>6.6756217379858613</v>
      </c>
      <c r="Y1017" s="6">
        <v>62.738597474009332</v>
      </c>
    </row>
    <row r="1018" spans="1:25" x14ac:dyDescent="0.25">
      <c r="A1018" t="str">
        <f t="shared" si="15"/>
        <v>RTD Ice TeaFranceDecemberEUR (€)Fully-AutomatedOldPET Bottle0.5High-scaleLow</v>
      </c>
      <c r="B1018" t="s">
        <v>130</v>
      </c>
      <c r="C1018" t="s">
        <v>130</v>
      </c>
      <c r="D1018" t="s">
        <v>15</v>
      </c>
      <c r="E1018" s="12" t="s">
        <v>182</v>
      </c>
      <c r="F1018" t="s">
        <v>187</v>
      </c>
      <c r="G1018" t="s">
        <v>12</v>
      </c>
      <c r="H1018" t="s">
        <v>72</v>
      </c>
      <c r="I1018" t="s">
        <v>175</v>
      </c>
      <c r="J1018" s="12">
        <v>0.5</v>
      </c>
      <c r="K1018" t="s">
        <v>107</v>
      </c>
      <c r="L1018" t="s">
        <v>13</v>
      </c>
      <c r="M1018" t="s">
        <v>200</v>
      </c>
      <c r="O1018" t="s">
        <v>205</v>
      </c>
      <c r="P1018">
        <v>6</v>
      </c>
      <c r="Q1018" t="s">
        <v>201</v>
      </c>
      <c r="R1018" s="6">
        <v>0.892595654376799</v>
      </c>
      <c r="S1018" s="6">
        <v>20.801068737140625</v>
      </c>
      <c r="T1018" s="6">
        <v>7.6415995756648325</v>
      </c>
      <c r="U1018" s="6">
        <v>74.195169572945233</v>
      </c>
      <c r="V1018" s="6">
        <v>0.26456865964349507</v>
      </c>
      <c r="W1018" s="6">
        <v>11.159934185177466</v>
      </c>
      <c r="X1018" s="6">
        <v>6.095571726258461</v>
      </c>
      <c r="Y1018" s="6">
        <v>58.587292128366329</v>
      </c>
    </row>
    <row r="1019" spans="1:25" x14ac:dyDescent="0.25">
      <c r="A1019" t="str">
        <f t="shared" si="15"/>
        <v>RTD Ice TeaFranceDecemberEUR (€)Fully-AutomatedOldPET Bottle0.5High-scaleMedium</v>
      </c>
      <c r="B1019" t="s">
        <v>130</v>
      </c>
      <c r="C1019" t="s">
        <v>130</v>
      </c>
      <c r="D1019" t="s">
        <v>15</v>
      </c>
      <c r="E1019" s="12" t="s">
        <v>182</v>
      </c>
      <c r="F1019" t="s">
        <v>187</v>
      </c>
      <c r="G1019" t="s">
        <v>12</v>
      </c>
      <c r="H1019" t="s">
        <v>72</v>
      </c>
      <c r="I1019" t="s">
        <v>175</v>
      </c>
      <c r="J1019" s="12">
        <v>0.5</v>
      </c>
      <c r="K1019" t="s">
        <v>107</v>
      </c>
      <c r="L1019" t="s">
        <v>63</v>
      </c>
      <c r="M1019" t="s">
        <v>200</v>
      </c>
      <c r="O1019" t="s">
        <v>205</v>
      </c>
      <c r="P1019">
        <v>6</v>
      </c>
      <c r="Q1019" t="s">
        <v>201</v>
      </c>
      <c r="R1019" s="6">
        <v>0.92672540176735962</v>
      </c>
      <c r="S1019" s="6">
        <v>21.596944037159815</v>
      </c>
      <c r="T1019" s="6">
        <v>7.9335822243706549</v>
      </c>
      <c r="U1019" s="6">
        <v>77.030777993436004</v>
      </c>
      <c r="V1019" s="6">
        <v>0.2744994278271416</v>
      </c>
      <c r="W1019" s="6">
        <v>11.576902925362418</v>
      </c>
      <c r="X1019" s="6">
        <v>6.3239939111966272</v>
      </c>
      <c r="Y1019" s="6">
        <v>60.781970366082824</v>
      </c>
    </row>
    <row r="1020" spans="1:25" x14ac:dyDescent="0.25">
      <c r="A1020" t="str">
        <f t="shared" si="15"/>
        <v>RTD Ice TeaFranceDecemberEUR (€)Fully-AutomatedOldPET Bottle0.5High-scaleHigh</v>
      </c>
      <c r="B1020" t="s">
        <v>130</v>
      </c>
      <c r="C1020" t="s">
        <v>130</v>
      </c>
      <c r="D1020" t="s">
        <v>15</v>
      </c>
      <c r="E1020" s="12" t="s">
        <v>182</v>
      </c>
      <c r="F1020" t="s">
        <v>187</v>
      </c>
      <c r="G1020" t="s">
        <v>12</v>
      </c>
      <c r="H1020" t="s">
        <v>72</v>
      </c>
      <c r="I1020" t="s">
        <v>175</v>
      </c>
      <c r="J1020" s="12">
        <v>0.5</v>
      </c>
      <c r="K1020" t="s">
        <v>107</v>
      </c>
      <c r="L1020" t="s">
        <v>11</v>
      </c>
      <c r="M1020" t="s">
        <v>200</v>
      </c>
      <c r="O1020" t="s">
        <v>205</v>
      </c>
      <c r="P1020">
        <v>6</v>
      </c>
      <c r="Q1020" t="s">
        <v>201</v>
      </c>
      <c r="R1020" s="6">
        <v>0.96358552894916505</v>
      </c>
      <c r="S1020" s="6">
        <v>22.45648936118053</v>
      </c>
      <c r="T1020" s="6">
        <v>8.2489234849729414</v>
      </c>
      <c r="U1020" s="6">
        <v>80.093235087566029</v>
      </c>
      <c r="V1020" s="6">
        <v>0.28522465746547965</v>
      </c>
      <c r="W1020" s="6">
        <v>12.027229164762161</v>
      </c>
      <c r="X1020" s="6">
        <v>6.5706898709298462</v>
      </c>
      <c r="Y1020" s="6">
        <v>63.152222862816636</v>
      </c>
    </row>
    <row r="1021" spans="1:25" x14ac:dyDescent="0.25">
      <c r="A1021" t="str">
        <f t="shared" si="15"/>
        <v>RTD Ice TeaFranceDecemberEUR (€)Fully-AutomatedOldPET Bottle0.5Medium-scaleLow</v>
      </c>
      <c r="B1021" t="s">
        <v>130</v>
      </c>
      <c r="C1021" t="s">
        <v>130</v>
      </c>
      <c r="D1021" t="s">
        <v>15</v>
      </c>
      <c r="E1021" s="12" t="s">
        <v>182</v>
      </c>
      <c r="F1021" t="s">
        <v>187</v>
      </c>
      <c r="G1021" t="s">
        <v>12</v>
      </c>
      <c r="H1021" t="s">
        <v>72</v>
      </c>
      <c r="I1021" t="s">
        <v>175</v>
      </c>
      <c r="J1021" s="12">
        <v>0.5</v>
      </c>
      <c r="K1021" t="s">
        <v>62</v>
      </c>
      <c r="L1021" t="s">
        <v>13</v>
      </c>
      <c r="M1021" t="s">
        <v>200</v>
      </c>
      <c r="O1021" t="s">
        <v>205</v>
      </c>
      <c r="P1021">
        <v>6</v>
      </c>
      <c r="Q1021" t="s">
        <v>201</v>
      </c>
      <c r="R1021" s="6">
        <v>0.89390120993235456</v>
      </c>
      <c r="S1021" s="6">
        <v>20.828146471301082</v>
      </c>
      <c r="T1021" s="6">
        <v>7.6541122529932064</v>
      </c>
      <c r="U1021" s="6">
        <v>74.312507232991535</v>
      </c>
      <c r="V1021" s="6">
        <v>0.26555477075460615</v>
      </c>
      <c r="W1021" s="6">
        <v>11.203064560422659</v>
      </c>
      <c r="X1021" s="6">
        <v>6.1196632520840222</v>
      </c>
      <c r="Y1021" s="6">
        <v>58.818172889118451</v>
      </c>
    </row>
    <row r="1022" spans="1:25" x14ac:dyDescent="0.25">
      <c r="A1022" t="str">
        <f t="shared" si="15"/>
        <v>RTD Ice TeaFranceDecemberEUR (€)Fully-AutomatedOldPET Bottle0.5Medium-scaleMedium</v>
      </c>
      <c r="B1022" t="s">
        <v>130</v>
      </c>
      <c r="C1022" t="s">
        <v>130</v>
      </c>
      <c r="D1022" t="s">
        <v>15</v>
      </c>
      <c r="E1022" s="12" t="s">
        <v>182</v>
      </c>
      <c r="F1022" t="s">
        <v>187</v>
      </c>
      <c r="G1022" t="s">
        <v>12</v>
      </c>
      <c r="H1022" t="s">
        <v>72</v>
      </c>
      <c r="I1022" t="s">
        <v>175</v>
      </c>
      <c r="J1022" s="12">
        <v>0.5</v>
      </c>
      <c r="K1022" t="s">
        <v>62</v>
      </c>
      <c r="L1022" t="s">
        <v>63</v>
      </c>
      <c r="M1022" t="s">
        <v>200</v>
      </c>
      <c r="O1022" t="s">
        <v>205</v>
      </c>
      <c r="P1022">
        <v>6</v>
      </c>
      <c r="Q1022" t="s">
        <v>201</v>
      </c>
      <c r="R1022" s="6">
        <v>0.9280309573229153</v>
      </c>
      <c r="S1022" s="6">
        <v>21.624021771320269</v>
      </c>
      <c r="T1022" s="6">
        <v>7.9460949016990279</v>
      </c>
      <c r="U1022" s="6">
        <v>77.148115653482321</v>
      </c>
      <c r="V1022" s="6">
        <v>0.27548553893825262</v>
      </c>
      <c r="W1022" s="6">
        <v>11.620033300607611</v>
      </c>
      <c r="X1022" s="6">
        <v>6.3480854370221884</v>
      </c>
      <c r="Y1022" s="6">
        <v>61.012851126834931</v>
      </c>
    </row>
    <row r="1023" spans="1:25" x14ac:dyDescent="0.25">
      <c r="A1023" t="str">
        <f t="shared" si="15"/>
        <v>RTD Ice TeaFranceDecemberEUR (€)Fully-AutomatedOldPET Bottle0.5Medium-scaleHigh</v>
      </c>
      <c r="B1023" t="s">
        <v>130</v>
      </c>
      <c r="C1023" t="s">
        <v>130</v>
      </c>
      <c r="D1023" t="s">
        <v>15</v>
      </c>
      <c r="E1023" s="12" t="s">
        <v>182</v>
      </c>
      <c r="F1023" t="s">
        <v>187</v>
      </c>
      <c r="G1023" t="s">
        <v>12</v>
      </c>
      <c r="H1023" t="s">
        <v>72</v>
      </c>
      <c r="I1023" t="s">
        <v>175</v>
      </c>
      <c r="J1023" s="12">
        <v>0.5</v>
      </c>
      <c r="K1023" t="s">
        <v>62</v>
      </c>
      <c r="L1023" t="s">
        <v>11</v>
      </c>
      <c r="M1023" t="s">
        <v>200</v>
      </c>
      <c r="O1023" t="s">
        <v>205</v>
      </c>
      <c r="P1023">
        <v>6</v>
      </c>
      <c r="Q1023" t="s">
        <v>201</v>
      </c>
      <c r="R1023" s="6">
        <v>0.96489108450472072</v>
      </c>
      <c r="S1023" s="6">
        <v>22.483567095340984</v>
      </c>
      <c r="T1023" s="6">
        <v>8.2614361623013135</v>
      </c>
      <c r="U1023" s="6">
        <v>80.210572747612346</v>
      </c>
      <c r="V1023" s="6">
        <v>0.28621076857659083</v>
      </c>
      <c r="W1023" s="6">
        <v>12.070359540007358</v>
      </c>
      <c r="X1023" s="6">
        <v>6.5947813967554083</v>
      </c>
      <c r="Y1023" s="6">
        <v>63.383103623568736</v>
      </c>
    </row>
    <row r="1024" spans="1:25" x14ac:dyDescent="0.25">
      <c r="A1024" t="str">
        <f t="shared" si="15"/>
        <v>RTD Ice TeaFranceDecemberEUR (€)Fully-AutomatedOldPET Bottle0.5Small-scaleLow</v>
      </c>
      <c r="B1024" t="s">
        <v>130</v>
      </c>
      <c r="C1024" t="s">
        <v>130</v>
      </c>
      <c r="D1024" t="s">
        <v>15</v>
      </c>
      <c r="E1024" s="12" t="s">
        <v>182</v>
      </c>
      <c r="F1024" t="s">
        <v>187</v>
      </c>
      <c r="G1024" t="s">
        <v>12</v>
      </c>
      <c r="H1024" t="s">
        <v>72</v>
      </c>
      <c r="I1024" t="s">
        <v>175</v>
      </c>
      <c r="J1024" s="12">
        <v>0.5</v>
      </c>
      <c r="K1024" t="s">
        <v>60</v>
      </c>
      <c r="L1024" t="s">
        <v>13</v>
      </c>
      <c r="M1024" t="s">
        <v>200</v>
      </c>
      <c r="O1024" t="s">
        <v>205</v>
      </c>
      <c r="P1024">
        <v>6</v>
      </c>
      <c r="Q1024" t="s">
        <v>201</v>
      </c>
      <c r="R1024" s="6">
        <v>0.89607713585828042</v>
      </c>
      <c r="S1024" s="6">
        <v>20.873276028235175</v>
      </c>
      <c r="T1024" s="6">
        <v>7.6749667152071641</v>
      </c>
      <c r="U1024" s="6">
        <v>74.508069999735369</v>
      </c>
      <c r="V1024" s="6">
        <v>0.26719828927312467</v>
      </c>
      <c r="W1024" s="6">
        <v>11.274948519164649</v>
      </c>
      <c r="X1024" s="6">
        <v>6.1598157951266241</v>
      </c>
      <c r="Y1024" s="6">
        <v>59.202974157038625</v>
      </c>
    </row>
    <row r="1025" spans="1:25" x14ac:dyDescent="0.25">
      <c r="A1025" t="str">
        <f t="shared" si="15"/>
        <v>RTD Ice TeaFranceDecemberEUR (€)Fully-AutomatedOldPET Bottle0.5Small-scaleMedium</v>
      </c>
      <c r="B1025" t="s">
        <v>130</v>
      </c>
      <c r="C1025" t="s">
        <v>130</v>
      </c>
      <c r="D1025" t="s">
        <v>15</v>
      </c>
      <c r="E1025" s="12" t="s">
        <v>182</v>
      </c>
      <c r="F1025" t="s">
        <v>187</v>
      </c>
      <c r="G1025" t="s">
        <v>12</v>
      </c>
      <c r="H1025" t="s">
        <v>72</v>
      </c>
      <c r="I1025" t="s">
        <v>175</v>
      </c>
      <c r="J1025" s="12">
        <v>0.5</v>
      </c>
      <c r="K1025" t="s">
        <v>60</v>
      </c>
      <c r="L1025" t="s">
        <v>63</v>
      </c>
      <c r="M1025" t="s">
        <v>200</v>
      </c>
      <c r="O1025" t="s">
        <v>205</v>
      </c>
      <c r="P1025">
        <v>6</v>
      </c>
      <c r="Q1025" t="s">
        <v>201</v>
      </c>
      <c r="R1025" s="6">
        <v>0.93020688324884127</v>
      </c>
      <c r="S1025" s="6">
        <v>21.669151328254358</v>
      </c>
      <c r="T1025" s="6">
        <v>7.9669493639129847</v>
      </c>
      <c r="U1025" s="6">
        <v>77.343678420226126</v>
      </c>
      <c r="V1025" s="6">
        <v>0.27712905745677119</v>
      </c>
      <c r="W1025" s="6">
        <v>11.691917259349603</v>
      </c>
      <c r="X1025" s="6">
        <v>6.3882379800647904</v>
      </c>
      <c r="Y1025" s="6">
        <v>61.397652394755113</v>
      </c>
    </row>
    <row r="1026" spans="1:25" x14ac:dyDescent="0.25">
      <c r="A1026" t="str">
        <f t="shared" ref="A1026:A1089" si="16">C1026&amp;D1026&amp;E1026&amp;F1026&amp;G1026&amp;H1026&amp;I1026&amp;J1026&amp;K1026&amp;L1026</f>
        <v>RTD Ice TeaFranceDecemberEUR (€)Fully-AutomatedOldPET Bottle0.5Small-scaleHigh</v>
      </c>
      <c r="B1026" t="s">
        <v>130</v>
      </c>
      <c r="C1026" t="s">
        <v>130</v>
      </c>
      <c r="D1026" t="s">
        <v>15</v>
      </c>
      <c r="E1026" s="12" t="s">
        <v>182</v>
      </c>
      <c r="F1026" t="s">
        <v>187</v>
      </c>
      <c r="G1026" t="s">
        <v>12</v>
      </c>
      <c r="H1026" t="s">
        <v>72</v>
      </c>
      <c r="I1026" t="s">
        <v>175</v>
      </c>
      <c r="J1026" s="12">
        <v>0.5</v>
      </c>
      <c r="K1026" t="s">
        <v>60</v>
      </c>
      <c r="L1026" t="s">
        <v>11</v>
      </c>
      <c r="M1026" t="s">
        <v>200</v>
      </c>
      <c r="O1026" t="s">
        <v>205</v>
      </c>
      <c r="P1026">
        <v>6</v>
      </c>
      <c r="Q1026" t="s">
        <v>201</v>
      </c>
      <c r="R1026" s="6">
        <v>0.96706701043064658</v>
      </c>
      <c r="S1026" s="6">
        <v>22.52869665227508</v>
      </c>
      <c r="T1026" s="6">
        <v>8.2822906245152694</v>
      </c>
      <c r="U1026" s="6">
        <v>80.40613551435618</v>
      </c>
      <c r="V1026" s="6">
        <v>0.2878542870951093</v>
      </c>
      <c r="W1026" s="6">
        <v>12.142243498749348</v>
      </c>
      <c r="X1026" s="6">
        <v>6.6349339397980094</v>
      </c>
      <c r="Y1026" s="6">
        <v>63.767904891488911</v>
      </c>
    </row>
    <row r="1027" spans="1:25" x14ac:dyDescent="0.25">
      <c r="A1027" t="str">
        <f t="shared" si="16"/>
        <v>RTD Ice TeaFranceDecemberEUR (€)Fully-AutomatedOldPET Bottle0.5High-scaleLow</v>
      </c>
      <c r="B1027" t="s">
        <v>130</v>
      </c>
      <c r="C1027" t="s">
        <v>130</v>
      </c>
      <c r="D1027" t="s">
        <v>15</v>
      </c>
      <c r="E1027" s="12" t="s">
        <v>182</v>
      </c>
      <c r="F1027" t="s">
        <v>187</v>
      </c>
      <c r="G1027" t="s">
        <v>12</v>
      </c>
      <c r="H1027" t="s">
        <v>72</v>
      </c>
      <c r="I1027" t="s">
        <v>175</v>
      </c>
      <c r="J1027" s="12">
        <v>0.5</v>
      </c>
      <c r="K1027" t="s">
        <v>107</v>
      </c>
      <c r="L1027" t="s">
        <v>13</v>
      </c>
      <c r="M1027" t="s">
        <v>199</v>
      </c>
      <c r="O1027" t="s">
        <v>205</v>
      </c>
      <c r="P1027">
        <v>8</v>
      </c>
      <c r="Q1027" t="s">
        <v>202</v>
      </c>
      <c r="R1027" s="6">
        <v>0.892595654376799</v>
      </c>
      <c r="S1027" s="6">
        <v>20.801068737140625</v>
      </c>
      <c r="T1027" s="6">
        <v>7.6415995756648325</v>
      </c>
      <c r="U1027" s="6">
        <v>74.195169572945233</v>
      </c>
      <c r="V1027" s="6">
        <v>0.28166371128779988</v>
      </c>
      <c r="W1027" s="6">
        <v>8.8440482475630375</v>
      </c>
      <c r="X1027" s="6">
        <v>5.9515438560249816</v>
      </c>
      <c r="Y1027" s="6">
        <v>55.884223032756879</v>
      </c>
    </row>
    <row r="1028" spans="1:25" x14ac:dyDescent="0.25">
      <c r="A1028" t="str">
        <f t="shared" si="16"/>
        <v>RTD Ice TeaFranceDecemberEUR (€)Fully-AutomatedOldPET Bottle0.5High-scaleMedium</v>
      </c>
      <c r="B1028" t="s">
        <v>130</v>
      </c>
      <c r="C1028" t="s">
        <v>130</v>
      </c>
      <c r="D1028" t="s">
        <v>15</v>
      </c>
      <c r="E1028" s="12" t="s">
        <v>182</v>
      </c>
      <c r="F1028" t="s">
        <v>187</v>
      </c>
      <c r="G1028" t="s">
        <v>12</v>
      </c>
      <c r="H1028" t="s">
        <v>72</v>
      </c>
      <c r="I1028" t="s">
        <v>175</v>
      </c>
      <c r="J1028" s="12">
        <v>0.5</v>
      </c>
      <c r="K1028" t="s">
        <v>107</v>
      </c>
      <c r="L1028" t="s">
        <v>63</v>
      </c>
      <c r="M1028" t="s">
        <v>199</v>
      </c>
      <c r="O1028" t="s">
        <v>205</v>
      </c>
      <c r="P1028">
        <v>8</v>
      </c>
      <c r="Q1028" t="s">
        <v>202</v>
      </c>
      <c r="R1028" s="6">
        <v>0.92672540176735962</v>
      </c>
      <c r="S1028" s="6">
        <v>21.596944037159815</v>
      </c>
      <c r="T1028" s="6">
        <v>7.9335822243706549</v>
      </c>
      <c r="U1028" s="6">
        <v>77.030777993436004</v>
      </c>
      <c r="V1028" s="6">
        <v>0.29215048573127</v>
      </c>
      <c r="W1028" s="6">
        <v>9.1712054772502185</v>
      </c>
      <c r="X1028" s="6">
        <v>6.172689137841747</v>
      </c>
      <c r="Y1028" s="6">
        <v>57.959808674318992</v>
      </c>
    </row>
    <row r="1029" spans="1:25" x14ac:dyDescent="0.25">
      <c r="A1029" t="str">
        <f t="shared" si="16"/>
        <v>RTD Ice TeaFranceDecemberEUR (€)Fully-AutomatedOldPET Bottle0.5High-scaleHigh</v>
      </c>
      <c r="B1029" t="s">
        <v>130</v>
      </c>
      <c r="C1029" t="s">
        <v>130</v>
      </c>
      <c r="D1029" t="s">
        <v>15</v>
      </c>
      <c r="E1029" s="12" t="s">
        <v>182</v>
      </c>
      <c r="F1029" t="s">
        <v>187</v>
      </c>
      <c r="G1029" t="s">
        <v>12</v>
      </c>
      <c r="H1029" t="s">
        <v>72</v>
      </c>
      <c r="I1029" t="s">
        <v>175</v>
      </c>
      <c r="J1029" s="12">
        <v>0.5</v>
      </c>
      <c r="K1029" t="s">
        <v>107</v>
      </c>
      <c r="L1029" t="s">
        <v>11</v>
      </c>
      <c r="M1029" t="s">
        <v>199</v>
      </c>
      <c r="O1029" t="s">
        <v>205</v>
      </c>
      <c r="P1029">
        <v>8</v>
      </c>
      <c r="Q1029" t="s">
        <v>202</v>
      </c>
      <c r="R1029" s="6">
        <v>0.96358552894916505</v>
      </c>
      <c r="S1029" s="6">
        <v>22.45648936118053</v>
      </c>
      <c r="T1029" s="6">
        <v>8.2489234849729414</v>
      </c>
      <c r="U1029" s="6">
        <v>80.093235087566029</v>
      </c>
      <c r="V1029" s="6">
        <v>0.3034762021302177</v>
      </c>
      <c r="W1029" s="6">
        <v>9.524535285312373</v>
      </c>
      <c r="X1029" s="6">
        <v>6.411526042203854</v>
      </c>
      <c r="Y1029" s="6">
        <v>60.20144116720607</v>
      </c>
    </row>
    <row r="1030" spans="1:25" x14ac:dyDescent="0.25">
      <c r="A1030" t="str">
        <f t="shared" si="16"/>
        <v>RTD Ice TeaFranceDecemberEUR (€)Fully-AutomatedOldPET Bottle0.5Medium-scaleLow</v>
      </c>
      <c r="B1030" t="s">
        <v>130</v>
      </c>
      <c r="C1030" t="s">
        <v>130</v>
      </c>
      <c r="D1030" t="s">
        <v>15</v>
      </c>
      <c r="E1030" s="12" t="s">
        <v>182</v>
      </c>
      <c r="F1030" t="s">
        <v>187</v>
      </c>
      <c r="G1030" t="s">
        <v>12</v>
      </c>
      <c r="H1030" t="s">
        <v>72</v>
      </c>
      <c r="I1030" t="s">
        <v>175</v>
      </c>
      <c r="J1030" s="12">
        <v>0.5</v>
      </c>
      <c r="K1030" t="s">
        <v>62</v>
      </c>
      <c r="L1030" t="s">
        <v>13</v>
      </c>
      <c r="M1030" t="s">
        <v>199</v>
      </c>
      <c r="O1030" t="s">
        <v>205</v>
      </c>
      <c r="P1030">
        <v>8</v>
      </c>
      <c r="Q1030" t="s">
        <v>202</v>
      </c>
      <c r="R1030" s="6">
        <v>0.89390120993235456</v>
      </c>
      <c r="S1030" s="6">
        <v>20.828146471301082</v>
      </c>
      <c r="T1030" s="6">
        <v>7.6541122529932064</v>
      </c>
      <c r="U1030" s="6">
        <v>74.312507232991535</v>
      </c>
      <c r="V1030" s="6">
        <v>0.282750832499921</v>
      </c>
      <c r="W1030" s="6">
        <v>8.8800022377552672</v>
      </c>
      <c r="X1030" s="6">
        <v>5.9756353818505428</v>
      </c>
      <c r="Y1030" s="6">
        <v>56.110504799790213</v>
      </c>
    </row>
    <row r="1031" spans="1:25" x14ac:dyDescent="0.25">
      <c r="A1031" t="str">
        <f t="shared" si="16"/>
        <v>RTD Ice TeaFranceDecemberEUR (€)Fully-AutomatedOldPET Bottle0.5Medium-scaleMedium</v>
      </c>
      <c r="B1031" t="s">
        <v>130</v>
      </c>
      <c r="C1031" t="s">
        <v>130</v>
      </c>
      <c r="D1031" t="s">
        <v>15</v>
      </c>
      <c r="E1031" s="12" t="s">
        <v>182</v>
      </c>
      <c r="F1031" t="s">
        <v>187</v>
      </c>
      <c r="G1031" t="s">
        <v>12</v>
      </c>
      <c r="H1031" t="s">
        <v>72</v>
      </c>
      <c r="I1031" t="s">
        <v>175</v>
      </c>
      <c r="J1031" s="12">
        <v>0.5</v>
      </c>
      <c r="K1031" t="s">
        <v>62</v>
      </c>
      <c r="L1031" t="s">
        <v>63</v>
      </c>
      <c r="M1031" t="s">
        <v>199</v>
      </c>
      <c r="O1031" t="s">
        <v>205</v>
      </c>
      <c r="P1031">
        <v>8</v>
      </c>
      <c r="Q1031" t="s">
        <v>202</v>
      </c>
      <c r="R1031" s="6">
        <v>0.9280309573229153</v>
      </c>
      <c r="S1031" s="6">
        <v>21.624021771320269</v>
      </c>
      <c r="T1031" s="6">
        <v>7.9460949016990279</v>
      </c>
      <c r="U1031" s="6">
        <v>77.148115653482321</v>
      </c>
      <c r="V1031" s="6">
        <v>0.29323760694339118</v>
      </c>
      <c r="W1031" s="6">
        <v>9.20715946744245</v>
      </c>
      <c r="X1031" s="6">
        <v>6.1967806636673082</v>
      </c>
      <c r="Y1031" s="6">
        <v>58.186090441352334</v>
      </c>
    </row>
    <row r="1032" spans="1:25" x14ac:dyDescent="0.25">
      <c r="A1032" t="str">
        <f t="shared" si="16"/>
        <v>RTD Ice TeaFranceDecemberEUR (€)Fully-AutomatedOldPET Bottle0.5Medium-scaleHigh</v>
      </c>
      <c r="B1032" t="s">
        <v>130</v>
      </c>
      <c r="C1032" t="s">
        <v>130</v>
      </c>
      <c r="D1032" t="s">
        <v>15</v>
      </c>
      <c r="E1032" s="12" t="s">
        <v>182</v>
      </c>
      <c r="F1032" t="s">
        <v>187</v>
      </c>
      <c r="G1032" t="s">
        <v>12</v>
      </c>
      <c r="H1032" t="s">
        <v>72</v>
      </c>
      <c r="I1032" t="s">
        <v>175</v>
      </c>
      <c r="J1032" s="12">
        <v>0.5</v>
      </c>
      <c r="K1032" t="s">
        <v>62</v>
      </c>
      <c r="L1032" t="s">
        <v>11</v>
      </c>
      <c r="M1032" t="s">
        <v>199</v>
      </c>
      <c r="O1032" t="s">
        <v>205</v>
      </c>
      <c r="P1032">
        <v>8</v>
      </c>
      <c r="Q1032" t="s">
        <v>202</v>
      </c>
      <c r="R1032" s="6">
        <v>0.96489108450472072</v>
      </c>
      <c r="S1032" s="6">
        <v>22.483567095340984</v>
      </c>
      <c r="T1032" s="6">
        <v>8.2614361623013135</v>
      </c>
      <c r="U1032" s="6">
        <v>80.210572747612346</v>
      </c>
      <c r="V1032" s="6">
        <v>0.30456332334233899</v>
      </c>
      <c r="W1032" s="6">
        <v>9.5604892755046045</v>
      </c>
      <c r="X1032" s="6">
        <v>6.4356175680294152</v>
      </c>
      <c r="Y1032" s="6">
        <v>60.427722934239405</v>
      </c>
    </row>
    <row r="1033" spans="1:25" x14ac:dyDescent="0.25">
      <c r="A1033" t="str">
        <f t="shared" si="16"/>
        <v>RTD Ice TeaFranceDecemberEUR (€)Fully-AutomatedOldPET Bottle0.5Small-scaleLow</v>
      </c>
      <c r="B1033" t="s">
        <v>130</v>
      </c>
      <c r="C1033" t="s">
        <v>130</v>
      </c>
      <c r="D1033" t="s">
        <v>15</v>
      </c>
      <c r="E1033" s="12" t="s">
        <v>182</v>
      </c>
      <c r="F1033" t="s">
        <v>187</v>
      </c>
      <c r="G1033" t="s">
        <v>12</v>
      </c>
      <c r="H1033" t="s">
        <v>72</v>
      </c>
      <c r="I1033" t="s">
        <v>175</v>
      </c>
      <c r="J1033" s="12">
        <v>0.5</v>
      </c>
      <c r="K1033" t="s">
        <v>60</v>
      </c>
      <c r="L1033" t="s">
        <v>13</v>
      </c>
      <c r="M1033" t="s">
        <v>199</v>
      </c>
      <c r="O1033" t="s">
        <v>205</v>
      </c>
      <c r="P1033">
        <v>8</v>
      </c>
      <c r="Q1033" t="s">
        <v>202</v>
      </c>
      <c r="R1033" s="6">
        <v>0.89607713585828042</v>
      </c>
      <c r="S1033" s="6">
        <v>20.873276028235175</v>
      </c>
      <c r="T1033" s="6">
        <v>7.6749667152071641</v>
      </c>
      <c r="U1033" s="6">
        <v>74.508069999735369</v>
      </c>
      <c r="V1033" s="6">
        <v>0.28456270118678972</v>
      </c>
      <c r="W1033" s="6">
        <v>8.9399255547423238</v>
      </c>
      <c r="X1033" s="6">
        <v>6.0157879248931447</v>
      </c>
      <c r="Y1033" s="6">
        <v>56.487641078179117</v>
      </c>
    </row>
    <row r="1034" spans="1:25" x14ac:dyDescent="0.25">
      <c r="A1034" t="str">
        <f t="shared" si="16"/>
        <v>RTD Ice TeaFranceDecemberEUR (€)Fully-AutomatedOldPET Bottle0.5Small-scaleMedium</v>
      </c>
      <c r="B1034" t="s">
        <v>130</v>
      </c>
      <c r="C1034" t="s">
        <v>130</v>
      </c>
      <c r="D1034" t="s">
        <v>15</v>
      </c>
      <c r="E1034" s="12" t="s">
        <v>182</v>
      </c>
      <c r="F1034" t="s">
        <v>187</v>
      </c>
      <c r="G1034" t="s">
        <v>12</v>
      </c>
      <c r="H1034" t="s">
        <v>72</v>
      </c>
      <c r="I1034" t="s">
        <v>175</v>
      </c>
      <c r="J1034" s="12">
        <v>0.5</v>
      </c>
      <c r="K1034" t="s">
        <v>60</v>
      </c>
      <c r="L1034" t="s">
        <v>63</v>
      </c>
      <c r="M1034" t="s">
        <v>199</v>
      </c>
      <c r="O1034" t="s">
        <v>205</v>
      </c>
      <c r="P1034">
        <v>8</v>
      </c>
      <c r="Q1034" t="s">
        <v>202</v>
      </c>
      <c r="R1034" s="6">
        <v>0.93020688324884127</v>
      </c>
      <c r="S1034" s="6">
        <v>21.669151328254358</v>
      </c>
      <c r="T1034" s="6">
        <v>7.9669493639129847</v>
      </c>
      <c r="U1034" s="6">
        <v>77.343678420226126</v>
      </c>
      <c r="V1034" s="6">
        <v>0.29504947563025991</v>
      </c>
      <c r="W1034" s="6">
        <v>9.2670827844295047</v>
      </c>
      <c r="X1034" s="6">
        <v>6.2369332067099101</v>
      </c>
      <c r="Y1034" s="6">
        <v>58.563226719741223</v>
      </c>
    </row>
    <row r="1035" spans="1:25" x14ac:dyDescent="0.25">
      <c r="A1035" t="str">
        <f t="shared" si="16"/>
        <v>RTD Ice TeaFranceDecemberEUR (€)Fully-AutomatedOldPET Bottle0.5Small-scaleHigh</v>
      </c>
      <c r="B1035" t="s">
        <v>130</v>
      </c>
      <c r="C1035" t="s">
        <v>130</v>
      </c>
      <c r="D1035" t="s">
        <v>15</v>
      </c>
      <c r="E1035" s="12" t="s">
        <v>182</v>
      </c>
      <c r="F1035" t="s">
        <v>187</v>
      </c>
      <c r="G1035" t="s">
        <v>12</v>
      </c>
      <c r="H1035" t="s">
        <v>72</v>
      </c>
      <c r="I1035" t="s">
        <v>175</v>
      </c>
      <c r="J1035" s="12">
        <v>0.5</v>
      </c>
      <c r="K1035" t="s">
        <v>60</v>
      </c>
      <c r="L1035" t="s">
        <v>11</v>
      </c>
      <c r="M1035" t="s">
        <v>199</v>
      </c>
      <c r="O1035" t="s">
        <v>205</v>
      </c>
      <c r="P1035">
        <v>8</v>
      </c>
      <c r="Q1035" t="s">
        <v>202</v>
      </c>
      <c r="R1035" s="6">
        <v>0.96706701043064658</v>
      </c>
      <c r="S1035" s="6">
        <v>22.52869665227508</v>
      </c>
      <c r="T1035" s="6">
        <v>8.2822906245152694</v>
      </c>
      <c r="U1035" s="6">
        <v>80.40613551435618</v>
      </c>
      <c r="V1035" s="6">
        <v>0.3063751920292076</v>
      </c>
      <c r="W1035" s="6">
        <v>9.6204125924916593</v>
      </c>
      <c r="X1035" s="6">
        <v>6.4757701110720172</v>
      </c>
      <c r="Y1035" s="6">
        <v>60.804859212628301</v>
      </c>
    </row>
    <row r="1036" spans="1:25" x14ac:dyDescent="0.25">
      <c r="A1036" t="str">
        <f t="shared" si="16"/>
        <v>RTD Ice TeaFranceDecemberEUR (€)Fully-AutomatedOldPET Bottle0.5High-scaleLow</v>
      </c>
      <c r="B1036" t="s">
        <v>130</v>
      </c>
      <c r="C1036" t="s">
        <v>130</v>
      </c>
      <c r="D1036" t="s">
        <v>15</v>
      </c>
      <c r="E1036" s="12" t="s">
        <v>182</v>
      </c>
      <c r="F1036" t="s">
        <v>187</v>
      </c>
      <c r="G1036" t="s">
        <v>12</v>
      </c>
      <c r="H1036" t="s">
        <v>72</v>
      </c>
      <c r="I1036" t="s">
        <v>175</v>
      </c>
      <c r="J1036" s="12">
        <v>0.5</v>
      </c>
      <c r="K1036" t="s">
        <v>107</v>
      </c>
      <c r="L1036" t="s">
        <v>13</v>
      </c>
      <c r="M1036" t="s">
        <v>200</v>
      </c>
      <c r="O1036" t="s">
        <v>205</v>
      </c>
      <c r="P1036">
        <v>8</v>
      </c>
      <c r="Q1036" t="s">
        <v>202</v>
      </c>
      <c r="R1036" s="6">
        <v>0.892595654376799</v>
      </c>
      <c r="S1036" s="6">
        <v>20.801068737140625</v>
      </c>
      <c r="T1036" s="6">
        <v>7.6415995756648325</v>
      </c>
      <c r="U1036" s="6">
        <v>74.195169572945233</v>
      </c>
      <c r="V1036" s="6">
        <v>0.25137900717322104</v>
      </c>
      <c r="W1036" s="6">
        <v>10.807962625279439</v>
      </c>
      <c r="X1036" s="6">
        <v>5.910523923560457</v>
      </c>
      <c r="Y1036" s="6">
        <v>56.796793738198723</v>
      </c>
    </row>
    <row r="1037" spans="1:25" x14ac:dyDescent="0.25">
      <c r="A1037" t="str">
        <f t="shared" si="16"/>
        <v>RTD Ice TeaFranceDecemberEUR (€)Fully-AutomatedOldPET Bottle0.5High-scaleMedium</v>
      </c>
      <c r="B1037" t="s">
        <v>130</v>
      </c>
      <c r="C1037" t="s">
        <v>130</v>
      </c>
      <c r="D1037" t="s">
        <v>15</v>
      </c>
      <c r="E1037" s="12" t="s">
        <v>182</v>
      </c>
      <c r="F1037" t="s">
        <v>187</v>
      </c>
      <c r="G1037" t="s">
        <v>12</v>
      </c>
      <c r="H1037" t="s">
        <v>72</v>
      </c>
      <c r="I1037" t="s">
        <v>175</v>
      </c>
      <c r="J1037" s="12">
        <v>0.5</v>
      </c>
      <c r="K1037" t="s">
        <v>107</v>
      </c>
      <c r="L1037" t="s">
        <v>63</v>
      </c>
      <c r="M1037" t="s">
        <v>200</v>
      </c>
      <c r="O1037" t="s">
        <v>205</v>
      </c>
      <c r="P1037">
        <v>8</v>
      </c>
      <c r="Q1037" t="s">
        <v>202</v>
      </c>
      <c r="R1037" s="6">
        <v>0.92672540176735962</v>
      </c>
      <c r="S1037" s="6">
        <v>21.596944037159815</v>
      </c>
      <c r="T1037" s="6">
        <v>7.9335822243706549</v>
      </c>
      <c r="U1037" s="6">
        <v>77.030777993436004</v>
      </c>
      <c r="V1037" s="6">
        <v>0.26080248103108777</v>
      </c>
      <c r="W1037" s="6">
        <v>11.211393997776007</v>
      </c>
      <c r="X1037" s="6">
        <v>6.1318288853179306</v>
      </c>
      <c r="Y1037" s="6">
        <v>58.922606653216462</v>
      </c>
    </row>
    <row r="1038" spans="1:25" x14ac:dyDescent="0.25">
      <c r="A1038" t="str">
        <f t="shared" si="16"/>
        <v>RTD Ice TeaFranceDecemberEUR (€)Fully-AutomatedOldPET Bottle0.5High-scaleHigh</v>
      </c>
      <c r="B1038" t="s">
        <v>130</v>
      </c>
      <c r="C1038" t="s">
        <v>130</v>
      </c>
      <c r="D1038" t="s">
        <v>15</v>
      </c>
      <c r="E1038" s="12" t="s">
        <v>182</v>
      </c>
      <c r="F1038" t="s">
        <v>187</v>
      </c>
      <c r="G1038" t="s">
        <v>12</v>
      </c>
      <c r="H1038" t="s">
        <v>72</v>
      </c>
      <c r="I1038" t="s">
        <v>175</v>
      </c>
      <c r="J1038" s="12">
        <v>0.5</v>
      </c>
      <c r="K1038" t="s">
        <v>107</v>
      </c>
      <c r="L1038" t="s">
        <v>11</v>
      </c>
      <c r="M1038" t="s">
        <v>200</v>
      </c>
      <c r="O1038" t="s">
        <v>205</v>
      </c>
      <c r="P1038">
        <v>8</v>
      </c>
      <c r="Q1038" t="s">
        <v>202</v>
      </c>
      <c r="R1038" s="6">
        <v>0.96358552894916505</v>
      </c>
      <c r="S1038" s="6">
        <v>22.45648936118053</v>
      </c>
      <c r="T1038" s="6">
        <v>8.2489234849729414</v>
      </c>
      <c r="U1038" s="6">
        <v>80.093235087566029</v>
      </c>
      <c r="V1038" s="6">
        <v>0.2709798327975837</v>
      </c>
      <c r="W1038" s="6">
        <v>11.647099880072293</v>
      </c>
      <c r="X1038" s="6">
        <v>6.3708382440160021</v>
      </c>
      <c r="Y1038" s="6">
        <v>61.218484601435613</v>
      </c>
    </row>
    <row r="1039" spans="1:25" x14ac:dyDescent="0.25">
      <c r="A1039" t="str">
        <f t="shared" si="16"/>
        <v>RTD Ice TeaFranceDecemberEUR (€)Fully-AutomatedOldPET Bottle0.5Medium-scaleLow</v>
      </c>
      <c r="B1039" t="s">
        <v>130</v>
      </c>
      <c r="C1039" t="s">
        <v>130</v>
      </c>
      <c r="D1039" t="s">
        <v>15</v>
      </c>
      <c r="E1039" s="12" t="s">
        <v>182</v>
      </c>
      <c r="F1039" t="s">
        <v>187</v>
      </c>
      <c r="G1039" t="s">
        <v>12</v>
      </c>
      <c r="H1039" t="s">
        <v>72</v>
      </c>
      <c r="I1039" t="s">
        <v>175</v>
      </c>
      <c r="J1039" s="12">
        <v>0.5</v>
      </c>
      <c r="K1039" t="s">
        <v>62</v>
      </c>
      <c r="L1039" t="s">
        <v>13</v>
      </c>
      <c r="M1039" t="s">
        <v>200</v>
      </c>
      <c r="O1039" t="s">
        <v>205</v>
      </c>
      <c r="P1039">
        <v>8</v>
      </c>
      <c r="Q1039" t="s">
        <v>202</v>
      </c>
      <c r="R1039" s="6">
        <v>0.89390120993235456</v>
      </c>
      <c r="S1039" s="6">
        <v>20.828146471301082</v>
      </c>
      <c r="T1039" s="6">
        <v>7.6541122529932064</v>
      </c>
      <c r="U1039" s="6">
        <v>74.312507232991535</v>
      </c>
      <c r="V1039" s="6">
        <v>0.25236511828433217</v>
      </c>
      <c r="W1039" s="6">
        <v>10.851093000524633</v>
      </c>
      <c r="X1039" s="6">
        <v>5.9346154493860181</v>
      </c>
      <c r="Y1039" s="6">
        <v>57.02767449895083</v>
      </c>
    </row>
    <row r="1040" spans="1:25" x14ac:dyDescent="0.25">
      <c r="A1040" t="str">
        <f t="shared" si="16"/>
        <v>RTD Ice TeaFranceDecemberEUR (€)Fully-AutomatedOldPET Bottle0.5Medium-scaleMedium</v>
      </c>
      <c r="B1040" t="s">
        <v>130</v>
      </c>
      <c r="C1040" t="s">
        <v>130</v>
      </c>
      <c r="D1040" t="s">
        <v>15</v>
      </c>
      <c r="E1040" s="12" t="s">
        <v>182</v>
      </c>
      <c r="F1040" t="s">
        <v>187</v>
      </c>
      <c r="G1040" t="s">
        <v>12</v>
      </c>
      <c r="H1040" t="s">
        <v>72</v>
      </c>
      <c r="I1040" t="s">
        <v>175</v>
      </c>
      <c r="J1040" s="12">
        <v>0.5</v>
      </c>
      <c r="K1040" t="s">
        <v>62</v>
      </c>
      <c r="L1040" t="s">
        <v>63</v>
      </c>
      <c r="M1040" t="s">
        <v>200</v>
      </c>
      <c r="O1040" t="s">
        <v>205</v>
      </c>
      <c r="P1040">
        <v>8</v>
      </c>
      <c r="Q1040" t="s">
        <v>202</v>
      </c>
      <c r="R1040" s="6">
        <v>0.9280309573229153</v>
      </c>
      <c r="S1040" s="6">
        <v>21.624021771320269</v>
      </c>
      <c r="T1040" s="6">
        <v>7.9460949016990279</v>
      </c>
      <c r="U1040" s="6">
        <v>77.148115653482321</v>
      </c>
      <c r="V1040" s="6">
        <v>0.26178859214219879</v>
      </c>
      <c r="W1040" s="6">
        <v>11.2545243730212</v>
      </c>
      <c r="X1040" s="6">
        <v>6.1559204111434918</v>
      </c>
      <c r="Y1040" s="6">
        <v>59.153487413968577</v>
      </c>
    </row>
    <row r="1041" spans="1:25" x14ac:dyDescent="0.25">
      <c r="A1041" t="str">
        <f t="shared" si="16"/>
        <v>RTD Ice TeaFranceDecemberEUR (€)Fully-AutomatedOldPET Bottle0.5Medium-scaleHigh</v>
      </c>
      <c r="B1041" t="s">
        <v>130</v>
      </c>
      <c r="C1041" t="s">
        <v>130</v>
      </c>
      <c r="D1041" t="s">
        <v>15</v>
      </c>
      <c r="E1041" s="12" t="s">
        <v>182</v>
      </c>
      <c r="F1041" t="s">
        <v>187</v>
      </c>
      <c r="G1041" t="s">
        <v>12</v>
      </c>
      <c r="H1041" t="s">
        <v>72</v>
      </c>
      <c r="I1041" t="s">
        <v>175</v>
      </c>
      <c r="J1041" s="12">
        <v>0.5</v>
      </c>
      <c r="K1041" t="s">
        <v>62</v>
      </c>
      <c r="L1041" t="s">
        <v>11</v>
      </c>
      <c r="M1041" t="s">
        <v>200</v>
      </c>
      <c r="O1041" t="s">
        <v>205</v>
      </c>
      <c r="P1041">
        <v>8</v>
      </c>
      <c r="Q1041" t="s">
        <v>202</v>
      </c>
      <c r="R1041" s="6">
        <v>0.96489108450472072</v>
      </c>
      <c r="S1041" s="6">
        <v>22.483567095340984</v>
      </c>
      <c r="T1041" s="6">
        <v>8.2614361623013135</v>
      </c>
      <c r="U1041" s="6">
        <v>80.210572747612346</v>
      </c>
      <c r="V1041" s="6">
        <v>0.27196594390869488</v>
      </c>
      <c r="W1041" s="6">
        <v>11.690230255317489</v>
      </c>
      <c r="X1041" s="6">
        <v>6.3949297698415641</v>
      </c>
      <c r="Y1041" s="6">
        <v>61.449365362187706</v>
      </c>
    </row>
    <row r="1042" spans="1:25" x14ac:dyDescent="0.25">
      <c r="A1042" t="str">
        <f t="shared" si="16"/>
        <v>RTD Ice TeaFranceDecemberEUR (€)Fully-AutomatedOldPET Bottle0.5Small-scaleLow</v>
      </c>
      <c r="B1042" t="s">
        <v>130</v>
      </c>
      <c r="C1042" t="s">
        <v>130</v>
      </c>
      <c r="D1042" t="s">
        <v>15</v>
      </c>
      <c r="E1042" s="12" t="s">
        <v>182</v>
      </c>
      <c r="F1042" t="s">
        <v>187</v>
      </c>
      <c r="G1042" t="s">
        <v>12</v>
      </c>
      <c r="H1042" t="s">
        <v>72</v>
      </c>
      <c r="I1042" t="s">
        <v>175</v>
      </c>
      <c r="J1042" s="12">
        <v>0.5</v>
      </c>
      <c r="K1042" t="s">
        <v>60</v>
      </c>
      <c r="L1042" t="s">
        <v>13</v>
      </c>
      <c r="M1042" t="s">
        <v>200</v>
      </c>
      <c r="O1042" t="s">
        <v>205</v>
      </c>
      <c r="P1042">
        <v>8</v>
      </c>
      <c r="Q1042" t="s">
        <v>202</v>
      </c>
      <c r="R1042" s="6">
        <v>0.89607713585828042</v>
      </c>
      <c r="S1042" s="6">
        <v>20.873276028235175</v>
      </c>
      <c r="T1042" s="6">
        <v>7.6749667152071641</v>
      </c>
      <c r="U1042" s="6">
        <v>74.508069999735369</v>
      </c>
      <c r="V1042" s="6">
        <v>0.25400863680285068</v>
      </c>
      <c r="W1042" s="6">
        <v>10.922976959266624</v>
      </c>
      <c r="X1042" s="6">
        <v>5.9747679924286201</v>
      </c>
      <c r="Y1042" s="6">
        <v>57.412475766871005</v>
      </c>
    </row>
    <row r="1043" spans="1:25" x14ac:dyDescent="0.25">
      <c r="A1043" t="str">
        <f t="shared" si="16"/>
        <v>RTD Ice TeaFranceDecemberEUR (€)Fully-AutomatedOldPET Bottle0.5Small-scaleMedium</v>
      </c>
      <c r="B1043" t="s">
        <v>130</v>
      </c>
      <c r="C1043" t="s">
        <v>130</v>
      </c>
      <c r="D1043" t="s">
        <v>15</v>
      </c>
      <c r="E1043" s="12" t="s">
        <v>182</v>
      </c>
      <c r="F1043" t="s">
        <v>187</v>
      </c>
      <c r="G1043" t="s">
        <v>12</v>
      </c>
      <c r="H1043" t="s">
        <v>72</v>
      </c>
      <c r="I1043" t="s">
        <v>175</v>
      </c>
      <c r="J1043" s="12">
        <v>0.5</v>
      </c>
      <c r="K1043" t="s">
        <v>60</v>
      </c>
      <c r="L1043" t="s">
        <v>63</v>
      </c>
      <c r="M1043" t="s">
        <v>200</v>
      </c>
      <c r="O1043" t="s">
        <v>205</v>
      </c>
      <c r="P1043">
        <v>8</v>
      </c>
      <c r="Q1043" t="s">
        <v>202</v>
      </c>
      <c r="R1043" s="6">
        <v>0.93020688324884127</v>
      </c>
      <c r="S1043" s="6">
        <v>21.669151328254358</v>
      </c>
      <c r="T1043" s="6">
        <v>7.9669493639129847</v>
      </c>
      <c r="U1043" s="6">
        <v>77.343678420226126</v>
      </c>
      <c r="V1043" s="6">
        <v>0.26343211066071737</v>
      </c>
      <c r="W1043" s="6">
        <v>11.32640833176319</v>
      </c>
      <c r="X1043" s="6">
        <v>6.1960729541860937</v>
      </c>
      <c r="Y1043" s="6">
        <v>59.538288681888744</v>
      </c>
    </row>
    <row r="1044" spans="1:25" x14ac:dyDescent="0.25">
      <c r="A1044" t="str">
        <f t="shared" si="16"/>
        <v>RTD Ice TeaFranceDecemberEUR (€)Fully-AutomatedOldPET Bottle0.5Small-scaleHigh</v>
      </c>
      <c r="B1044" t="s">
        <v>130</v>
      </c>
      <c r="C1044" t="s">
        <v>130</v>
      </c>
      <c r="D1044" t="s">
        <v>15</v>
      </c>
      <c r="E1044" s="12" t="s">
        <v>182</v>
      </c>
      <c r="F1044" t="s">
        <v>187</v>
      </c>
      <c r="G1044" t="s">
        <v>12</v>
      </c>
      <c r="H1044" t="s">
        <v>72</v>
      </c>
      <c r="I1044" t="s">
        <v>175</v>
      </c>
      <c r="J1044" s="12">
        <v>0.5</v>
      </c>
      <c r="K1044" t="s">
        <v>60</v>
      </c>
      <c r="L1044" t="s">
        <v>11</v>
      </c>
      <c r="M1044" t="s">
        <v>200</v>
      </c>
      <c r="O1044" t="s">
        <v>205</v>
      </c>
      <c r="P1044">
        <v>8</v>
      </c>
      <c r="Q1044" t="s">
        <v>202</v>
      </c>
      <c r="R1044" s="6">
        <v>0.96706701043064658</v>
      </c>
      <c r="S1044" s="6">
        <v>22.52869665227508</v>
      </c>
      <c r="T1044" s="6">
        <v>8.2822906245152694</v>
      </c>
      <c r="U1044" s="6">
        <v>80.40613551435618</v>
      </c>
      <c r="V1044" s="6">
        <v>0.27360946242721335</v>
      </c>
      <c r="W1044" s="6">
        <v>11.76211421405948</v>
      </c>
      <c r="X1044" s="6">
        <v>6.4350823128841652</v>
      </c>
      <c r="Y1044" s="6">
        <v>61.834166630107894</v>
      </c>
    </row>
    <row r="1045" spans="1:25" x14ac:dyDescent="0.25">
      <c r="A1045" t="str">
        <f t="shared" si="16"/>
        <v>RTD Ice TeaFranceDecemberEUR (€)Fully-AutomatedOldPET Bottle0.5High-scaleLow</v>
      </c>
      <c r="B1045" t="s">
        <v>130</v>
      </c>
      <c r="C1045" t="s">
        <v>130</v>
      </c>
      <c r="D1045" t="s">
        <v>15</v>
      </c>
      <c r="E1045" s="12" t="s">
        <v>182</v>
      </c>
      <c r="F1045" t="s">
        <v>187</v>
      </c>
      <c r="G1045" t="s">
        <v>12</v>
      </c>
      <c r="H1045" t="s">
        <v>72</v>
      </c>
      <c r="I1045" t="s">
        <v>175</v>
      </c>
      <c r="J1045" s="12">
        <v>0.5</v>
      </c>
      <c r="K1045" t="s">
        <v>107</v>
      </c>
      <c r="L1045" t="s">
        <v>13</v>
      </c>
      <c r="M1045" t="s">
        <v>199</v>
      </c>
      <c r="O1045" t="s">
        <v>205</v>
      </c>
      <c r="P1045">
        <v>12</v>
      </c>
      <c r="Q1045" t="s">
        <v>203</v>
      </c>
      <c r="R1045" s="6">
        <v>0.892595654376799</v>
      </c>
      <c r="S1045" s="6">
        <v>20.801068737140625</v>
      </c>
      <c r="T1045" s="6">
        <v>7.6415995756648325</v>
      </c>
      <c r="U1045" s="6">
        <v>74.195169572945233</v>
      </c>
      <c r="V1045" s="6">
        <v>0.26808612786251773</v>
      </c>
      <c r="W1045" s="6">
        <v>8.4817245829621282</v>
      </c>
      <c r="X1045" s="6">
        <v>5.7610534708946837</v>
      </c>
      <c r="Y1045" s="6">
        <v>54.041062925231401</v>
      </c>
    </row>
    <row r="1046" spans="1:25" x14ac:dyDescent="0.25">
      <c r="A1046" t="str">
        <f t="shared" si="16"/>
        <v>RTD Ice TeaFranceDecemberEUR (€)Fully-AutomatedOldPET Bottle0.5High-scaleMedium</v>
      </c>
      <c r="B1046" t="s">
        <v>130</v>
      </c>
      <c r="C1046" t="s">
        <v>130</v>
      </c>
      <c r="D1046" t="s">
        <v>15</v>
      </c>
      <c r="E1046" s="12" t="s">
        <v>182</v>
      </c>
      <c r="F1046" t="s">
        <v>187</v>
      </c>
      <c r="G1046" t="s">
        <v>12</v>
      </c>
      <c r="H1046" t="s">
        <v>72</v>
      </c>
      <c r="I1046" t="s">
        <v>175</v>
      </c>
      <c r="J1046" s="12">
        <v>0.5</v>
      </c>
      <c r="K1046" t="s">
        <v>107</v>
      </c>
      <c r="L1046" t="s">
        <v>63</v>
      </c>
      <c r="M1046" t="s">
        <v>199</v>
      </c>
      <c r="O1046" t="s">
        <v>205</v>
      </c>
      <c r="P1046">
        <v>12</v>
      </c>
      <c r="Q1046" t="s">
        <v>203</v>
      </c>
      <c r="R1046" s="6">
        <v>0.92672540176735962</v>
      </c>
      <c r="S1046" s="6">
        <v>21.596944037159815</v>
      </c>
      <c r="T1046" s="6">
        <v>7.9335822243706549</v>
      </c>
      <c r="U1046" s="6">
        <v>77.030777993436004</v>
      </c>
      <c r="V1046" s="6">
        <v>0.2780506875588617</v>
      </c>
      <c r="W1046" s="6">
        <v>8.7949462870877362</v>
      </c>
      <c r="X1046" s="6">
        <v>5.9748721994372067</v>
      </c>
      <c r="Y1046" s="6">
        <v>56.045757793427143</v>
      </c>
    </row>
    <row r="1047" spans="1:25" x14ac:dyDescent="0.25">
      <c r="A1047" t="str">
        <f t="shared" si="16"/>
        <v>RTD Ice TeaFranceDecemberEUR (€)Fully-AutomatedOldPET Bottle0.5High-scaleHigh</v>
      </c>
      <c r="B1047" t="s">
        <v>130</v>
      </c>
      <c r="C1047" t="s">
        <v>130</v>
      </c>
      <c r="D1047" t="s">
        <v>15</v>
      </c>
      <c r="E1047" s="12" t="s">
        <v>182</v>
      </c>
      <c r="F1047" t="s">
        <v>187</v>
      </c>
      <c r="G1047" t="s">
        <v>12</v>
      </c>
      <c r="H1047" t="s">
        <v>72</v>
      </c>
      <c r="I1047" t="s">
        <v>175</v>
      </c>
      <c r="J1047" s="12">
        <v>0.5</v>
      </c>
      <c r="K1047" t="s">
        <v>107</v>
      </c>
      <c r="L1047" t="s">
        <v>11</v>
      </c>
      <c r="M1047" t="s">
        <v>199</v>
      </c>
      <c r="O1047" t="s">
        <v>205</v>
      </c>
      <c r="P1047">
        <v>12</v>
      </c>
      <c r="Q1047" t="s">
        <v>203</v>
      </c>
      <c r="R1047" s="6">
        <v>0.96358552894916505</v>
      </c>
      <c r="S1047" s="6">
        <v>22.45648936118053</v>
      </c>
      <c r="T1047" s="6">
        <v>8.2489234849729414</v>
      </c>
      <c r="U1047" s="6">
        <v>80.093235087566029</v>
      </c>
      <c r="V1047" s="6">
        <v>0.28881241203091307</v>
      </c>
      <c r="W1047" s="6">
        <v>9.1332257275433903</v>
      </c>
      <c r="X1047" s="6">
        <v>6.2057964262631318</v>
      </c>
      <c r="Y1047" s="6">
        <v>58.210828251078546</v>
      </c>
    </row>
    <row r="1048" spans="1:25" x14ac:dyDescent="0.25">
      <c r="A1048" t="str">
        <f t="shared" si="16"/>
        <v>RTD Ice TeaFranceDecemberEUR (€)Fully-AutomatedOldPET Bottle0.5Medium-scaleLow</v>
      </c>
      <c r="B1048" t="s">
        <v>130</v>
      </c>
      <c r="C1048" t="s">
        <v>130</v>
      </c>
      <c r="D1048" t="s">
        <v>15</v>
      </c>
      <c r="E1048" s="12" t="s">
        <v>182</v>
      </c>
      <c r="F1048" t="s">
        <v>187</v>
      </c>
      <c r="G1048" t="s">
        <v>12</v>
      </c>
      <c r="H1048" t="s">
        <v>72</v>
      </c>
      <c r="I1048" t="s">
        <v>175</v>
      </c>
      <c r="J1048" s="12">
        <v>0.5</v>
      </c>
      <c r="K1048" t="s">
        <v>62</v>
      </c>
      <c r="L1048" t="s">
        <v>13</v>
      </c>
      <c r="M1048" t="s">
        <v>199</v>
      </c>
      <c r="O1048" t="s">
        <v>205</v>
      </c>
      <c r="P1048">
        <v>12</v>
      </c>
      <c r="Q1048" t="s">
        <v>203</v>
      </c>
      <c r="R1048" s="6">
        <v>0.89390120993235456</v>
      </c>
      <c r="S1048" s="6">
        <v>20.828146471301082</v>
      </c>
      <c r="T1048" s="6">
        <v>7.6541122529932064</v>
      </c>
      <c r="U1048" s="6">
        <v>74.312507232991535</v>
      </c>
      <c r="V1048" s="6">
        <v>0.26917324907463891</v>
      </c>
      <c r="W1048" s="6">
        <v>8.5176785731543578</v>
      </c>
      <c r="X1048" s="6">
        <v>5.7851449967202448</v>
      </c>
      <c r="Y1048" s="6">
        <v>54.267344692264729</v>
      </c>
    </row>
    <row r="1049" spans="1:25" x14ac:dyDescent="0.25">
      <c r="A1049" t="str">
        <f t="shared" si="16"/>
        <v>RTD Ice TeaFranceDecemberEUR (€)Fully-AutomatedOldPET Bottle0.5Medium-scaleMedium</v>
      </c>
      <c r="B1049" t="s">
        <v>130</v>
      </c>
      <c r="C1049" t="s">
        <v>130</v>
      </c>
      <c r="D1049" t="s">
        <v>15</v>
      </c>
      <c r="E1049" s="12" t="s">
        <v>182</v>
      </c>
      <c r="F1049" t="s">
        <v>187</v>
      </c>
      <c r="G1049" t="s">
        <v>12</v>
      </c>
      <c r="H1049" t="s">
        <v>72</v>
      </c>
      <c r="I1049" t="s">
        <v>175</v>
      </c>
      <c r="J1049" s="12">
        <v>0.5</v>
      </c>
      <c r="K1049" t="s">
        <v>62</v>
      </c>
      <c r="L1049" t="s">
        <v>63</v>
      </c>
      <c r="M1049" t="s">
        <v>199</v>
      </c>
      <c r="O1049" t="s">
        <v>205</v>
      </c>
      <c r="P1049">
        <v>12</v>
      </c>
      <c r="Q1049" t="s">
        <v>203</v>
      </c>
      <c r="R1049" s="6">
        <v>0.9280309573229153</v>
      </c>
      <c r="S1049" s="6">
        <v>21.624021771320269</v>
      </c>
      <c r="T1049" s="6">
        <v>7.9460949016990279</v>
      </c>
      <c r="U1049" s="6">
        <v>77.148115653482321</v>
      </c>
      <c r="V1049" s="6">
        <v>0.27913780877098288</v>
      </c>
      <c r="W1049" s="6">
        <v>8.8309002772799676</v>
      </c>
      <c r="X1049" s="6">
        <v>5.9989637252627679</v>
      </c>
      <c r="Y1049" s="6">
        <v>56.272039560460499</v>
      </c>
    </row>
    <row r="1050" spans="1:25" x14ac:dyDescent="0.25">
      <c r="A1050" t="str">
        <f t="shared" si="16"/>
        <v>RTD Ice TeaFranceDecemberEUR (€)Fully-AutomatedOldPET Bottle0.5Medium-scaleHigh</v>
      </c>
      <c r="B1050" t="s">
        <v>130</v>
      </c>
      <c r="C1050" t="s">
        <v>130</v>
      </c>
      <c r="D1050" t="s">
        <v>15</v>
      </c>
      <c r="E1050" s="12" t="s">
        <v>182</v>
      </c>
      <c r="F1050" t="s">
        <v>187</v>
      </c>
      <c r="G1050" t="s">
        <v>12</v>
      </c>
      <c r="H1050" t="s">
        <v>72</v>
      </c>
      <c r="I1050" t="s">
        <v>175</v>
      </c>
      <c r="J1050" s="12">
        <v>0.5</v>
      </c>
      <c r="K1050" t="s">
        <v>62</v>
      </c>
      <c r="L1050" t="s">
        <v>11</v>
      </c>
      <c r="M1050" t="s">
        <v>199</v>
      </c>
      <c r="O1050" t="s">
        <v>205</v>
      </c>
      <c r="P1050">
        <v>12</v>
      </c>
      <c r="Q1050" t="s">
        <v>203</v>
      </c>
      <c r="R1050" s="6">
        <v>0.96489108450472072</v>
      </c>
      <c r="S1050" s="6">
        <v>22.483567095340984</v>
      </c>
      <c r="T1050" s="6">
        <v>8.2614361623013135</v>
      </c>
      <c r="U1050" s="6">
        <v>80.210572747612346</v>
      </c>
      <c r="V1050" s="6">
        <v>0.2898995332430343</v>
      </c>
      <c r="W1050" s="6">
        <v>9.1691797177356236</v>
      </c>
      <c r="X1050" s="6">
        <v>6.2298879520886929</v>
      </c>
      <c r="Y1050" s="6">
        <v>58.437110018111895</v>
      </c>
    </row>
    <row r="1051" spans="1:25" x14ac:dyDescent="0.25">
      <c r="A1051" t="str">
        <f t="shared" si="16"/>
        <v>RTD Ice TeaFranceDecemberEUR (€)Fully-AutomatedOldPET Bottle0.5Small-scaleLow</v>
      </c>
      <c r="B1051" t="s">
        <v>130</v>
      </c>
      <c r="C1051" t="s">
        <v>130</v>
      </c>
      <c r="D1051" t="s">
        <v>15</v>
      </c>
      <c r="E1051" s="12" t="s">
        <v>182</v>
      </c>
      <c r="F1051" t="s">
        <v>187</v>
      </c>
      <c r="G1051" t="s">
        <v>12</v>
      </c>
      <c r="H1051" t="s">
        <v>72</v>
      </c>
      <c r="I1051" t="s">
        <v>175</v>
      </c>
      <c r="J1051" s="12">
        <v>0.5</v>
      </c>
      <c r="K1051" t="s">
        <v>60</v>
      </c>
      <c r="L1051" t="s">
        <v>13</v>
      </c>
      <c r="M1051" t="s">
        <v>199</v>
      </c>
      <c r="O1051" t="s">
        <v>205</v>
      </c>
      <c r="P1051">
        <v>12</v>
      </c>
      <c r="Q1051" t="s">
        <v>203</v>
      </c>
      <c r="R1051" s="6">
        <v>0.89607713585828042</v>
      </c>
      <c r="S1051" s="6">
        <v>20.873276028235175</v>
      </c>
      <c r="T1051" s="6">
        <v>7.6749667152071641</v>
      </c>
      <c r="U1051" s="6">
        <v>74.508069999735369</v>
      </c>
      <c r="V1051" s="6">
        <v>0.27098511776150758</v>
      </c>
      <c r="W1051" s="6">
        <v>8.5776018901414144</v>
      </c>
      <c r="X1051" s="6">
        <v>5.8252975397628468</v>
      </c>
      <c r="Y1051" s="6">
        <v>54.644480970653639</v>
      </c>
    </row>
    <row r="1052" spans="1:25" x14ac:dyDescent="0.25">
      <c r="A1052" t="str">
        <f t="shared" si="16"/>
        <v>RTD Ice TeaFranceDecemberEUR (€)Fully-AutomatedOldPET Bottle0.5Small-scaleMedium</v>
      </c>
      <c r="B1052" t="s">
        <v>130</v>
      </c>
      <c r="C1052" t="s">
        <v>130</v>
      </c>
      <c r="D1052" t="s">
        <v>15</v>
      </c>
      <c r="E1052" s="12" t="s">
        <v>182</v>
      </c>
      <c r="F1052" t="s">
        <v>187</v>
      </c>
      <c r="G1052" t="s">
        <v>12</v>
      </c>
      <c r="H1052" t="s">
        <v>72</v>
      </c>
      <c r="I1052" t="s">
        <v>175</v>
      </c>
      <c r="J1052" s="12">
        <v>0.5</v>
      </c>
      <c r="K1052" t="s">
        <v>60</v>
      </c>
      <c r="L1052" t="s">
        <v>63</v>
      </c>
      <c r="M1052" t="s">
        <v>199</v>
      </c>
      <c r="O1052" t="s">
        <v>205</v>
      </c>
      <c r="P1052">
        <v>12</v>
      </c>
      <c r="Q1052" t="s">
        <v>203</v>
      </c>
      <c r="R1052" s="6">
        <v>0.93020688324884127</v>
      </c>
      <c r="S1052" s="6">
        <v>21.669151328254358</v>
      </c>
      <c r="T1052" s="6">
        <v>7.9669493639129847</v>
      </c>
      <c r="U1052" s="6">
        <v>77.343678420226126</v>
      </c>
      <c r="V1052" s="6">
        <v>0.2809496774578516</v>
      </c>
      <c r="W1052" s="6">
        <v>8.8908235942670224</v>
      </c>
      <c r="X1052" s="6">
        <v>6.0391162683053699</v>
      </c>
      <c r="Y1052" s="6">
        <v>56.649175838849374</v>
      </c>
    </row>
    <row r="1053" spans="1:25" x14ac:dyDescent="0.25">
      <c r="A1053" t="str">
        <f t="shared" si="16"/>
        <v>RTD Ice TeaFranceDecemberEUR (€)Fully-AutomatedOldPET Bottle0.5Small-scaleHigh</v>
      </c>
      <c r="B1053" t="s">
        <v>130</v>
      </c>
      <c r="C1053" t="s">
        <v>130</v>
      </c>
      <c r="D1053" t="s">
        <v>15</v>
      </c>
      <c r="E1053" s="12" t="s">
        <v>182</v>
      </c>
      <c r="F1053" t="s">
        <v>187</v>
      </c>
      <c r="G1053" t="s">
        <v>12</v>
      </c>
      <c r="H1053" t="s">
        <v>72</v>
      </c>
      <c r="I1053" t="s">
        <v>175</v>
      </c>
      <c r="J1053" s="12">
        <v>0.5</v>
      </c>
      <c r="K1053" t="s">
        <v>60</v>
      </c>
      <c r="L1053" t="s">
        <v>11</v>
      </c>
      <c r="M1053" t="s">
        <v>199</v>
      </c>
      <c r="O1053" t="s">
        <v>205</v>
      </c>
      <c r="P1053">
        <v>12</v>
      </c>
      <c r="Q1053" t="s">
        <v>203</v>
      </c>
      <c r="R1053" s="6">
        <v>0.96706701043064658</v>
      </c>
      <c r="S1053" s="6">
        <v>22.52869665227508</v>
      </c>
      <c r="T1053" s="6">
        <v>8.2822906245152694</v>
      </c>
      <c r="U1053" s="6">
        <v>80.40613551435618</v>
      </c>
      <c r="V1053" s="6">
        <v>0.29171140192990291</v>
      </c>
      <c r="W1053" s="6">
        <v>9.2291030347226766</v>
      </c>
      <c r="X1053" s="6">
        <v>6.2700404951312949</v>
      </c>
      <c r="Y1053" s="6">
        <v>58.814246296500784</v>
      </c>
    </row>
    <row r="1054" spans="1:25" x14ac:dyDescent="0.25">
      <c r="A1054" t="str">
        <f t="shared" si="16"/>
        <v>RTD Ice TeaFranceDecemberEUR (€)Fully-AutomatedOldPET Bottle0.5High-scaleLow</v>
      </c>
      <c r="B1054" t="s">
        <v>130</v>
      </c>
      <c r="C1054" t="s">
        <v>130</v>
      </c>
      <c r="D1054" t="s">
        <v>15</v>
      </c>
      <c r="E1054" s="12" t="s">
        <v>182</v>
      </c>
      <c r="F1054" t="s">
        <v>187</v>
      </c>
      <c r="G1054" t="s">
        <v>12</v>
      </c>
      <c r="H1054" t="s">
        <v>72</v>
      </c>
      <c r="I1054" t="s">
        <v>175</v>
      </c>
      <c r="J1054" s="12">
        <v>0.5</v>
      </c>
      <c r="K1054" t="s">
        <v>107</v>
      </c>
      <c r="L1054" t="s">
        <v>13</v>
      </c>
      <c r="M1054" t="s">
        <v>200</v>
      </c>
      <c r="O1054" t="s">
        <v>205</v>
      </c>
      <c r="P1054">
        <v>12</v>
      </c>
      <c r="Q1054" t="s">
        <v>203</v>
      </c>
      <c r="R1054" s="6">
        <v>0.892595654376799</v>
      </c>
      <c r="S1054" s="6">
        <v>20.801068737140625</v>
      </c>
      <c r="T1054" s="6">
        <v>7.6415995756648325</v>
      </c>
      <c r="U1054" s="6">
        <v>74.195169572945233</v>
      </c>
      <c r="V1054" s="6">
        <v>0.23780142374793894</v>
      </c>
      <c r="W1054" s="6">
        <v>10.445638960678531</v>
      </c>
      <c r="X1054" s="6">
        <v>5.720033538430159</v>
      </c>
      <c r="Y1054" s="6">
        <v>54.953633630673245</v>
      </c>
    </row>
    <row r="1055" spans="1:25" x14ac:dyDescent="0.25">
      <c r="A1055" t="str">
        <f t="shared" si="16"/>
        <v>RTD Ice TeaFranceDecemberEUR (€)Fully-AutomatedOldPET Bottle0.5High-scaleMedium</v>
      </c>
      <c r="B1055" t="s">
        <v>130</v>
      </c>
      <c r="C1055" t="s">
        <v>130</v>
      </c>
      <c r="D1055" t="s">
        <v>15</v>
      </c>
      <c r="E1055" s="12" t="s">
        <v>182</v>
      </c>
      <c r="F1055" t="s">
        <v>187</v>
      </c>
      <c r="G1055" t="s">
        <v>12</v>
      </c>
      <c r="H1055" t="s">
        <v>72</v>
      </c>
      <c r="I1055" t="s">
        <v>175</v>
      </c>
      <c r="J1055" s="12">
        <v>0.5</v>
      </c>
      <c r="K1055" t="s">
        <v>107</v>
      </c>
      <c r="L1055" t="s">
        <v>63</v>
      </c>
      <c r="M1055" t="s">
        <v>200</v>
      </c>
      <c r="O1055" t="s">
        <v>205</v>
      </c>
      <c r="P1055">
        <v>12</v>
      </c>
      <c r="Q1055" t="s">
        <v>203</v>
      </c>
      <c r="R1055" s="6">
        <v>0.92672540176735962</v>
      </c>
      <c r="S1055" s="6">
        <v>21.596944037159815</v>
      </c>
      <c r="T1055" s="6">
        <v>7.9335822243706549</v>
      </c>
      <c r="U1055" s="6">
        <v>77.030777993436004</v>
      </c>
      <c r="V1055" s="6">
        <v>0.24670268285867941</v>
      </c>
      <c r="W1055" s="6">
        <v>10.835134807613525</v>
      </c>
      <c r="X1055" s="6">
        <v>5.9340119469133903</v>
      </c>
      <c r="Y1055" s="6">
        <v>57.008555772324605</v>
      </c>
    </row>
    <row r="1056" spans="1:25" x14ac:dyDescent="0.25">
      <c r="A1056" t="str">
        <f t="shared" si="16"/>
        <v>RTD Ice TeaFranceDecemberEUR (€)Fully-AutomatedOldPET Bottle0.5High-scaleHigh</v>
      </c>
      <c r="B1056" t="s">
        <v>130</v>
      </c>
      <c r="C1056" t="s">
        <v>130</v>
      </c>
      <c r="D1056" t="s">
        <v>15</v>
      </c>
      <c r="E1056" s="12" t="s">
        <v>182</v>
      </c>
      <c r="F1056" t="s">
        <v>187</v>
      </c>
      <c r="G1056" t="s">
        <v>12</v>
      </c>
      <c r="H1056" t="s">
        <v>72</v>
      </c>
      <c r="I1056" t="s">
        <v>175</v>
      </c>
      <c r="J1056" s="12">
        <v>0.5</v>
      </c>
      <c r="K1056" t="s">
        <v>107</v>
      </c>
      <c r="L1056" t="s">
        <v>11</v>
      </c>
      <c r="M1056" t="s">
        <v>200</v>
      </c>
      <c r="O1056" t="s">
        <v>205</v>
      </c>
      <c r="P1056">
        <v>12</v>
      </c>
      <c r="Q1056" t="s">
        <v>203</v>
      </c>
      <c r="R1056" s="6">
        <v>0.96358552894916505</v>
      </c>
      <c r="S1056" s="6">
        <v>22.45648936118053</v>
      </c>
      <c r="T1056" s="6">
        <v>8.2489234849729414</v>
      </c>
      <c r="U1056" s="6">
        <v>80.093235087566029</v>
      </c>
      <c r="V1056" s="6">
        <v>0.25631604269827907</v>
      </c>
      <c r="W1056" s="6">
        <v>11.25579032230331</v>
      </c>
      <c r="X1056" s="6">
        <v>6.1651086280752798</v>
      </c>
      <c r="Y1056" s="6">
        <v>59.227871685308088</v>
      </c>
    </row>
    <row r="1057" spans="1:25" x14ac:dyDescent="0.25">
      <c r="A1057" t="str">
        <f t="shared" si="16"/>
        <v>RTD Ice TeaFranceDecemberEUR (€)Fully-AutomatedOldPET Bottle0.5Medium-scaleLow</v>
      </c>
      <c r="B1057" t="s">
        <v>130</v>
      </c>
      <c r="C1057" t="s">
        <v>130</v>
      </c>
      <c r="D1057" t="s">
        <v>15</v>
      </c>
      <c r="E1057" s="12" t="s">
        <v>182</v>
      </c>
      <c r="F1057" t="s">
        <v>187</v>
      </c>
      <c r="G1057" t="s">
        <v>12</v>
      </c>
      <c r="H1057" t="s">
        <v>72</v>
      </c>
      <c r="I1057" t="s">
        <v>175</v>
      </c>
      <c r="J1057" s="12">
        <v>0.5</v>
      </c>
      <c r="K1057" t="s">
        <v>62</v>
      </c>
      <c r="L1057" t="s">
        <v>13</v>
      </c>
      <c r="M1057" t="s">
        <v>200</v>
      </c>
      <c r="O1057" t="s">
        <v>205</v>
      </c>
      <c r="P1057">
        <v>12</v>
      </c>
      <c r="Q1057" t="s">
        <v>203</v>
      </c>
      <c r="R1057" s="6">
        <v>0.89390120993235456</v>
      </c>
      <c r="S1057" s="6">
        <v>20.828146471301082</v>
      </c>
      <c r="T1057" s="6">
        <v>7.6541122529932064</v>
      </c>
      <c r="U1057" s="6">
        <v>74.312507232991535</v>
      </c>
      <c r="V1057" s="6">
        <v>0.23878753485905008</v>
      </c>
      <c r="W1057" s="6">
        <v>10.488769335923724</v>
      </c>
      <c r="X1057" s="6">
        <v>5.7441250642557202</v>
      </c>
      <c r="Y1057" s="6">
        <v>55.184514391425353</v>
      </c>
    </row>
    <row r="1058" spans="1:25" x14ac:dyDescent="0.25">
      <c r="A1058" t="str">
        <f t="shared" si="16"/>
        <v>RTD Ice TeaFranceDecemberEUR (€)Fully-AutomatedOldPET Bottle0.5Medium-scaleMedium</v>
      </c>
      <c r="B1058" t="s">
        <v>130</v>
      </c>
      <c r="C1058" t="s">
        <v>130</v>
      </c>
      <c r="D1058" t="s">
        <v>15</v>
      </c>
      <c r="E1058" s="12" t="s">
        <v>182</v>
      </c>
      <c r="F1058" t="s">
        <v>187</v>
      </c>
      <c r="G1058" t="s">
        <v>12</v>
      </c>
      <c r="H1058" t="s">
        <v>72</v>
      </c>
      <c r="I1058" t="s">
        <v>175</v>
      </c>
      <c r="J1058" s="12">
        <v>0.5</v>
      </c>
      <c r="K1058" t="s">
        <v>62</v>
      </c>
      <c r="L1058" t="s">
        <v>63</v>
      </c>
      <c r="M1058" t="s">
        <v>200</v>
      </c>
      <c r="O1058" t="s">
        <v>205</v>
      </c>
      <c r="P1058">
        <v>12</v>
      </c>
      <c r="Q1058" t="s">
        <v>203</v>
      </c>
      <c r="R1058" s="6">
        <v>0.9280309573229153</v>
      </c>
      <c r="S1058" s="6">
        <v>21.624021771320269</v>
      </c>
      <c r="T1058" s="6">
        <v>7.9460949016990279</v>
      </c>
      <c r="U1058" s="6">
        <v>77.148115653482321</v>
      </c>
      <c r="V1058" s="6">
        <v>0.24768879396979046</v>
      </c>
      <c r="W1058" s="6">
        <v>10.878265182858717</v>
      </c>
      <c r="X1058" s="6">
        <v>5.9581034727389515</v>
      </c>
      <c r="Y1058" s="6">
        <v>57.239436533076727</v>
      </c>
    </row>
    <row r="1059" spans="1:25" x14ac:dyDescent="0.25">
      <c r="A1059" t="str">
        <f t="shared" si="16"/>
        <v>RTD Ice TeaFranceDecemberEUR (€)Fully-AutomatedOldPET Bottle0.5Medium-scaleHigh</v>
      </c>
      <c r="B1059" t="s">
        <v>130</v>
      </c>
      <c r="C1059" t="s">
        <v>130</v>
      </c>
      <c r="D1059" t="s">
        <v>15</v>
      </c>
      <c r="E1059" s="12" t="s">
        <v>182</v>
      </c>
      <c r="F1059" t="s">
        <v>187</v>
      </c>
      <c r="G1059" t="s">
        <v>12</v>
      </c>
      <c r="H1059" t="s">
        <v>72</v>
      </c>
      <c r="I1059" t="s">
        <v>175</v>
      </c>
      <c r="J1059" s="12">
        <v>0.5</v>
      </c>
      <c r="K1059" t="s">
        <v>62</v>
      </c>
      <c r="L1059" t="s">
        <v>11</v>
      </c>
      <c r="M1059" t="s">
        <v>200</v>
      </c>
      <c r="O1059" t="s">
        <v>205</v>
      </c>
      <c r="P1059">
        <v>12</v>
      </c>
      <c r="Q1059" t="s">
        <v>203</v>
      </c>
      <c r="R1059" s="6">
        <v>0.96489108450472072</v>
      </c>
      <c r="S1059" s="6">
        <v>22.483567095340984</v>
      </c>
      <c r="T1059" s="6">
        <v>8.2614361623013135</v>
      </c>
      <c r="U1059" s="6">
        <v>80.210572747612346</v>
      </c>
      <c r="V1059" s="6">
        <v>0.2573021538093902</v>
      </c>
      <c r="W1059" s="6">
        <v>11.298920697548507</v>
      </c>
      <c r="X1059" s="6">
        <v>6.1892001539008419</v>
      </c>
      <c r="Y1059" s="6">
        <v>59.458752446060188</v>
      </c>
    </row>
    <row r="1060" spans="1:25" x14ac:dyDescent="0.25">
      <c r="A1060" t="str">
        <f t="shared" si="16"/>
        <v>RTD Ice TeaFranceDecemberEUR (€)Fully-AutomatedOldPET Bottle0.5Small-scaleLow</v>
      </c>
      <c r="B1060" t="s">
        <v>130</v>
      </c>
      <c r="C1060" t="s">
        <v>130</v>
      </c>
      <c r="D1060" t="s">
        <v>15</v>
      </c>
      <c r="E1060" s="12" t="s">
        <v>182</v>
      </c>
      <c r="F1060" t="s">
        <v>187</v>
      </c>
      <c r="G1060" t="s">
        <v>12</v>
      </c>
      <c r="H1060" t="s">
        <v>72</v>
      </c>
      <c r="I1060" t="s">
        <v>175</v>
      </c>
      <c r="J1060" s="12">
        <v>0.5</v>
      </c>
      <c r="K1060" t="s">
        <v>60</v>
      </c>
      <c r="L1060" t="s">
        <v>13</v>
      </c>
      <c r="M1060" t="s">
        <v>200</v>
      </c>
      <c r="O1060" t="s">
        <v>205</v>
      </c>
      <c r="P1060">
        <v>12</v>
      </c>
      <c r="Q1060" t="s">
        <v>203</v>
      </c>
      <c r="R1060" s="6">
        <v>0.89607713585828042</v>
      </c>
      <c r="S1060" s="6">
        <v>20.873276028235175</v>
      </c>
      <c r="T1060" s="6">
        <v>7.6749667152071641</v>
      </c>
      <c r="U1060" s="6">
        <v>74.508069999735369</v>
      </c>
      <c r="V1060" s="6">
        <v>0.24043105337756854</v>
      </c>
      <c r="W1060" s="6">
        <v>10.560653294665714</v>
      </c>
      <c r="X1060" s="6">
        <v>5.7842776072983222</v>
      </c>
      <c r="Y1060" s="6">
        <v>55.569315659345527</v>
      </c>
    </row>
    <row r="1061" spans="1:25" x14ac:dyDescent="0.25">
      <c r="A1061" t="str">
        <f t="shared" si="16"/>
        <v>RTD Ice TeaFranceDecemberEUR (€)Fully-AutomatedOldPET Bottle0.5Small-scaleMedium</v>
      </c>
      <c r="B1061" t="s">
        <v>130</v>
      </c>
      <c r="C1061" t="s">
        <v>130</v>
      </c>
      <c r="D1061" t="s">
        <v>15</v>
      </c>
      <c r="E1061" s="12" t="s">
        <v>182</v>
      </c>
      <c r="F1061" t="s">
        <v>187</v>
      </c>
      <c r="G1061" t="s">
        <v>12</v>
      </c>
      <c r="H1061" t="s">
        <v>72</v>
      </c>
      <c r="I1061" t="s">
        <v>175</v>
      </c>
      <c r="J1061" s="12">
        <v>0.5</v>
      </c>
      <c r="K1061" t="s">
        <v>60</v>
      </c>
      <c r="L1061" t="s">
        <v>63</v>
      </c>
      <c r="M1061" t="s">
        <v>200</v>
      </c>
      <c r="O1061" t="s">
        <v>205</v>
      </c>
      <c r="P1061">
        <v>12</v>
      </c>
      <c r="Q1061" t="s">
        <v>203</v>
      </c>
      <c r="R1061" s="6">
        <v>0.93020688324884127</v>
      </c>
      <c r="S1061" s="6">
        <v>21.669151328254358</v>
      </c>
      <c r="T1061" s="6">
        <v>7.9669493639129847</v>
      </c>
      <c r="U1061" s="6">
        <v>77.343678420226126</v>
      </c>
      <c r="V1061" s="6">
        <v>0.24933231248830903</v>
      </c>
      <c r="W1061" s="6">
        <v>10.950149141600708</v>
      </c>
      <c r="X1061" s="6">
        <v>5.9982560157815534</v>
      </c>
      <c r="Y1061" s="6">
        <v>57.624237800996909</v>
      </c>
    </row>
    <row r="1062" spans="1:25" x14ac:dyDescent="0.25">
      <c r="A1062" t="str">
        <f t="shared" si="16"/>
        <v>RTD Ice TeaFranceDecemberEUR (€)Fully-AutomatedOldPET Bottle0.5Small-scaleHigh</v>
      </c>
      <c r="B1062" t="s">
        <v>130</v>
      </c>
      <c r="C1062" t="s">
        <v>130</v>
      </c>
      <c r="D1062" t="s">
        <v>15</v>
      </c>
      <c r="E1062" s="12" t="s">
        <v>182</v>
      </c>
      <c r="F1062" t="s">
        <v>187</v>
      </c>
      <c r="G1062" t="s">
        <v>12</v>
      </c>
      <c r="H1062" t="s">
        <v>72</v>
      </c>
      <c r="I1062" t="s">
        <v>175</v>
      </c>
      <c r="J1062" s="12">
        <v>0.5</v>
      </c>
      <c r="K1062" t="s">
        <v>60</v>
      </c>
      <c r="L1062" t="s">
        <v>11</v>
      </c>
      <c r="M1062" t="s">
        <v>200</v>
      </c>
      <c r="O1062" t="s">
        <v>205</v>
      </c>
      <c r="P1062">
        <v>12</v>
      </c>
      <c r="Q1062" t="s">
        <v>203</v>
      </c>
      <c r="R1062" s="6">
        <v>0.96706701043064658</v>
      </c>
      <c r="S1062" s="6">
        <v>22.52869665227508</v>
      </c>
      <c r="T1062" s="6">
        <v>8.2822906245152694</v>
      </c>
      <c r="U1062" s="6">
        <v>80.40613551435618</v>
      </c>
      <c r="V1062" s="6">
        <v>0.25894567232790866</v>
      </c>
      <c r="W1062" s="6">
        <v>11.370804656290499</v>
      </c>
      <c r="X1062" s="6">
        <v>6.229352696943443</v>
      </c>
      <c r="Y1062" s="6">
        <v>59.84355371398037</v>
      </c>
    </row>
    <row r="1063" spans="1:25" x14ac:dyDescent="0.25">
      <c r="A1063" t="str">
        <f t="shared" si="16"/>
        <v>RTD Ice TeaFranceDecemberEUR (€)Fully-AutomatedOldPET Bottle0.5High-scaleLow</v>
      </c>
      <c r="B1063" t="s">
        <v>130</v>
      </c>
      <c r="C1063" t="s">
        <v>130</v>
      </c>
      <c r="D1063" t="s">
        <v>15</v>
      </c>
      <c r="E1063" s="12" t="s">
        <v>182</v>
      </c>
      <c r="F1063" t="s">
        <v>187</v>
      </c>
      <c r="G1063" t="s">
        <v>12</v>
      </c>
      <c r="H1063" t="s">
        <v>72</v>
      </c>
      <c r="I1063" t="s">
        <v>175</v>
      </c>
      <c r="J1063" s="12">
        <v>0.5</v>
      </c>
      <c r="K1063" t="s">
        <v>107</v>
      </c>
      <c r="L1063" t="s">
        <v>13</v>
      </c>
      <c r="M1063" t="s">
        <v>199</v>
      </c>
      <c r="O1063" t="s">
        <v>205</v>
      </c>
      <c r="P1063">
        <v>24</v>
      </c>
      <c r="Q1063" t="s">
        <v>204</v>
      </c>
      <c r="R1063" s="6">
        <v>0.892595654376799</v>
      </c>
      <c r="S1063" s="6">
        <v>20.801068737140625</v>
      </c>
      <c r="T1063" s="6">
        <v>7.6415995756648325</v>
      </c>
      <c r="U1063" s="6">
        <v>74.195169572945233</v>
      </c>
      <c r="V1063" s="6">
        <v>0.2206315576351579</v>
      </c>
      <c r="W1063" s="6">
        <v>7.1477232116030311</v>
      </c>
      <c r="X1063" s="6">
        <v>5.0354851511081291</v>
      </c>
      <c r="Y1063" s="6">
        <v>47.053275033860274</v>
      </c>
    </row>
    <row r="1064" spans="1:25" x14ac:dyDescent="0.25">
      <c r="A1064" t="str">
        <f t="shared" si="16"/>
        <v>RTD Ice TeaFranceDecemberEUR (€)Fully-AutomatedOldPET Bottle0.5High-scaleMedium</v>
      </c>
      <c r="B1064" t="s">
        <v>130</v>
      </c>
      <c r="C1064" t="s">
        <v>130</v>
      </c>
      <c r="D1064" t="s">
        <v>15</v>
      </c>
      <c r="E1064" s="12" t="s">
        <v>182</v>
      </c>
      <c r="F1064" t="s">
        <v>187</v>
      </c>
      <c r="G1064" t="s">
        <v>12</v>
      </c>
      <c r="H1064" t="s">
        <v>72</v>
      </c>
      <c r="I1064" t="s">
        <v>175</v>
      </c>
      <c r="J1064" s="12">
        <v>0.5</v>
      </c>
      <c r="K1064" t="s">
        <v>107</v>
      </c>
      <c r="L1064" t="s">
        <v>63</v>
      </c>
      <c r="M1064" t="s">
        <v>199</v>
      </c>
      <c r="O1064" t="s">
        <v>205</v>
      </c>
      <c r="P1064">
        <v>24</v>
      </c>
      <c r="Q1064" t="s">
        <v>204</v>
      </c>
      <c r="R1064" s="6">
        <v>0.92672540176735962</v>
      </c>
      <c r="S1064" s="6">
        <v>21.596944037159815</v>
      </c>
      <c r="T1064" s="6">
        <v>7.9335822243706549</v>
      </c>
      <c r="U1064" s="6">
        <v>77.030777993436004</v>
      </c>
      <c r="V1064" s="6">
        <v>0.22880396408654896</v>
      </c>
      <c r="W1064" s="6">
        <v>7.4105183912002515</v>
      </c>
      <c r="X1064" s="6">
        <v>5.2218607043862759</v>
      </c>
      <c r="Y1064" s="6">
        <v>48.793691645848355</v>
      </c>
    </row>
    <row r="1065" spans="1:25" x14ac:dyDescent="0.25">
      <c r="A1065" t="str">
        <f t="shared" si="16"/>
        <v>RTD Ice TeaFranceDecemberEUR (€)Fully-AutomatedOldPET Bottle0.5High-scaleHigh</v>
      </c>
      <c r="B1065" t="s">
        <v>130</v>
      </c>
      <c r="C1065" t="s">
        <v>130</v>
      </c>
      <c r="D1065" t="s">
        <v>15</v>
      </c>
      <c r="E1065" s="12" t="s">
        <v>182</v>
      </c>
      <c r="F1065" t="s">
        <v>187</v>
      </c>
      <c r="G1065" t="s">
        <v>12</v>
      </c>
      <c r="H1065" t="s">
        <v>72</v>
      </c>
      <c r="I1065" t="s">
        <v>175</v>
      </c>
      <c r="J1065" s="12">
        <v>0.5</v>
      </c>
      <c r="K1065" t="s">
        <v>107</v>
      </c>
      <c r="L1065" t="s">
        <v>11</v>
      </c>
      <c r="M1065" t="s">
        <v>199</v>
      </c>
      <c r="O1065" t="s">
        <v>205</v>
      </c>
      <c r="P1065">
        <v>24</v>
      </c>
      <c r="Q1065" t="s">
        <v>204</v>
      </c>
      <c r="R1065" s="6">
        <v>0.96358552894916505</v>
      </c>
      <c r="S1065" s="6">
        <v>22.45648936118053</v>
      </c>
      <c r="T1065" s="6">
        <v>8.2489234849729414</v>
      </c>
      <c r="U1065" s="6">
        <v>80.093235087566029</v>
      </c>
      <c r="V1065" s="6">
        <v>0.23763016305405132</v>
      </c>
      <c r="W1065" s="6">
        <v>7.6943371851652467</v>
      </c>
      <c r="X1065" s="6">
        <v>5.4231463019266748</v>
      </c>
      <c r="Y1065" s="6">
        <v>50.673341586795495</v>
      </c>
    </row>
    <row r="1066" spans="1:25" x14ac:dyDescent="0.25">
      <c r="A1066" t="str">
        <f t="shared" si="16"/>
        <v>RTD Ice TeaFranceDecemberEUR (€)Fully-AutomatedOldPET Bottle0.5Medium-scaleLow</v>
      </c>
      <c r="B1066" t="s">
        <v>130</v>
      </c>
      <c r="C1066" t="s">
        <v>130</v>
      </c>
      <c r="D1066" t="s">
        <v>15</v>
      </c>
      <c r="E1066" s="12" t="s">
        <v>182</v>
      </c>
      <c r="F1066" t="s">
        <v>187</v>
      </c>
      <c r="G1066" t="s">
        <v>12</v>
      </c>
      <c r="H1066" t="s">
        <v>72</v>
      </c>
      <c r="I1066" t="s">
        <v>175</v>
      </c>
      <c r="J1066" s="12">
        <v>0.5</v>
      </c>
      <c r="K1066" t="s">
        <v>62</v>
      </c>
      <c r="L1066" t="s">
        <v>13</v>
      </c>
      <c r="M1066" t="s">
        <v>199</v>
      </c>
      <c r="O1066" t="s">
        <v>205</v>
      </c>
      <c r="P1066">
        <v>24</v>
      </c>
      <c r="Q1066" t="s">
        <v>204</v>
      </c>
      <c r="R1066" s="6">
        <v>0.89390120993235456</v>
      </c>
      <c r="S1066" s="6">
        <v>20.828146471301082</v>
      </c>
      <c r="T1066" s="6">
        <v>7.6541122529932064</v>
      </c>
      <c r="U1066" s="6">
        <v>74.312507232991535</v>
      </c>
      <c r="V1066" s="6">
        <v>0.22150403238263261</v>
      </c>
      <c r="W1066" s="6">
        <v>7.1779492683900044</v>
      </c>
      <c r="X1066" s="6">
        <v>5.0565652362054951</v>
      </c>
      <c r="Y1066" s="6">
        <v>47.250418493400616</v>
      </c>
    </row>
    <row r="1067" spans="1:25" x14ac:dyDescent="0.25">
      <c r="A1067" t="str">
        <f t="shared" si="16"/>
        <v>RTD Ice TeaFranceDecemberEUR (€)Fully-AutomatedOldPET Bottle0.5Medium-scaleMedium</v>
      </c>
      <c r="B1067" t="s">
        <v>130</v>
      </c>
      <c r="C1067" t="s">
        <v>130</v>
      </c>
      <c r="D1067" t="s">
        <v>15</v>
      </c>
      <c r="E1067" s="12" t="s">
        <v>182</v>
      </c>
      <c r="F1067" t="s">
        <v>187</v>
      </c>
      <c r="G1067" t="s">
        <v>12</v>
      </c>
      <c r="H1067" t="s">
        <v>72</v>
      </c>
      <c r="I1067" t="s">
        <v>175</v>
      </c>
      <c r="J1067" s="12">
        <v>0.5</v>
      </c>
      <c r="K1067" t="s">
        <v>62</v>
      </c>
      <c r="L1067" t="s">
        <v>63</v>
      </c>
      <c r="M1067" t="s">
        <v>199</v>
      </c>
      <c r="O1067" t="s">
        <v>205</v>
      </c>
      <c r="P1067">
        <v>24</v>
      </c>
      <c r="Q1067" t="s">
        <v>204</v>
      </c>
      <c r="R1067" s="6">
        <v>0.9280309573229153</v>
      </c>
      <c r="S1067" s="6">
        <v>21.624021771320269</v>
      </c>
      <c r="T1067" s="6">
        <v>7.9460949016990279</v>
      </c>
      <c r="U1067" s="6">
        <v>77.148115653482321</v>
      </c>
      <c r="V1067" s="6">
        <v>0.22967643883402369</v>
      </c>
      <c r="W1067" s="6">
        <v>7.4407444479872273</v>
      </c>
      <c r="X1067" s="6">
        <v>5.242940789483642</v>
      </c>
      <c r="Y1067" s="6">
        <v>48.990835105388697</v>
      </c>
    </row>
    <row r="1068" spans="1:25" x14ac:dyDescent="0.25">
      <c r="A1068" t="str">
        <f t="shared" si="16"/>
        <v>RTD Ice TeaFranceDecemberEUR (€)Fully-AutomatedOldPET Bottle0.5Medium-scaleHigh</v>
      </c>
      <c r="B1068" t="s">
        <v>130</v>
      </c>
      <c r="C1068" t="s">
        <v>130</v>
      </c>
      <c r="D1068" t="s">
        <v>15</v>
      </c>
      <c r="E1068" s="12" t="s">
        <v>182</v>
      </c>
      <c r="F1068" t="s">
        <v>187</v>
      </c>
      <c r="G1068" t="s">
        <v>12</v>
      </c>
      <c r="H1068" t="s">
        <v>72</v>
      </c>
      <c r="I1068" t="s">
        <v>175</v>
      </c>
      <c r="J1068" s="12">
        <v>0.5</v>
      </c>
      <c r="K1068" t="s">
        <v>62</v>
      </c>
      <c r="L1068" t="s">
        <v>11</v>
      </c>
      <c r="M1068" t="s">
        <v>199</v>
      </c>
      <c r="O1068" t="s">
        <v>205</v>
      </c>
      <c r="P1068">
        <v>24</v>
      </c>
      <c r="Q1068" t="s">
        <v>204</v>
      </c>
      <c r="R1068" s="6">
        <v>0.96489108450472072</v>
      </c>
      <c r="S1068" s="6">
        <v>22.483567095340984</v>
      </c>
      <c r="T1068" s="6">
        <v>8.2614361623013135</v>
      </c>
      <c r="U1068" s="6">
        <v>80.210572747612346</v>
      </c>
      <c r="V1068" s="6">
        <v>0.23850263780152606</v>
      </c>
      <c r="W1068" s="6">
        <v>7.7245632419522225</v>
      </c>
      <c r="X1068" s="6">
        <v>5.4442263870240408</v>
      </c>
      <c r="Y1068" s="6">
        <v>50.87048504633583</v>
      </c>
    </row>
    <row r="1069" spans="1:25" x14ac:dyDescent="0.25">
      <c r="A1069" t="str">
        <f t="shared" si="16"/>
        <v>RTD Ice TeaFranceDecemberEUR (€)Fully-AutomatedOldPET Bottle0.5Small-scaleLow</v>
      </c>
      <c r="B1069" t="s">
        <v>130</v>
      </c>
      <c r="C1069" t="s">
        <v>130</v>
      </c>
      <c r="D1069" t="s">
        <v>15</v>
      </c>
      <c r="E1069" s="12" t="s">
        <v>182</v>
      </c>
      <c r="F1069" t="s">
        <v>187</v>
      </c>
      <c r="G1069" t="s">
        <v>12</v>
      </c>
      <c r="H1069" t="s">
        <v>72</v>
      </c>
      <c r="I1069" t="s">
        <v>175</v>
      </c>
      <c r="J1069" s="12">
        <v>0.5</v>
      </c>
      <c r="K1069" t="s">
        <v>60</v>
      </c>
      <c r="L1069" t="s">
        <v>13</v>
      </c>
      <c r="M1069" t="s">
        <v>199</v>
      </c>
      <c r="O1069" t="s">
        <v>205</v>
      </c>
      <c r="P1069">
        <v>24</v>
      </c>
      <c r="Q1069" t="s">
        <v>204</v>
      </c>
      <c r="R1069" s="6">
        <v>0.89607713585828042</v>
      </c>
      <c r="S1069" s="6">
        <v>20.873276028235175</v>
      </c>
      <c r="T1069" s="6">
        <v>7.6749667152071641</v>
      </c>
      <c r="U1069" s="6">
        <v>74.508069999735369</v>
      </c>
      <c r="V1069" s="6">
        <v>0.22295815696175719</v>
      </c>
      <c r="W1069" s="6">
        <v>7.2283260297016323</v>
      </c>
      <c r="X1069" s="6">
        <v>5.0916987113677719</v>
      </c>
      <c r="Y1069" s="6">
        <v>47.578990925967837</v>
      </c>
    </row>
    <row r="1070" spans="1:25" x14ac:dyDescent="0.25">
      <c r="A1070" t="str">
        <f t="shared" si="16"/>
        <v>RTD Ice TeaFranceDecemberEUR (€)Fully-AutomatedOldPET Bottle0.5Small-scaleMedium</v>
      </c>
      <c r="B1070" t="s">
        <v>130</v>
      </c>
      <c r="C1070" t="s">
        <v>130</v>
      </c>
      <c r="D1070" t="s">
        <v>15</v>
      </c>
      <c r="E1070" s="12" t="s">
        <v>182</v>
      </c>
      <c r="F1070" t="s">
        <v>187</v>
      </c>
      <c r="G1070" t="s">
        <v>12</v>
      </c>
      <c r="H1070" t="s">
        <v>72</v>
      </c>
      <c r="I1070" t="s">
        <v>175</v>
      </c>
      <c r="J1070" s="12">
        <v>0.5</v>
      </c>
      <c r="K1070" t="s">
        <v>60</v>
      </c>
      <c r="L1070" t="s">
        <v>63</v>
      </c>
      <c r="M1070" t="s">
        <v>199</v>
      </c>
      <c r="O1070" t="s">
        <v>205</v>
      </c>
      <c r="P1070">
        <v>24</v>
      </c>
      <c r="Q1070" t="s">
        <v>204</v>
      </c>
      <c r="R1070" s="6">
        <v>0.93020688324884127</v>
      </c>
      <c r="S1070" s="6">
        <v>21.669151328254358</v>
      </c>
      <c r="T1070" s="6">
        <v>7.9669493639129847</v>
      </c>
      <c r="U1070" s="6">
        <v>77.343678420226126</v>
      </c>
      <c r="V1070" s="6">
        <v>0.2311305634131483</v>
      </c>
      <c r="W1070" s="6">
        <v>7.4911212092988526</v>
      </c>
      <c r="X1070" s="6">
        <v>5.2780742646459187</v>
      </c>
      <c r="Y1070" s="6">
        <v>49.319407537955939</v>
      </c>
    </row>
    <row r="1071" spans="1:25" x14ac:dyDescent="0.25">
      <c r="A1071" t="str">
        <f t="shared" si="16"/>
        <v>RTD Ice TeaFranceDecemberEUR (€)Fully-AutomatedOldPET Bottle0.5Small-scaleHigh</v>
      </c>
      <c r="B1071" t="s">
        <v>130</v>
      </c>
      <c r="C1071" t="s">
        <v>130</v>
      </c>
      <c r="D1071" t="s">
        <v>15</v>
      </c>
      <c r="E1071" s="12" t="s">
        <v>182</v>
      </c>
      <c r="F1071" t="s">
        <v>187</v>
      </c>
      <c r="G1071" t="s">
        <v>12</v>
      </c>
      <c r="H1071" t="s">
        <v>72</v>
      </c>
      <c r="I1071" t="s">
        <v>175</v>
      </c>
      <c r="J1071" s="12">
        <v>0.5</v>
      </c>
      <c r="K1071" t="s">
        <v>60</v>
      </c>
      <c r="L1071" t="s">
        <v>11</v>
      </c>
      <c r="M1071" t="s">
        <v>199</v>
      </c>
      <c r="O1071" t="s">
        <v>205</v>
      </c>
      <c r="P1071">
        <v>24</v>
      </c>
      <c r="Q1071" t="s">
        <v>204</v>
      </c>
      <c r="R1071" s="6">
        <v>0.96706701043064658</v>
      </c>
      <c r="S1071" s="6">
        <v>22.52869665227508</v>
      </c>
      <c r="T1071" s="6">
        <v>8.2822906245152694</v>
      </c>
      <c r="U1071" s="6">
        <v>80.40613551435618</v>
      </c>
      <c r="V1071" s="6">
        <v>0.23995676238065061</v>
      </c>
      <c r="W1071" s="6">
        <v>7.7749400032638487</v>
      </c>
      <c r="X1071" s="6">
        <v>5.4793598621863175</v>
      </c>
      <c r="Y1071" s="6">
        <v>51.199057478903065</v>
      </c>
    </row>
    <row r="1072" spans="1:25" x14ac:dyDescent="0.25">
      <c r="A1072" t="str">
        <f t="shared" si="16"/>
        <v>RTD Ice TeaFranceDecemberEUR (€)Fully-AutomatedOldPET Bottle0.5High-scaleLow</v>
      </c>
      <c r="B1072" t="s">
        <v>130</v>
      </c>
      <c r="C1072" t="s">
        <v>130</v>
      </c>
      <c r="D1072" t="s">
        <v>15</v>
      </c>
      <c r="E1072" s="12" t="s">
        <v>182</v>
      </c>
      <c r="F1072" t="s">
        <v>187</v>
      </c>
      <c r="G1072" t="s">
        <v>12</v>
      </c>
      <c r="H1072" t="s">
        <v>72</v>
      </c>
      <c r="I1072" t="s">
        <v>175</v>
      </c>
      <c r="J1072" s="12">
        <v>0.5</v>
      </c>
      <c r="K1072" t="s">
        <v>107</v>
      </c>
      <c r="L1072" t="s">
        <v>13</v>
      </c>
      <c r="M1072" t="s">
        <v>200</v>
      </c>
      <c r="O1072" t="s">
        <v>205</v>
      </c>
      <c r="P1072">
        <v>24</v>
      </c>
      <c r="Q1072" t="s">
        <v>204</v>
      </c>
      <c r="R1072" s="6">
        <v>0.892595654376799</v>
      </c>
      <c r="S1072" s="6">
        <v>20.801068737140625</v>
      </c>
      <c r="T1072" s="6">
        <v>7.6415995756648325</v>
      </c>
      <c r="U1072" s="6">
        <v>74.195169572945233</v>
      </c>
      <c r="V1072" s="6">
        <v>0.19034685352057909</v>
      </c>
      <c r="W1072" s="6">
        <v>9.1116375893194341</v>
      </c>
      <c r="X1072" s="6">
        <v>4.9944652186436045</v>
      </c>
      <c r="Y1072" s="6">
        <v>47.965845739302118</v>
      </c>
    </row>
    <row r="1073" spans="1:25" x14ac:dyDescent="0.25">
      <c r="A1073" t="str">
        <f t="shared" si="16"/>
        <v>RTD Ice TeaFranceDecemberEUR (€)Fully-AutomatedOldPET Bottle0.5High-scaleMedium</v>
      </c>
      <c r="B1073" t="s">
        <v>130</v>
      </c>
      <c r="C1073" t="s">
        <v>130</v>
      </c>
      <c r="D1073" t="s">
        <v>15</v>
      </c>
      <c r="E1073" s="12" t="s">
        <v>182</v>
      </c>
      <c r="F1073" t="s">
        <v>187</v>
      </c>
      <c r="G1073" t="s">
        <v>12</v>
      </c>
      <c r="H1073" t="s">
        <v>72</v>
      </c>
      <c r="I1073" t="s">
        <v>175</v>
      </c>
      <c r="J1073" s="12">
        <v>0.5</v>
      </c>
      <c r="K1073" t="s">
        <v>107</v>
      </c>
      <c r="L1073" t="s">
        <v>63</v>
      </c>
      <c r="M1073" t="s">
        <v>200</v>
      </c>
      <c r="O1073" t="s">
        <v>205</v>
      </c>
      <c r="P1073">
        <v>24</v>
      </c>
      <c r="Q1073" t="s">
        <v>204</v>
      </c>
      <c r="R1073" s="6">
        <v>0.92672540176735962</v>
      </c>
      <c r="S1073" s="6">
        <v>21.596944037159815</v>
      </c>
      <c r="T1073" s="6">
        <v>7.9335822243706549</v>
      </c>
      <c r="U1073" s="6">
        <v>77.030777993436004</v>
      </c>
      <c r="V1073" s="6">
        <v>0.19745595938636673</v>
      </c>
      <c r="W1073" s="6">
        <v>9.4507069117260389</v>
      </c>
      <c r="X1073" s="6">
        <v>5.1810004518624595</v>
      </c>
      <c r="Y1073" s="6">
        <v>49.756489624745825</v>
      </c>
    </row>
    <row r="1074" spans="1:25" x14ac:dyDescent="0.25">
      <c r="A1074" t="str">
        <f t="shared" si="16"/>
        <v>RTD Ice TeaFranceDecemberEUR (€)Fully-AutomatedOldPET Bottle0.5High-scaleHigh</v>
      </c>
      <c r="B1074" t="s">
        <v>130</v>
      </c>
      <c r="C1074" t="s">
        <v>130</v>
      </c>
      <c r="D1074" t="s">
        <v>15</v>
      </c>
      <c r="E1074" s="12" t="s">
        <v>182</v>
      </c>
      <c r="F1074" t="s">
        <v>187</v>
      </c>
      <c r="G1074" t="s">
        <v>12</v>
      </c>
      <c r="H1074" t="s">
        <v>72</v>
      </c>
      <c r="I1074" t="s">
        <v>175</v>
      </c>
      <c r="J1074" s="12">
        <v>0.5</v>
      </c>
      <c r="K1074" t="s">
        <v>107</v>
      </c>
      <c r="L1074" t="s">
        <v>11</v>
      </c>
      <c r="M1074" t="s">
        <v>200</v>
      </c>
      <c r="O1074" t="s">
        <v>205</v>
      </c>
      <c r="P1074">
        <v>24</v>
      </c>
      <c r="Q1074" t="s">
        <v>204</v>
      </c>
      <c r="R1074" s="6">
        <v>0.96358552894916505</v>
      </c>
      <c r="S1074" s="6">
        <v>22.45648936118053</v>
      </c>
      <c r="T1074" s="6">
        <v>8.2489234849729414</v>
      </c>
      <c r="U1074" s="6">
        <v>80.093235087566029</v>
      </c>
      <c r="V1074" s="6">
        <v>0.20513379372141732</v>
      </c>
      <c r="W1074" s="6">
        <v>9.8169017799251677</v>
      </c>
      <c r="X1074" s="6">
        <v>5.3824585037388228</v>
      </c>
      <c r="Y1074" s="6">
        <v>51.69038502102503</v>
      </c>
    </row>
    <row r="1075" spans="1:25" x14ac:dyDescent="0.25">
      <c r="A1075" t="str">
        <f t="shared" si="16"/>
        <v>RTD Ice TeaFranceDecemberEUR (€)Fully-AutomatedOldPET Bottle0.5Medium-scaleLow</v>
      </c>
      <c r="B1075" t="s">
        <v>130</v>
      </c>
      <c r="C1075" t="s">
        <v>130</v>
      </c>
      <c r="D1075" t="s">
        <v>15</v>
      </c>
      <c r="E1075" s="12" t="s">
        <v>182</v>
      </c>
      <c r="F1075" t="s">
        <v>187</v>
      </c>
      <c r="G1075" t="s">
        <v>12</v>
      </c>
      <c r="H1075" t="s">
        <v>72</v>
      </c>
      <c r="I1075" t="s">
        <v>175</v>
      </c>
      <c r="J1075" s="12">
        <v>0.5</v>
      </c>
      <c r="K1075" t="s">
        <v>62</v>
      </c>
      <c r="L1075" t="s">
        <v>13</v>
      </c>
      <c r="M1075" t="s">
        <v>200</v>
      </c>
      <c r="O1075" t="s">
        <v>205</v>
      </c>
      <c r="P1075">
        <v>24</v>
      </c>
      <c r="Q1075" t="s">
        <v>204</v>
      </c>
      <c r="R1075" s="6">
        <v>0.89390120993235456</v>
      </c>
      <c r="S1075" s="6">
        <v>20.828146471301082</v>
      </c>
      <c r="T1075" s="6">
        <v>7.6541122529932064</v>
      </c>
      <c r="U1075" s="6">
        <v>74.312507232991535</v>
      </c>
      <c r="V1075" s="6">
        <v>0.19111831816704372</v>
      </c>
      <c r="W1075" s="6">
        <v>9.1490400311593696</v>
      </c>
      <c r="X1075" s="6">
        <v>5.0155453037409696</v>
      </c>
      <c r="Y1075" s="6">
        <v>48.167588192561233</v>
      </c>
    </row>
    <row r="1076" spans="1:25" x14ac:dyDescent="0.25">
      <c r="A1076" t="str">
        <f t="shared" si="16"/>
        <v>RTD Ice TeaFranceDecemberEUR (€)Fully-AutomatedOldPET Bottle0.5Medium-scaleMedium</v>
      </c>
      <c r="B1076" t="s">
        <v>130</v>
      </c>
      <c r="C1076" t="s">
        <v>130</v>
      </c>
      <c r="D1076" t="s">
        <v>15</v>
      </c>
      <c r="E1076" s="12" t="s">
        <v>182</v>
      </c>
      <c r="F1076" t="s">
        <v>187</v>
      </c>
      <c r="G1076" t="s">
        <v>12</v>
      </c>
      <c r="H1076" t="s">
        <v>72</v>
      </c>
      <c r="I1076" t="s">
        <v>175</v>
      </c>
      <c r="J1076" s="12">
        <v>0.5</v>
      </c>
      <c r="K1076" t="s">
        <v>62</v>
      </c>
      <c r="L1076" t="s">
        <v>63</v>
      </c>
      <c r="M1076" t="s">
        <v>200</v>
      </c>
      <c r="O1076" t="s">
        <v>205</v>
      </c>
      <c r="P1076">
        <v>24</v>
      </c>
      <c r="Q1076" t="s">
        <v>204</v>
      </c>
      <c r="R1076" s="6">
        <v>0.9280309573229153</v>
      </c>
      <c r="S1076" s="6">
        <v>21.624021771320269</v>
      </c>
      <c r="T1076" s="6">
        <v>7.9460949016990279</v>
      </c>
      <c r="U1076" s="6">
        <v>77.148115653482321</v>
      </c>
      <c r="V1076" s="6">
        <v>0.19822742403283131</v>
      </c>
      <c r="W1076" s="6">
        <v>9.4881093535659762</v>
      </c>
      <c r="X1076" s="6">
        <v>5.2020805369598255</v>
      </c>
      <c r="Y1076" s="6">
        <v>49.95823207800494</v>
      </c>
    </row>
    <row r="1077" spans="1:25" x14ac:dyDescent="0.25">
      <c r="A1077" t="str">
        <f t="shared" si="16"/>
        <v>RTD Ice TeaFranceDecemberEUR (€)Fully-AutomatedOldPET Bottle0.5Medium-scaleHigh</v>
      </c>
      <c r="B1077" t="s">
        <v>130</v>
      </c>
      <c r="C1077" t="s">
        <v>130</v>
      </c>
      <c r="D1077" t="s">
        <v>15</v>
      </c>
      <c r="E1077" s="12" t="s">
        <v>182</v>
      </c>
      <c r="F1077" t="s">
        <v>187</v>
      </c>
      <c r="G1077" t="s">
        <v>12</v>
      </c>
      <c r="H1077" t="s">
        <v>72</v>
      </c>
      <c r="I1077" t="s">
        <v>175</v>
      </c>
      <c r="J1077" s="12">
        <v>0.5</v>
      </c>
      <c r="K1077" t="s">
        <v>62</v>
      </c>
      <c r="L1077" t="s">
        <v>11</v>
      </c>
      <c r="M1077" t="s">
        <v>200</v>
      </c>
      <c r="O1077" t="s">
        <v>205</v>
      </c>
      <c r="P1077">
        <v>24</v>
      </c>
      <c r="Q1077" t="s">
        <v>204</v>
      </c>
      <c r="R1077" s="6">
        <v>0.96489108450472072</v>
      </c>
      <c r="S1077" s="6">
        <v>22.483567095340984</v>
      </c>
      <c r="T1077" s="6">
        <v>8.2614361623013135</v>
      </c>
      <c r="U1077" s="6">
        <v>80.210572747612346</v>
      </c>
      <c r="V1077" s="6">
        <v>0.20590525836788195</v>
      </c>
      <c r="W1077" s="6">
        <v>9.8543042217651085</v>
      </c>
      <c r="X1077" s="6">
        <v>5.4035385888361898</v>
      </c>
      <c r="Y1077" s="6">
        <v>51.892127474284138</v>
      </c>
    </row>
    <row r="1078" spans="1:25" x14ac:dyDescent="0.25">
      <c r="A1078" t="str">
        <f t="shared" si="16"/>
        <v>RTD Ice TeaFranceDecemberEUR (€)Fully-AutomatedOldPET Bottle0.5Small-scaleLow</v>
      </c>
      <c r="B1078" t="s">
        <v>130</v>
      </c>
      <c r="C1078" t="s">
        <v>130</v>
      </c>
      <c r="D1078" t="s">
        <v>15</v>
      </c>
      <c r="E1078" s="12" t="s">
        <v>182</v>
      </c>
      <c r="F1078" t="s">
        <v>187</v>
      </c>
      <c r="G1078" t="s">
        <v>12</v>
      </c>
      <c r="H1078" t="s">
        <v>72</v>
      </c>
      <c r="I1078" t="s">
        <v>175</v>
      </c>
      <c r="J1078" s="12">
        <v>0.5</v>
      </c>
      <c r="K1078" t="s">
        <v>60</v>
      </c>
      <c r="L1078" t="s">
        <v>13</v>
      </c>
      <c r="M1078" t="s">
        <v>200</v>
      </c>
      <c r="O1078" t="s">
        <v>205</v>
      </c>
      <c r="P1078">
        <v>24</v>
      </c>
      <c r="Q1078" t="s">
        <v>204</v>
      </c>
      <c r="R1078" s="6">
        <v>0.89607713585828042</v>
      </c>
      <c r="S1078" s="6">
        <v>20.873276028235175</v>
      </c>
      <c r="T1078" s="6">
        <v>7.6749667152071641</v>
      </c>
      <c r="U1078" s="6">
        <v>74.508069999735369</v>
      </c>
      <c r="V1078" s="6">
        <v>0.19240409257781813</v>
      </c>
      <c r="W1078" s="6">
        <v>9.2113774342259322</v>
      </c>
      <c r="X1078" s="6">
        <v>5.0506787789032472</v>
      </c>
      <c r="Y1078" s="6">
        <v>48.503825614659746</v>
      </c>
    </row>
    <row r="1079" spans="1:25" x14ac:dyDescent="0.25">
      <c r="A1079" t="str">
        <f t="shared" si="16"/>
        <v>RTD Ice TeaFranceDecemberEUR (€)Fully-AutomatedOldPET Bottle0.5Small-scaleMedium</v>
      </c>
      <c r="B1079" t="s">
        <v>130</v>
      </c>
      <c r="C1079" t="s">
        <v>130</v>
      </c>
      <c r="D1079" t="s">
        <v>15</v>
      </c>
      <c r="E1079" s="12" t="s">
        <v>182</v>
      </c>
      <c r="F1079" t="s">
        <v>187</v>
      </c>
      <c r="G1079" t="s">
        <v>12</v>
      </c>
      <c r="H1079" t="s">
        <v>72</v>
      </c>
      <c r="I1079" t="s">
        <v>175</v>
      </c>
      <c r="J1079" s="12">
        <v>0.5</v>
      </c>
      <c r="K1079" t="s">
        <v>60</v>
      </c>
      <c r="L1079" t="s">
        <v>63</v>
      </c>
      <c r="M1079" t="s">
        <v>200</v>
      </c>
      <c r="O1079" t="s">
        <v>205</v>
      </c>
      <c r="P1079">
        <v>24</v>
      </c>
      <c r="Q1079" t="s">
        <v>204</v>
      </c>
      <c r="R1079" s="6">
        <v>0.93020688324884127</v>
      </c>
      <c r="S1079" s="6">
        <v>21.669151328254358</v>
      </c>
      <c r="T1079" s="6">
        <v>7.9669493639129847</v>
      </c>
      <c r="U1079" s="6">
        <v>77.343678420226126</v>
      </c>
      <c r="V1079" s="6">
        <v>0.19951319844360577</v>
      </c>
      <c r="W1079" s="6">
        <v>9.5504467566325371</v>
      </c>
      <c r="X1079" s="6">
        <v>5.2372140121221022</v>
      </c>
      <c r="Y1079" s="6">
        <v>50.294469500103446</v>
      </c>
    </row>
    <row r="1080" spans="1:25" x14ac:dyDescent="0.25">
      <c r="A1080" t="str">
        <f t="shared" si="16"/>
        <v>RTD Ice TeaFranceDecemberEUR (€)Fully-AutomatedOldPET Bottle0.5Small-scaleHigh</v>
      </c>
      <c r="B1080" t="s">
        <v>130</v>
      </c>
      <c r="C1080" t="s">
        <v>130</v>
      </c>
      <c r="D1080" t="s">
        <v>15</v>
      </c>
      <c r="E1080" s="12" t="s">
        <v>182</v>
      </c>
      <c r="F1080" t="s">
        <v>187</v>
      </c>
      <c r="G1080" t="s">
        <v>12</v>
      </c>
      <c r="H1080" t="s">
        <v>72</v>
      </c>
      <c r="I1080" t="s">
        <v>175</v>
      </c>
      <c r="J1080" s="12">
        <v>0.5</v>
      </c>
      <c r="K1080" t="s">
        <v>60</v>
      </c>
      <c r="L1080" t="s">
        <v>11</v>
      </c>
      <c r="M1080" t="s">
        <v>200</v>
      </c>
      <c r="O1080" t="s">
        <v>205</v>
      </c>
      <c r="P1080">
        <v>24</v>
      </c>
      <c r="Q1080" t="s">
        <v>204</v>
      </c>
      <c r="R1080" s="6">
        <v>0.96706701043064658</v>
      </c>
      <c r="S1080" s="6">
        <v>22.52869665227508</v>
      </c>
      <c r="T1080" s="6">
        <v>8.2822906245152694</v>
      </c>
      <c r="U1080" s="6">
        <v>80.40613551435618</v>
      </c>
      <c r="V1080" s="6">
        <v>0.20719103277865636</v>
      </c>
      <c r="W1080" s="6">
        <v>9.9166416248316693</v>
      </c>
      <c r="X1080" s="6">
        <v>5.4386720639984656</v>
      </c>
      <c r="Y1080" s="6">
        <v>52.228364896382658</v>
      </c>
    </row>
    <row r="1081" spans="1:25" x14ac:dyDescent="0.25">
      <c r="A1081" t="str">
        <f t="shared" si="16"/>
        <v>RTD Ice TeaFranceDecemberEUR (€)Fully-AutomatedOldPET Bottle1High-scaleLow</v>
      </c>
      <c r="B1081" t="s">
        <v>130</v>
      </c>
      <c r="C1081" t="s">
        <v>130</v>
      </c>
      <c r="D1081" t="s">
        <v>15</v>
      </c>
      <c r="E1081" s="12" t="s">
        <v>182</v>
      </c>
      <c r="F1081" t="s">
        <v>187</v>
      </c>
      <c r="G1081" t="s">
        <v>12</v>
      </c>
      <c r="H1081" t="s">
        <v>72</v>
      </c>
      <c r="I1081" t="s">
        <v>175</v>
      </c>
      <c r="J1081" s="12">
        <v>1</v>
      </c>
      <c r="K1081" t="s">
        <v>107</v>
      </c>
      <c r="L1081" t="s">
        <v>13</v>
      </c>
      <c r="M1081" t="s">
        <v>199</v>
      </c>
      <c r="O1081" t="s">
        <v>205</v>
      </c>
      <c r="P1081">
        <v>4</v>
      </c>
      <c r="Q1081" t="s">
        <v>198</v>
      </c>
      <c r="R1081" s="6">
        <v>0.892595654376799</v>
      </c>
      <c r="S1081" s="6">
        <v>20.801068737140625</v>
      </c>
      <c r="T1081" s="6">
        <v>7.6415995756648325</v>
      </c>
      <c r="U1081" s="6">
        <v>74.195169572945233</v>
      </c>
      <c r="V1081" s="6">
        <v>0.16403945742486212</v>
      </c>
      <c r="W1081" s="6">
        <v>5.090123595518703</v>
      </c>
      <c r="X1081" s="6">
        <v>3.3390654168212146</v>
      </c>
      <c r="Y1081" s="6">
        <v>31.440656779346693</v>
      </c>
    </row>
    <row r="1082" spans="1:25" x14ac:dyDescent="0.25">
      <c r="A1082" t="str">
        <f t="shared" si="16"/>
        <v>RTD Ice TeaFranceDecemberEUR (€)Fully-AutomatedOldPET Bottle1High-scaleMedium</v>
      </c>
      <c r="B1082" t="s">
        <v>130</v>
      </c>
      <c r="C1082" t="s">
        <v>130</v>
      </c>
      <c r="D1082" t="s">
        <v>15</v>
      </c>
      <c r="E1082" s="12" t="s">
        <v>182</v>
      </c>
      <c r="F1082" t="s">
        <v>187</v>
      </c>
      <c r="G1082" t="s">
        <v>12</v>
      </c>
      <c r="H1082" t="s">
        <v>72</v>
      </c>
      <c r="I1082" t="s">
        <v>175</v>
      </c>
      <c r="J1082" s="12">
        <v>1</v>
      </c>
      <c r="K1082" t="s">
        <v>107</v>
      </c>
      <c r="L1082" t="s">
        <v>63</v>
      </c>
      <c r="M1082" t="s">
        <v>199</v>
      </c>
      <c r="O1082" t="s">
        <v>205</v>
      </c>
      <c r="P1082">
        <v>4</v>
      </c>
      <c r="Q1082" t="s">
        <v>198</v>
      </c>
      <c r="R1082" s="6">
        <v>0.92672540176735962</v>
      </c>
      <c r="S1082" s="6">
        <v>21.596944037159815</v>
      </c>
      <c r="T1082" s="6">
        <v>7.9335822243706549</v>
      </c>
      <c r="U1082" s="6">
        <v>77.030777993436004</v>
      </c>
      <c r="V1082" s="6">
        <v>0.17000222210437313</v>
      </c>
      <c r="W1082" s="6">
        <v>5.2728991078195619</v>
      </c>
      <c r="X1082" s="6">
        <v>3.4597307586686044</v>
      </c>
      <c r="Y1082" s="6">
        <v>32.576105257316108</v>
      </c>
    </row>
    <row r="1083" spans="1:25" x14ac:dyDescent="0.25">
      <c r="A1083" t="str">
        <f t="shared" si="16"/>
        <v>RTD Ice TeaFranceDecemberEUR (€)Fully-AutomatedOldPET Bottle1High-scaleHigh</v>
      </c>
      <c r="B1083" t="s">
        <v>130</v>
      </c>
      <c r="C1083" t="s">
        <v>130</v>
      </c>
      <c r="D1083" t="s">
        <v>15</v>
      </c>
      <c r="E1083" s="12" t="s">
        <v>182</v>
      </c>
      <c r="F1083" t="s">
        <v>187</v>
      </c>
      <c r="G1083" t="s">
        <v>12</v>
      </c>
      <c r="H1083" t="s">
        <v>72</v>
      </c>
      <c r="I1083" t="s">
        <v>175</v>
      </c>
      <c r="J1083" s="12">
        <v>1</v>
      </c>
      <c r="K1083" t="s">
        <v>107</v>
      </c>
      <c r="L1083" t="s">
        <v>11</v>
      </c>
      <c r="M1083" t="s">
        <v>199</v>
      </c>
      <c r="O1083" t="s">
        <v>205</v>
      </c>
      <c r="P1083">
        <v>4</v>
      </c>
      <c r="Q1083" t="s">
        <v>198</v>
      </c>
      <c r="R1083" s="6">
        <v>0.96358552894916505</v>
      </c>
      <c r="S1083" s="6">
        <v>22.45648936118053</v>
      </c>
      <c r="T1083" s="6">
        <v>8.2489234849729414</v>
      </c>
      <c r="U1083" s="6">
        <v>80.093235087566029</v>
      </c>
      <c r="V1083" s="6">
        <v>0.176442007958245</v>
      </c>
      <c r="W1083" s="6">
        <v>5.4702966611044896</v>
      </c>
      <c r="X1083" s="6">
        <v>3.5900493278637855</v>
      </c>
      <c r="Y1083" s="6">
        <v>33.802389613523076</v>
      </c>
    </row>
    <row r="1084" spans="1:25" x14ac:dyDescent="0.25">
      <c r="A1084" t="str">
        <f t="shared" si="16"/>
        <v>RTD Ice TeaFranceDecemberEUR (€)Fully-AutomatedOldPET Bottle1Medium-scaleLow</v>
      </c>
      <c r="B1084" t="s">
        <v>130</v>
      </c>
      <c r="C1084" t="s">
        <v>130</v>
      </c>
      <c r="D1084" t="s">
        <v>15</v>
      </c>
      <c r="E1084" s="12" t="s">
        <v>182</v>
      </c>
      <c r="F1084" t="s">
        <v>187</v>
      </c>
      <c r="G1084" t="s">
        <v>12</v>
      </c>
      <c r="H1084" t="s">
        <v>72</v>
      </c>
      <c r="I1084" t="s">
        <v>175</v>
      </c>
      <c r="J1084" s="12">
        <v>1</v>
      </c>
      <c r="K1084" t="s">
        <v>62</v>
      </c>
      <c r="L1084" t="s">
        <v>13</v>
      </c>
      <c r="M1084" t="s">
        <v>199</v>
      </c>
      <c r="O1084" t="s">
        <v>205</v>
      </c>
      <c r="P1084">
        <v>4</v>
      </c>
      <c r="Q1084" t="s">
        <v>198</v>
      </c>
      <c r="R1084" s="6">
        <v>0.89390120993235456</v>
      </c>
      <c r="S1084" s="6">
        <v>20.828146471301082</v>
      </c>
      <c r="T1084" s="6">
        <v>7.6541122529932064</v>
      </c>
      <c r="U1084" s="6">
        <v>74.312507232991535</v>
      </c>
      <c r="V1084" s="6">
        <v>0.16512657863698332</v>
      </c>
      <c r="W1084" s="6">
        <v>5.1260775857109353</v>
      </c>
      <c r="X1084" s="6">
        <v>3.3631569426467758</v>
      </c>
      <c r="Y1084" s="6">
        <v>31.666938546380031</v>
      </c>
    </row>
    <row r="1085" spans="1:25" x14ac:dyDescent="0.25">
      <c r="A1085" t="str">
        <f t="shared" si="16"/>
        <v>RTD Ice TeaFranceDecemberEUR (€)Fully-AutomatedOldPET Bottle1Medium-scaleMedium</v>
      </c>
      <c r="B1085" t="s">
        <v>130</v>
      </c>
      <c r="C1085" t="s">
        <v>130</v>
      </c>
      <c r="D1085" t="s">
        <v>15</v>
      </c>
      <c r="E1085" s="12" t="s">
        <v>182</v>
      </c>
      <c r="F1085" t="s">
        <v>187</v>
      </c>
      <c r="G1085" t="s">
        <v>12</v>
      </c>
      <c r="H1085" t="s">
        <v>72</v>
      </c>
      <c r="I1085" t="s">
        <v>175</v>
      </c>
      <c r="J1085" s="12">
        <v>1</v>
      </c>
      <c r="K1085" t="s">
        <v>62</v>
      </c>
      <c r="L1085" t="s">
        <v>63</v>
      </c>
      <c r="M1085" t="s">
        <v>199</v>
      </c>
      <c r="O1085" t="s">
        <v>205</v>
      </c>
      <c r="P1085">
        <v>4</v>
      </c>
      <c r="Q1085" t="s">
        <v>198</v>
      </c>
      <c r="R1085" s="6">
        <v>0.9280309573229153</v>
      </c>
      <c r="S1085" s="6">
        <v>21.624021771320269</v>
      </c>
      <c r="T1085" s="6">
        <v>7.9460949016990279</v>
      </c>
      <c r="U1085" s="6">
        <v>77.148115653482321</v>
      </c>
      <c r="V1085" s="6">
        <v>0.17108934331649436</v>
      </c>
      <c r="W1085" s="6">
        <v>5.3088530980117934</v>
      </c>
      <c r="X1085" s="6">
        <v>3.483822284494166</v>
      </c>
      <c r="Y1085" s="6">
        <v>32.802387024349457</v>
      </c>
    </row>
    <row r="1086" spans="1:25" x14ac:dyDescent="0.25">
      <c r="A1086" t="str">
        <f t="shared" si="16"/>
        <v>RTD Ice TeaFranceDecemberEUR (€)Fully-AutomatedOldPET Bottle1Medium-scaleHigh</v>
      </c>
      <c r="B1086" t="s">
        <v>130</v>
      </c>
      <c r="C1086" t="s">
        <v>130</v>
      </c>
      <c r="D1086" t="s">
        <v>15</v>
      </c>
      <c r="E1086" s="12" t="s">
        <v>182</v>
      </c>
      <c r="F1086" t="s">
        <v>187</v>
      </c>
      <c r="G1086" t="s">
        <v>12</v>
      </c>
      <c r="H1086" t="s">
        <v>72</v>
      </c>
      <c r="I1086" t="s">
        <v>175</v>
      </c>
      <c r="J1086" s="12">
        <v>1</v>
      </c>
      <c r="K1086" t="s">
        <v>62</v>
      </c>
      <c r="L1086" t="s">
        <v>11</v>
      </c>
      <c r="M1086" t="s">
        <v>199</v>
      </c>
      <c r="O1086" t="s">
        <v>205</v>
      </c>
      <c r="P1086">
        <v>4</v>
      </c>
      <c r="Q1086" t="s">
        <v>198</v>
      </c>
      <c r="R1086" s="6">
        <v>0.96489108450472072</v>
      </c>
      <c r="S1086" s="6">
        <v>22.483567095340984</v>
      </c>
      <c r="T1086" s="6">
        <v>8.2614361623013135</v>
      </c>
      <c r="U1086" s="6">
        <v>80.210572747612346</v>
      </c>
      <c r="V1086" s="6">
        <v>0.17752912917036623</v>
      </c>
      <c r="W1086" s="6">
        <v>5.5062506512967211</v>
      </c>
      <c r="X1086" s="6">
        <v>3.6141408536893471</v>
      </c>
      <c r="Y1086" s="6">
        <v>34.028671380556418</v>
      </c>
    </row>
    <row r="1087" spans="1:25" x14ac:dyDescent="0.25">
      <c r="A1087" t="str">
        <f t="shared" si="16"/>
        <v>RTD Ice TeaFranceDecemberEUR (€)Fully-AutomatedOldPET Bottle1Small-scaleLow</v>
      </c>
      <c r="B1087" t="s">
        <v>130</v>
      </c>
      <c r="C1087" t="s">
        <v>130</v>
      </c>
      <c r="D1087" t="s">
        <v>15</v>
      </c>
      <c r="E1087" s="12" t="s">
        <v>182</v>
      </c>
      <c r="F1087" t="s">
        <v>187</v>
      </c>
      <c r="G1087" t="s">
        <v>12</v>
      </c>
      <c r="H1087" t="s">
        <v>72</v>
      </c>
      <c r="I1087" t="s">
        <v>175</v>
      </c>
      <c r="J1087" s="12">
        <v>1</v>
      </c>
      <c r="K1087" t="s">
        <v>60</v>
      </c>
      <c r="L1087" t="s">
        <v>13</v>
      </c>
      <c r="M1087" t="s">
        <v>199</v>
      </c>
      <c r="O1087" t="s">
        <v>205</v>
      </c>
      <c r="P1087">
        <v>4</v>
      </c>
      <c r="Q1087" t="s">
        <v>198</v>
      </c>
      <c r="R1087" s="6">
        <v>0.89607713585828042</v>
      </c>
      <c r="S1087" s="6">
        <v>20.873276028235175</v>
      </c>
      <c r="T1087" s="6">
        <v>7.6749667152071641</v>
      </c>
      <c r="U1087" s="6">
        <v>74.508069999735369</v>
      </c>
      <c r="V1087" s="6">
        <v>0.16693844732385202</v>
      </c>
      <c r="W1087" s="6">
        <v>5.1860009026979883</v>
      </c>
      <c r="X1087" s="6">
        <v>3.4033094856893777</v>
      </c>
      <c r="Y1087" s="6">
        <v>32.044074824768927</v>
      </c>
    </row>
    <row r="1088" spans="1:25" x14ac:dyDescent="0.25">
      <c r="A1088" t="str">
        <f t="shared" si="16"/>
        <v>RTD Ice TeaFranceDecemberEUR (€)Fully-AutomatedOldPET Bottle1Small-scaleMedium</v>
      </c>
      <c r="B1088" t="s">
        <v>130</v>
      </c>
      <c r="C1088" t="s">
        <v>130</v>
      </c>
      <c r="D1088" t="s">
        <v>15</v>
      </c>
      <c r="E1088" s="12" t="s">
        <v>182</v>
      </c>
      <c r="F1088" t="s">
        <v>187</v>
      </c>
      <c r="G1088" t="s">
        <v>12</v>
      </c>
      <c r="H1088" t="s">
        <v>72</v>
      </c>
      <c r="I1088" t="s">
        <v>175</v>
      </c>
      <c r="J1088" s="12">
        <v>1</v>
      </c>
      <c r="K1088" t="s">
        <v>60</v>
      </c>
      <c r="L1088" t="s">
        <v>63</v>
      </c>
      <c r="M1088" t="s">
        <v>199</v>
      </c>
      <c r="O1088" t="s">
        <v>205</v>
      </c>
      <c r="P1088">
        <v>4</v>
      </c>
      <c r="Q1088" t="s">
        <v>198</v>
      </c>
      <c r="R1088" s="6">
        <v>0.93020688324884127</v>
      </c>
      <c r="S1088" s="6">
        <v>21.669151328254358</v>
      </c>
      <c r="T1088" s="6">
        <v>7.9669493639129847</v>
      </c>
      <c r="U1088" s="6">
        <v>77.343678420226126</v>
      </c>
      <c r="V1088" s="6">
        <v>0.17290121200336303</v>
      </c>
      <c r="W1088" s="6">
        <v>5.3687764149988482</v>
      </c>
      <c r="X1088" s="6">
        <v>3.5239748275367679</v>
      </c>
      <c r="Y1088" s="6">
        <v>33.179523302738346</v>
      </c>
    </row>
    <row r="1089" spans="1:25" x14ac:dyDescent="0.25">
      <c r="A1089" t="str">
        <f t="shared" si="16"/>
        <v>RTD Ice TeaFranceDecemberEUR (€)Fully-AutomatedOldPET Bottle1Small-scaleHigh</v>
      </c>
      <c r="B1089" t="s">
        <v>130</v>
      </c>
      <c r="C1089" t="s">
        <v>130</v>
      </c>
      <c r="D1089" t="s">
        <v>15</v>
      </c>
      <c r="E1089" s="12" t="s">
        <v>182</v>
      </c>
      <c r="F1089" t="s">
        <v>187</v>
      </c>
      <c r="G1089" t="s">
        <v>12</v>
      </c>
      <c r="H1089" t="s">
        <v>72</v>
      </c>
      <c r="I1089" t="s">
        <v>175</v>
      </c>
      <c r="J1089" s="12">
        <v>1</v>
      </c>
      <c r="K1089" t="s">
        <v>60</v>
      </c>
      <c r="L1089" t="s">
        <v>11</v>
      </c>
      <c r="M1089" t="s">
        <v>199</v>
      </c>
      <c r="O1089" t="s">
        <v>205</v>
      </c>
      <c r="P1089">
        <v>4</v>
      </c>
      <c r="Q1089" t="s">
        <v>198</v>
      </c>
      <c r="R1089" s="6">
        <v>0.96706701043064658</v>
      </c>
      <c r="S1089" s="6">
        <v>22.52869665227508</v>
      </c>
      <c r="T1089" s="6">
        <v>8.2822906245152694</v>
      </c>
      <c r="U1089" s="6">
        <v>80.40613551435618</v>
      </c>
      <c r="V1089" s="6">
        <v>0.1793409978572349</v>
      </c>
      <c r="W1089" s="6">
        <v>5.5661739682837759</v>
      </c>
      <c r="X1089" s="6">
        <v>3.6542933967319491</v>
      </c>
      <c r="Y1089" s="6">
        <v>34.405807658945321</v>
      </c>
    </row>
    <row r="1090" spans="1:25" x14ac:dyDescent="0.25">
      <c r="A1090" t="str">
        <f t="shared" ref="A1090:A1153" si="17">C1090&amp;D1090&amp;E1090&amp;F1090&amp;G1090&amp;H1090&amp;I1090&amp;J1090&amp;K1090&amp;L1090</f>
        <v>RTD Ice TeaFranceDecemberEUR (€)Fully-AutomatedOldPET Bottle1High-scaleLow</v>
      </c>
      <c r="B1090" t="s">
        <v>130</v>
      </c>
      <c r="C1090" t="s">
        <v>130</v>
      </c>
      <c r="D1090" t="s">
        <v>15</v>
      </c>
      <c r="E1090" s="12" t="s">
        <v>182</v>
      </c>
      <c r="F1090" t="s">
        <v>187</v>
      </c>
      <c r="G1090" t="s">
        <v>12</v>
      </c>
      <c r="H1090" t="s">
        <v>72</v>
      </c>
      <c r="I1090" t="s">
        <v>175</v>
      </c>
      <c r="J1090" s="12">
        <v>1</v>
      </c>
      <c r="K1090" t="s">
        <v>107</v>
      </c>
      <c r="L1090" t="s">
        <v>13</v>
      </c>
      <c r="M1090" t="s">
        <v>200</v>
      </c>
      <c r="O1090" t="s">
        <v>205</v>
      </c>
      <c r="P1090">
        <v>4</v>
      </c>
      <c r="Q1090" t="s">
        <v>198</v>
      </c>
      <c r="R1090" s="6">
        <v>0.892595654376799</v>
      </c>
      <c r="S1090" s="6">
        <v>20.801068737140625</v>
      </c>
      <c r="T1090" s="6">
        <v>7.6415995756648325</v>
      </c>
      <c r="U1090" s="6">
        <v>74.195169572945233</v>
      </c>
      <c r="V1090" s="6">
        <v>0.14757766092312827</v>
      </c>
      <c r="W1090" s="6">
        <v>6.0624741167131155</v>
      </c>
      <c r="X1090" s="6">
        <v>3.2959696451274887</v>
      </c>
      <c r="Y1090" s="6">
        <v>31.700272929865541</v>
      </c>
    </row>
    <row r="1091" spans="1:25" x14ac:dyDescent="0.25">
      <c r="A1091" t="str">
        <f t="shared" si="17"/>
        <v>RTD Ice TeaFranceDecemberEUR (€)Fully-AutomatedOldPET Bottle1High-scaleMedium</v>
      </c>
      <c r="B1091" t="s">
        <v>130</v>
      </c>
      <c r="C1091" t="s">
        <v>130</v>
      </c>
      <c r="D1091" t="s">
        <v>15</v>
      </c>
      <c r="E1091" s="12" t="s">
        <v>182</v>
      </c>
      <c r="F1091" t="s">
        <v>187</v>
      </c>
      <c r="G1091" t="s">
        <v>12</v>
      </c>
      <c r="H1091" t="s">
        <v>72</v>
      </c>
      <c r="I1091" t="s">
        <v>175</v>
      </c>
      <c r="J1091" s="12">
        <v>1</v>
      </c>
      <c r="K1091" t="s">
        <v>107</v>
      </c>
      <c r="L1091" t="s">
        <v>63</v>
      </c>
      <c r="M1091" t="s">
        <v>200</v>
      </c>
      <c r="O1091" t="s">
        <v>205</v>
      </c>
      <c r="P1091">
        <v>4</v>
      </c>
      <c r="Q1091" t="s">
        <v>198</v>
      </c>
      <c r="R1091" s="6">
        <v>0.92672540176735962</v>
      </c>
      <c r="S1091" s="6">
        <v>21.596944037159815</v>
      </c>
      <c r="T1091" s="6">
        <v>7.9335822243706549</v>
      </c>
      <c r="U1091" s="6">
        <v>77.030777993436004</v>
      </c>
      <c r="V1091" s="6">
        <v>0.15300877530983756</v>
      </c>
      <c r="W1091" s="6">
        <v>6.2833867004186663</v>
      </c>
      <c r="X1091" s="6">
        <v>3.4167148269452325</v>
      </c>
      <c r="Y1091" s="6">
        <v>32.860835044562762</v>
      </c>
    </row>
    <row r="1092" spans="1:25" x14ac:dyDescent="0.25">
      <c r="A1092" t="str">
        <f t="shared" si="17"/>
        <v>RTD Ice TeaFranceDecemberEUR (€)Fully-AutomatedOldPET Bottle1High-scaleHigh</v>
      </c>
      <c r="B1092" t="s">
        <v>130</v>
      </c>
      <c r="C1092" t="s">
        <v>130</v>
      </c>
      <c r="D1092" t="s">
        <v>15</v>
      </c>
      <c r="E1092" s="12" t="s">
        <v>182</v>
      </c>
      <c r="F1092" t="s">
        <v>187</v>
      </c>
      <c r="G1092" t="s">
        <v>12</v>
      </c>
      <c r="H1092" t="s">
        <v>72</v>
      </c>
      <c r="I1092" t="s">
        <v>175</v>
      </c>
      <c r="J1092" s="12">
        <v>1</v>
      </c>
      <c r="K1092" t="s">
        <v>107</v>
      </c>
      <c r="L1092" t="s">
        <v>11</v>
      </c>
      <c r="M1092" t="s">
        <v>200</v>
      </c>
      <c r="O1092" t="s">
        <v>205</v>
      </c>
      <c r="P1092">
        <v>4</v>
      </c>
      <c r="Q1092" t="s">
        <v>198</v>
      </c>
      <c r="R1092" s="6">
        <v>0.96358552894916505</v>
      </c>
      <c r="S1092" s="6">
        <v>22.45648936118053</v>
      </c>
      <c r="T1092" s="6">
        <v>8.2489234849729414</v>
      </c>
      <c r="U1092" s="6">
        <v>80.093235087566029</v>
      </c>
      <c r="V1092" s="6">
        <v>0.15887437884748357</v>
      </c>
      <c r="W1092" s="6">
        <v>6.5219722908206608</v>
      </c>
      <c r="X1092" s="6">
        <v>3.5471196233083964</v>
      </c>
      <c r="Y1092" s="6">
        <v>34.11424212843577</v>
      </c>
    </row>
    <row r="1093" spans="1:25" x14ac:dyDescent="0.25">
      <c r="A1093" t="str">
        <f t="shared" si="17"/>
        <v>RTD Ice TeaFranceDecemberEUR (€)Fully-AutomatedOldPET Bottle1Medium-scaleLow</v>
      </c>
      <c r="B1093" t="s">
        <v>130</v>
      </c>
      <c r="C1093" t="s">
        <v>130</v>
      </c>
      <c r="D1093" t="s">
        <v>15</v>
      </c>
      <c r="E1093" s="12" t="s">
        <v>182</v>
      </c>
      <c r="F1093" t="s">
        <v>187</v>
      </c>
      <c r="G1093" t="s">
        <v>12</v>
      </c>
      <c r="H1093" t="s">
        <v>72</v>
      </c>
      <c r="I1093" t="s">
        <v>175</v>
      </c>
      <c r="J1093" s="12">
        <v>1</v>
      </c>
      <c r="K1093" t="s">
        <v>62</v>
      </c>
      <c r="L1093" t="s">
        <v>13</v>
      </c>
      <c r="M1093" t="s">
        <v>200</v>
      </c>
      <c r="O1093" t="s">
        <v>205</v>
      </c>
      <c r="P1093">
        <v>4</v>
      </c>
      <c r="Q1093" t="s">
        <v>198</v>
      </c>
      <c r="R1093" s="6">
        <v>0.89390120993235456</v>
      </c>
      <c r="S1093" s="6">
        <v>20.828146471301082</v>
      </c>
      <c r="T1093" s="6">
        <v>7.6541122529932064</v>
      </c>
      <c r="U1093" s="6">
        <v>74.312507232991535</v>
      </c>
      <c r="V1093" s="6">
        <v>0.14856377203423937</v>
      </c>
      <c r="W1093" s="6">
        <v>6.1056044919583083</v>
      </c>
      <c r="X1093" s="6">
        <v>3.3200611709530503</v>
      </c>
      <c r="Y1093" s="6">
        <v>31.931153690617649</v>
      </c>
    </row>
    <row r="1094" spans="1:25" x14ac:dyDescent="0.25">
      <c r="A1094" t="str">
        <f t="shared" si="17"/>
        <v>RTD Ice TeaFranceDecemberEUR (€)Fully-AutomatedOldPET Bottle1Medium-scaleMedium</v>
      </c>
      <c r="B1094" t="s">
        <v>130</v>
      </c>
      <c r="C1094" t="s">
        <v>130</v>
      </c>
      <c r="D1094" t="s">
        <v>15</v>
      </c>
      <c r="E1094" s="12" t="s">
        <v>182</v>
      </c>
      <c r="F1094" t="s">
        <v>187</v>
      </c>
      <c r="G1094" t="s">
        <v>12</v>
      </c>
      <c r="H1094" t="s">
        <v>72</v>
      </c>
      <c r="I1094" t="s">
        <v>175</v>
      </c>
      <c r="J1094" s="12">
        <v>1</v>
      </c>
      <c r="K1094" t="s">
        <v>62</v>
      </c>
      <c r="L1094" t="s">
        <v>63</v>
      </c>
      <c r="M1094" t="s">
        <v>200</v>
      </c>
      <c r="O1094" t="s">
        <v>205</v>
      </c>
      <c r="P1094">
        <v>4</v>
      </c>
      <c r="Q1094" t="s">
        <v>198</v>
      </c>
      <c r="R1094" s="6">
        <v>0.9280309573229153</v>
      </c>
      <c r="S1094" s="6">
        <v>21.624021771320269</v>
      </c>
      <c r="T1094" s="6">
        <v>7.9460949016990279</v>
      </c>
      <c r="U1094" s="6">
        <v>77.148115653482321</v>
      </c>
      <c r="V1094" s="6">
        <v>0.15399488642094866</v>
      </c>
      <c r="W1094" s="6">
        <v>6.3265170756638591</v>
      </c>
      <c r="X1094" s="6">
        <v>3.4408063527707942</v>
      </c>
      <c r="Y1094" s="6">
        <v>33.09171580531487</v>
      </c>
    </row>
    <row r="1095" spans="1:25" x14ac:dyDescent="0.25">
      <c r="A1095" t="str">
        <f t="shared" si="17"/>
        <v>RTD Ice TeaFranceDecemberEUR (€)Fully-AutomatedOldPET Bottle1Medium-scaleHigh</v>
      </c>
      <c r="B1095" t="s">
        <v>130</v>
      </c>
      <c r="C1095" t="s">
        <v>130</v>
      </c>
      <c r="D1095" t="s">
        <v>15</v>
      </c>
      <c r="E1095" s="12" t="s">
        <v>182</v>
      </c>
      <c r="F1095" t="s">
        <v>187</v>
      </c>
      <c r="G1095" t="s">
        <v>12</v>
      </c>
      <c r="H1095" t="s">
        <v>72</v>
      </c>
      <c r="I1095" t="s">
        <v>175</v>
      </c>
      <c r="J1095" s="12">
        <v>1</v>
      </c>
      <c r="K1095" t="s">
        <v>62</v>
      </c>
      <c r="L1095" t="s">
        <v>11</v>
      </c>
      <c r="M1095" t="s">
        <v>200</v>
      </c>
      <c r="O1095" t="s">
        <v>205</v>
      </c>
      <c r="P1095">
        <v>4</v>
      </c>
      <c r="Q1095" t="s">
        <v>198</v>
      </c>
      <c r="R1095" s="6">
        <v>0.96489108450472072</v>
      </c>
      <c r="S1095" s="6">
        <v>22.483567095340984</v>
      </c>
      <c r="T1095" s="6">
        <v>8.2614361623013135</v>
      </c>
      <c r="U1095" s="6">
        <v>80.210572747612346</v>
      </c>
      <c r="V1095" s="6">
        <v>0.15986048995859467</v>
      </c>
      <c r="W1095" s="6">
        <v>6.5651026660658545</v>
      </c>
      <c r="X1095" s="6">
        <v>3.5712111491339575</v>
      </c>
      <c r="Y1095" s="6">
        <v>34.34512288918787</v>
      </c>
    </row>
    <row r="1096" spans="1:25" x14ac:dyDescent="0.25">
      <c r="A1096" t="str">
        <f t="shared" si="17"/>
        <v>RTD Ice TeaFranceDecemberEUR (€)Fully-AutomatedOldPET Bottle1Small-scaleLow</v>
      </c>
      <c r="B1096" t="s">
        <v>130</v>
      </c>
      <c r="C1096" t="s">
        <v>130</v>
      </c>
      <c r="D1096" t="s">
        <v>15</v>
      </c>
      <c r="E1096" s="12" t="s">
        <v>182</v>
      </c>
      <c r="F1096" t="s">
        <v>187</v>
      </c>
      <c r="G1096" t="s">
        <v>12</v>
      </c>
      <c r="H1096" t="s">
        <v>72</v>
      </c>
      <c r="I1096" t="s">
        <v>175</v>
      </c>
      <c r="J1096" s="12">
        <v>1</v>
      </c>
      <c r="K1096" t="s">
        <v>60</v>
      </c>
      <c r="L1096" t="s">
        <v>13</v>
      </c>
      <c r="M1096" t="s">
        <v>200</v>
      </c>
      <c r="O1096" t="s">
        <v>205</v>
      </c>
      <c r="P1096">
        <v>4</v>
      </c>
      <c r="Q1096" t="s">
        <v>198</v>
      </c>
      <c r="R1096" s="6">
        <v>0.89607713585828042</v>
      </c>
      <c r="S1096" s="6">
        <v>20.873276028235175</v>
      </c>
      <c r="T1096" s="6">
        <v>7.6749667152071641</v>
      </c>
      <c r="U1096" s="6">
        <v>74.508069999735369</v>
      </c>
      <c r="V1096" s="6">
        <v>0.15020729055275792</v>
      </c>
      <c r="W1096" s="6">
        <v>6.1774884507002987</v>
      </c>
      <c r="X1096" s="6">
        <v>3.3602137139956527</v>
      </c>
      <c r="Y1096" s="6">
        <v>32.31595495853783</v>
      </c>
    </row>
    <row r="1097" spans="1:25" x14ac:dyDescent="0.25">
      <c r="A1097" t="str">
        <f t="shared" si="17"/>
        <v>RTD Ice TeaFranceDecemberEUR (€)Fully-AutomatedOldPET Bottle1Small-scaleMedium</v>
      </c>
      <c r="B1097" t="s">
        <v>130</v>
      </c>
      <c r="C1097" t="s">
        <v>130</v>
      </c>
      <c r="D1097" t="s">
        <v>15</v>
      </c>
      <c r="E1097" s="12" t="s">
        <v>182</v>
      </c>
      <c r="F1097" t="s">
        <v>187</v>
      </c>
      <c r="G1097" t="s">
        <v>12</v>
      </c>
      <c r="H1097" t="s">
        <v>72</v>
      </c>
      <c r="I1097" t="s">
        <v>175</v>
      </c>
      <c r="J1097" s="12">
        <v>1</v>
      </c>
      <c r="K1097" t="s">
        <v>60</v>
      </c>
      <c r="L1097" t="s">
        <v>63</v>
      </c>
      <c r="M1097" t="s">
        <v>200</v>
      </c>
      <c r="O1097" t="s">
        <v>205</v>
      </c>
      <c r="P1097">
        <v>4</v>
      </c>
      <c r="Q1097" t="s">
        <v>198</v>
      </c>
      <c r="R1097" s="6">
        <v>0.93020688324884127</v>
      </c>
      <c r="S1097" s="6">
        <v>21.669151328254358</v>
      </c>
      <c r="T1097" s="6">
        <v>7.9669493639129847</v>
      </c>
      <c r="U1097" s="6">
        <v>77.343678420226126</v>
      </c>
      <c r="V1097" s="6">
        <v>0.15563840493946721</v>
      </c>
      <c r="W1097" s="6">
        <v>6.3984010344058513</v>
      </c>
      <c r="X1097" s="6">
        <v>3.4809588958133961</v>
      </c>
      <c r="Y1097" s="6">
        <v>33.476517073235051</v>
      </c>
    </row>
    <row r="1098" spans="1:25" x14ac:dyDescent="0.25">
      <c r="A1098" t="str">
        <f t="shared" si="17"/>
        <v>RTD Ice TeaFranceDecemberEUR (€)Fully-AutomatedOldPET Bottle1Small-scaleHigh</v>
      </c>
      <c r="B1098" t="s">
        <v>130</v>
      </c>
      <c r="C1098" t="s">
        <v>130</v>
      </c>
      <c r="D1098" t="s">
        <v>15</v>
      </c>
      <c r="E1098" s="12" t="s">
        <v>182</v>
      </c>
      <c r="F1098" t="s">
        <v>187</v>
      </c>
      <c r="G1098" t="s">
        <v>12</v>
      </c>
      <c r="H1098" t="s">
        <v>72</v>
      </c>
      <c r="I1098" t="s">
        <v>175</v>
      </c>
      <c r="J1098" s="12">
        <v>1</v>
      </c>
      <c r="K1098" t="s">
        <v>60</v>
      </c>
      <c r="L1098" t="s">
        <v>11</v>
      </c>
      <c r="M1098" t="s">
        <v>200</v>
      </c>
      <c r="O1098" t="s">
        <v>205</v>
      </c>
      <c r="P1098">
        <v>4</v>
      </c>
      <c r="Q1098" t="s">
        <v>198</v>
      </c>
      <c r="R1098" s="6">
        <v>0.96706701043064658</v>
      </c>
      <c r="S1098" s="6">
        <v>22.52869665227508</v>
      </c>
      <c r="T1098" s="6">
        <v>8.2822906245152694</v>
      </c>
      <c r="U1098" s="6">
        <v>80.40613551435618</v>
      </c>
      <c r="V1098" s="6">
        <v>0.16150400847711319</v>
      </c>
      <c r="W1098" s="6">
        <v>6.6369866248078457</v>
      </c>
      <c r="X1098" s="6">
        <v>3.6113636921765595</v>
      </c>
      <c r="Y1098" s="6">
        <v>34.729924157108051</v>
      </c>
    </row>
    <row r="1099" spans="1:25" x14ac:dyDescent="0.25">
      <c r="A1099" t="str">
        <f t="shared" si="17"/>
        <v>RTD Ice TeaFranceDecemberEUR (€)Fully-AutomatedOldPET Bottle1High-scaleLow</v>
      </c>
      <c r="B1099" t="s">
        <v>130</v>
      </c>
      <c r="C1099" t="s">
        <v>130</v>
      </c>
      <c r="D1099" t="s">
        <v>15</v>
      </c>
      <c r="E1099" s="12" t="s">
        <v>182</v>
      </c>
      <c r="F1099" t="s">
        <v>187</v>
      </c>
      <c r="G1099" t="s">
        <v>12</v>
      </c>
      <c r="H1099" t="s">
        <v>72</v>
      </c>
      <c r="I1099" t="s">
        <v>175</v>
      </c>
      <c r="J1099" s="12">
        <v>1</v>
      </c>
      <c r="K1099" t="s">
        <v>107</v>
      </c>
      <c r="L1099" t="s">
        <v>13</v>
      </c>
      <c r="M1099" t="s">
        <v>199</v>
      </c>
      <c r="O1099" t="s">
        <v>205</v>
      </c>
      <c r="P1099">
        <v>6</v>
      </c>
      <c r="Q1099" t="s">
        <v>201</v>
      </c>
      <c r="R1099" s="6">
        <v>0.892595654376799</v>
      </c>
      <c r="S1099" s="6">
        <v>20.801068737140625</v>
      </c>
      <c r="T1099" s="6">
        <v>7.6415995756648325</v>
      </c>
      <c r="U1099" s="6">
        <v>74.195169572945233</v>
      </c>
      <c r="V1099" s="6">
        <v>0.15193046975782482</v>
      </c>
      <c r="W1099" s="6">
        <v>4.7669900415787083</v>
      </c>
      <c r="X1099" s="6">
        <v>3.1691790937560302</v>
      </c>
      <c r="Y1099" s="6">
        <v>29.796858887533148</v>
      </c>
    </row>
    <row r="1100" spans="1:25" x14ac:dyDescent="0.25">
      <c r="A1100" t="str">
        <f t="shared" si="17"/>
        <v>RTD Ice TeaFranceDecemberEUR (€)Fully-AutomatedOldPET Bottle1High-scaleMedium</v>
      </c>
      <c r="B1100" t="s">
        <v>130</v>
      </c>
      <c r="C1100" t="s">
        <v>130</v>
      </c>
      <c r="D1100" t="s">
        <v>15</v>
      </c>
      <c r="E1100" s="12" t="s">
        <v>182</v>
      </c>
      <c r="F1100" t="s">
        <v>187</v>
      </c>
      <c r="G1100" t="s">
        <v>12</v>
      </c>
      <c r="H1100" t="s">
        <v>72</v>
      </c>
      <c r="I1100" t="s">
        <v>175</v>
      </c>
      <c r="J1100" s="12">
        <v>1</v>
      </c>
      <c r="K1100" t="s">
        <v>107</v>
      </c>
      <c r="L1100" t="s">
        <v>63</v>
      </c>
      <c r="M1100" t="s">
        <v>199</v>
      </c>
      <c r="O1100" t="s">
        <v>205</v>
      </c>
      <c r="P1100">
        <v>6</v>
      </c>
      <c r="Q1100" t="s">
        <v>201</v>
      </c>
      <c r="R1100" s="6">
        <v>0.92672540176735962</v>
      </c>
      <c r="S1100" s="6">
        <v>21.596944037159815</v>
      </c>
      <c r="T1100" s="6">
        <v>7.9335822243706549</v>
      </c>
      <c r="U1100" s="6">
        <v>77.030777993436004</v>
      </c>
      <c r="V1100" s="6">
        <v>0.1574275041424498</v>
      </c>
      <c r="W1100" s="6">
        <v>4.9373373402664908</v>
      </c>
      <c r="X1100" s="6">
        <v>3.2833103462547593</v>
      </c>
      <c r="Y1100" s="6">
        <v>30.869084369663589</v>
      </c>
    </row>
    <row r="1101" spans="1:25" x14ac:dyDescent="0.25">
      <c r="A1101" t="str">
        <f t="shared" si="17"/>
        <v>RTD Ice TeaFranceDecemberEUR (€)Fully-AutomatedOldPET Bottle1High-scaleHigh</v>
      </c>
      <c r="B1101" t="s">
        <v>130</v>
      </c>
      <c r="C1101" t="s">
        <v>130</v>
      </c>
      <c r="D1101" t="s">
        <v>15</v>
      </c>
      <c r="E1101" s="12" t="s">
        <v>182</v>
      </c>
      <c r="F1101" t="s">
        <v>187</v>
      </c>
      <c r="G1101" t="s">
        <v>12</v>
      </c>
      <c r="H1101" t="s">
        <v>72</v>
      </c>
      <c r="I1101" t="s">
        <v>175</v>
      </c>
      <c r="J1101" s="12">
        <v>1</v>
      </c>
      <c r="K1101" t="s">
        <v>107</v>
      </c>
      <c r="L1101" t="s">
        <v>11</v>
      </c>
      <c r="M1101" t="s">
        <v>199</v>
      </c>
      <c r="O1101" t="s">
        <v>205</v>
      </c>
      <c r="P1101">
        <v>6</v>
      </c>
      <c r="Q1101" t="s">
        <v>201</v>
      </c>
      <c r="R1101" s="6">
        <v>0.96358552894916505</v>
      </c>
      <c r="S1101" s="6">
        <v>22.45648936118053</v>
      </c>
      <c r="T1101" s="6">
        <v>8.2489234849729414</v>
      </c>
      <c r="U1101" s="6">
        <v>80.093235087566029</v>
      </c>
      <c r="V1101" s="6">
        <v>0.16336430127784471</v>
      </c>
      <c r="W1101" s="6">
        <v>5.1213124228492957</v>
      </c>
      <c r="X1101" s="6">
        <v>3.4065720989533865</v>
      </c>
      <c r="Y1101" s="6">
        <v>32.027087890364456</v>
      </c>
    </row>
    <row r="1102" spans="1:25" x14ac:dyDescent="0.25">
      <c r="A1102" t="str">
        <f t="shared" si="17"/>
        <v>RTD Ice TeaFranceDecemberEUR (€)Fully-AutomatedOldPET Bottle1Medium-scaleLow</v>
      </c>
      <c r="B1102" t="s">
        <v>130</v>
      </c>
      <c r="C1102" t="s">
        <v>130</v>
      </c>
      <c r="D1102" t="s">
        <v>15</v>
      </c>
      <c r="E1102" s="12" t="s">
        <v>182</v>
      </c>
      <c r="F1102" t="s">
        <v>187</v>
      </c>
      <c r="G1102" t="s">
        <v>12</v>
      </c>
      <c r="H1102" t="s">
        <v>72</v>
      </c>
      <c r="I1102" t="s">
        <v>175</v>
      </c>
      <c r="J1102" s="12">
        <v>1</v>
      </c>
      <c r="K1102" t="s">
        <v>62</v>
      </c>
      <c r="L1102" t="s">
        <v>13</v>
      </c>
      <c r="M1102" t="s">
        <v>199</v>
      </c>
      <c r="O1102" t="s">
        <v>205</v>
      </c>
      <c r="P1102">
        <v>6</v>
      </c>
      <c r="Q1102" t="s">
        <v>201</v>
      </c>
      <c r="R1102" s="6">
        <v>0.89390120993235456</v>
      </c>
      <c r="S1102" s="6">
        <v>20.828146471301082</v>
      </c>
      <c r="T1102" s="6">
        <v>7.6541122529932064</v>
      </c>
      <c r="U1102" s="6">
        <v>74.312507232991535</v>
      </c>
      <c r="V1102" s="6">
        <v>0.15301759096994602</v>
      </c>
      <c r="W1102" s="6">
        <v>4.8029440317709406</v>
      </c>
      <c r="X1102" s="6">
        <v>3.1932706195815914</v>
      </c>
      <c r="Y1102" s="6">
        <v>30.02314065456649</v>
      </c>
    </row>
    <row r="1103" spans="1:25" x14ac:dyDescent="0.25">
      <c r="A1103" t="str">
        <f t="shared" si="17"/>
        <v>RTD Ice TeaFranceDecemberEUR (€)Fully-AutomatedOldPET Bottle1Medium-scaleMedium</v>
      </c>
      <c r="B1103" t="s">
        <v>130</v>
      </c>
      <c r="C1103" t="s">
        <v>130</v>
      </c>
      <c r="D1103" t="s">
        <v>15</v>
      </c>
      <c r="E1103" s="12" t="s">
        <v>182</v>
      </c>
      <c r="F1103" t="s">
        <v>187</v>
      </c>
      <c r="G1103" t="s">
        <v>12</v>
      </c>
      <c r="H1103" t="s">
        <v>72</v>
      </c>
      <c r="I1103" t="s">
        <v>175</v>
      </c>
      <c r="J1103" s="12">
        <v>1</v>
      </c>
      <c r="K1103" t="s">
        <v>62</v>
      </c>
      <c r="L1103" t="s">
        <v>63</v>
      </c>
      <c r="M1103" t="s">
        <v>199</v>
      </c>
      <c r="O1103" t="s">
        <v>205</v>
      </c>
      <c r="P1103">
        <v>6</v>
      </c>
      <c r="Q1103" t="s">
        <v>201</v>
      </c>
      <c r="R1103" s="6">
        <v>0.9280309573229153</v>
      </c>
      <c r="S1103" s="6">
        <v>21.624021771320269</v>
      </c>
      <c r="T1103" s="6">
        <v>7.9460949016990279</v>
      </c>
      <c r="U1103" s="6">
        <v>77.148115653482321</v>
      </c>
      <c r="V1103" s="6">
        <v>0.158514625354571</v>
      </c>
      <c r="W1103" s="6">
        <v>4.9732913304587223</v>
      </c>
      <c r="X1103" s="6">
        <v>3.3074018720803204</v>
      </c>
      <c r="Y1103" s="6">
        <v>31.095366136696928</v>
      </c>
    </row>
    <row r="1104" spans="1:25" x14ac:dyDescent="0.25">
      <c r="A1104" t="str">
        <f t="shared" si="17"/>
        <v>RTD Ice TeaFranceDecemberEUR (€)Fully-AutomatedOldPET Bottle1Medium-scaleHigh</v>
      </c>
      <c r="B1104" t="s">
        <v>130</v>
      </c>
      <c r="C1104" t="s">
        <v>130</v>
      </c>
      <c r="D1104" t="s">
        <v>15</v>
      </c>
      <c r="E1104" s="12" t="s">
        <v>182</v>
      </c>
      <c r="F1104" t="s">
        <v>187</v>
      </c>
      <c r="G1104" t="s">
        <v>12</v>
      </c>
      <c r="H1104" t="s">
        <v>72</v>
      </c>
      <c r="I1104" t="s">
        <v>175</v>
      </c>
      <c r="J1104" s="12">
        <v>1</v>
      </c>
      <c r="K1104" t="s">
        <v>62</v>
      </c>
      <c r="L1104" t="s">
        <v>11</v>
      </c>
      <c r="M1104" t="s">
        <v>199</v>
      </c>
      <c r="O1104" t="s">
        <v>205</v>
      </c>
      <c r="P1104">
        <v>6</v>
      </c>
      <c r="Q1104" t="s">
        <v>201</v>
      </c>
      <c r="R1104" s="6">
        <v>0.96489108450472072</v>
      </c>
      <c r="S1104" s="6">
        <v>22.483567095340984</v>
      </c>
      <c r="T1104" s="6">
        <v>8.2614361623013135</v>
      </c>
      <c r="U1104" s="6">
        <v>80.210572747612346</v>
      </c>
      <c r="V1104" s="6">
        <v>0.16445142248996594</v>
      </c>
      <c r="W1104" s="6">
        <v>5.1572664130415271</v>
      </c>
      <c r="X1104" s="6">
        <v>3.4306636247789482</v>
      </c>
      <c r="Y1104" s="6">
        <v>32.253369657397798</v>
      </c>
    </row>
    <row r="1105" spans="1:25" x14ac:dyDescent="0.25">
      <c r="A1105" t="str">
        <f t="shared" si="17"/>
        <v>RTD Ice TeaFranceDecemberEUR (€)Fully-AutomatedOldPET Bottle1Small-scaleLow</v>
      </c>
      <c r="B1105" t="s">
        <v>130</v>
      </c>
      <c r="C1105" t="s">
        <v>130</v>
      </c>
      <c r="D1105" t="s">
        <v>15</v>
      </c>
      <c r="E1105" s="12" t="s">
        <v>182</v>
      </c>
      <c r="F1105" t="s">
        <v>187</v>
      </c>
      <c r="G1105" t="s">
        <v>12</v>
      </c>
      <c r="H1105" t="s">
        <v>72</v>
      </c>
      <c r="I1105" t="s">
        <v>175</v>
      </c>
      <c r="J1105" s="12">
        <v>1</v>
      </c>
      <c r="K1105" t="s">
        <v>60</v>
      </c>
      <c r="L1105" t="s">
        <v>13</v>
      </c>
      <c r="M1105" t="s">
        <v>199</v>
      </c>
      <c r="O1105" t="s">
        <v>205</v>
      </c>
      <c r="P1105">
        <v>6</v>
      </c>
      <c r="Q1105" t="s">
        <v>201</v>
      </c>
      <c r="R1105" s="6">
        <v>0.89607713585828042</v>
      </c>
      <c r="S1105" s="6">
        <v>20.873276028235175</v>
      </c>
      <c r="T1105" s="6">
        <v>7.6749667152071641</v>
      </c>
      <c r="U1105" s="6">
        <v>74.508069999735369</v>
      </c>
      <c r="V1105" s="6">
        <v>0.15482945965681472</v>
      </c>
      <c r="W1105" s="6">
        <v>4.8628673487579936</v>
      </c>
      <c r="X1105" s="6">
        <v>3.2334231626241934</v>
      </c>
      <c r="Y1105" s="6">
        <v>30.400276932955386</v>
      </c>
    </row>
    <row r="1106" spans="1:25" x14ac:dyDescent="0.25">
      <c r="A1106" t="str">
        <f t="shared" si="17"/>
        <v>RTD Ice TeaFranceDecemberEUR (€)Fully-AutomatedOldPET Bottle1Small-scaleMedium</v>
      </c>
      <c r="B1106" t="s">
        <v>130</v>
      </c>
      <c r="C1106" t="s">
        <v>130</v>
      </c>
      <c r="D1106" t="s">
        <v>15</v>
      </c>
      <c r="E1106" s="12" t="s">
        <v>182</v>
      </c>
      <c r="F1106" t="s">
        <v>187</v>
      </c>
      <c r="G1106" t="s">
        <v>12</v>
      </c>
      <c r="H1106" t="s">
        <v>72</v>
      </c>
      <c r="I1106" t="s">
        <v>175</v>
      </c>
      <c r="J1106" s="12">
        <v>1</v>
      </c>
      <c r="K1106" t="s">
        <v>60</v>
      </c>
      <c r="L1106" t="s">
        <v>63</v>
      </c>
      <c r="M1106" t="s">
        <v>199</v>
      </c>
      <c r="O1106" t="s">
        <v>205</v>
      </c>
      <c r="P1106">
        <v>6</v>
      </c>
      <c r="Q1106" t="s">
        <v>201</v>
      </c>
      <c r="R1106" s="6">
        <v>0.93020688324884127</v>
      </c>
      <c r="S1106" s="6">
        <v>21.669151328254358</v>
      </c>
      <c r="T1106" s="6">
        <v>7.9669493639129847</v>
      </c>
      <c r="U1106" s="6">
        <v>77.343678420226126</v>
      </c>
      <c r="V1106" s="6">
        <v>0.1603264940414397</v>
      </c>
      <c r="W1106" s="6">
        <v>5.0332146474457762</v>
      </c>
      <c r="X1106" s="6">
        <v>3.3475544151229228</v>
      </c>
      <c r="Y1106" s="6">
        <v>31.472502415085824</v>
      </c>
    </row>
    <row r="1107" spans="1:25" x14ac:dyDescent="0.25">
      <c r="A1107" t="str">
        <f t="shared" si="17"/>
        <v>RTD Ice TeaFranceDecemberEUR (€)Fully-AutomatedOldPET Bottle1Small-scaleHigh</v>
      </c>
      <c r="B1107" t="s">
        <v>130</v>
      </c>
      <c r="C1107" t="s">
        <v>130</v>
      </c>
      <c r="D1107" t="s">
        <v>15</v>
      </c>
      <c r="E1107" s="12" t="s">
        <v>182</v>
      </c>
      <c r="F1107" t="s">
        <v>187</v>
      </c>
      <c r="G1107" t="s">
        <v>12</v>
      </c>
      <c r="H1107" t="s">
        <v>72</v>
      </c>
      <c r="I1107" t="s">
        <v>175</v>
      </c>
      <c r="J1107" s="12">
        <v>1</v>
      </c>
      <c r="K1107" t="s">
        <v>60</v>
      </c>
      <c r="L1107" t="s">
        <v>11</v>
      </c>
      <c r="M1107" t="s">
        <v>199</v>
      </c>
      <c r="O1107" t="s">
        <v>205</v>
      </c>
      <c r="P1107">
        <v>6</v>
      </c>
      <c r="Q1107" t="s">
        <v>201</v>
      </c>
      <c r="R1107" s="6">
        <v>0.96706701043064658</v>
      </c>
      <c r="S1107" s="6">
        <v>22.52869665227508</v>
      </c>
      <c r="T1107" s="6">
        <v>8.2822906245152694</v>
      </c>
      <c r="U1107" s="6">
        <v>80.40613551435618</v>
      </c>
      <c r="V1107" s="6">
        <v>0.16626329117683461</v>
      </c>
      <c r="W1107" s="6">
        <v>5.2171897300285819</v>
      </c>
      <c r="X1107" s="6">
        <v>3.4708161678215501</v>
      </c>
      <c r="Y1107" s="6">
        <v>32.630505935786694</v>
      </c>
    </row>
    <row r="1108" spans="1:25" x14ac:dyDescent="0.25">
      <c r="A1108" t="str">
        <f t="shared" si="17"/>
        <v>RTD Ice TeaFranceDecemberEUR (€)Fully-AutomatedOldPET Bottle1High-scaleLow</v>
      </c>
      <c r="B1108" t="s">
        <v>130</v>
      </c>
      <c r="C1108" t="s">
        <v>130</v>
      </c>
      <c r="D1108" t="s">
        <v>15</v>
      </c>
      <c r="E1108" s="12" t="s">
        <v>182</v>
      </c>
      <c r="F1108" t="s">
        <v>187</v>
      </c>
      <c r="G1108" t="s">
        <v>12</v>
      </c>
      <c r="H1108" t="s">
        <v>72</v>
      </c>
      <c r="I1108" t="s">
        <v>175</v>
      </c>
      <c r="J1108" s="12">
        <v>1</v>
      </c>
      <c r="K1108" t="s">
        <v>107</v>
      </c>
      <c r="L1108" t="s">
        <v>13</v>
      </c>
      <c r="M1108" t="s">
        <v>200</v>
      </c>
      <c r="O1108" t="s">
        <v>205</v>
      </c>
      <c r="P1108">
        <v>6</v>
      </c>
      <c r="Q1108" t="s">
        <v>201</v>
      </c>
      <c r="R1108" s="6">
        <v>0.892595654376799</v>
      </c>
      <c r="S1108" s="6">
        <v>20.801068737140625</v>
      </c>
      <c r="T1108" s="6">
        <v>7.6415995756648325</v>
      </c>
      <c r="U1108" s="6">
        <v>74.195169572945233</v>
      </c>
      <c r="V1108" s="6">
        <v>0.13546867325609097</v>
      </c>
      <c r="W1108" s="6">
        <v>5.7393405627731191</v>
      </c>
      <c r="X1108" s="6">
        <v>3.1260833220623043</v>
      </c>
      <c r="Y1108" s="6">
        <v>30.056475038051996</v>
      </c>
    </row>
    <row r="1109" spans="1:25" x14ac:dyDescent="0.25">
      <c r="A1109" t="str">
        <f t="shared" si="17"/>
        <v>RTD Ice TeaFranceDecemberEUR (€)Fully-AutomatedOldPET Bottle1High-scaleMedium</v>
      </c>
      <c r="B1109" t="s">
        <v>130</v>
      </c>
      <c r="C1109" t="s">
        <v>130</v>
      </c>
      <c r="D1109" t="s">
        <v>15</v>
      </c>
      <c r="E1109" s="12" t="s">
        <v>182</v>
      </c>
      <c r="F1109" t="s">
        <v>187</v>
      </c>
      <c r="G1109" t="s">
        <v>12</v>
      </c>
      <c r="H1109" t="s">
        <v>72</v>
      </c>
      <c r="I1109" t="s">
        <v>175</v>
      </c>
      <c r="J1109" s="12">
        <v>1</v>
      </c>
      <c r="K1109" t="s">
        <v>107</v>
      </c>
      <c r="L1109" t="s">
        <v>63</v>
      </c>
      <c r="M1109" t="s">
        <v>200</v>
      </c>
      <c r="O1109" t="s">
        <v>205</v>
      </c>
      <c r="P1109">
        <v>6</v>
      </c>
      <c r="Q1109" t="s">
        <v>201</v>
      </c>
      <c r="R1109" s="6">
        <v>0.92672540176735962</v>
      </c>
      <c r="S1109" s="6">
        <v>21.596944037159815</v>
      </c>
      <c r="T1109" s="6">
        <v>7.9335822243706549</v>
      </c>
      <c r="U1109" s="6">
        <v>77.030777993436004</v>
      </c>
      <c r="V1109" s="6">
        <v>0.14043405734791423</v>
      </c>
      <c r="W1109" s="6">
        <v>5.9478249328655943</v>
      </c>
      <c r="X1109" s="6">
        <v>3.2402944145313874</v>
      </c>
      <c r="Y1109" s="6">
        <v>31.153814156910233</v>
      </c>
    </row>
    <row r="1110" spans="1:25" x14ac:dyDescent="0.25">
      <c r="A1110" t="str">
        <f t="shared" si="17"/>
        <v>RTD Ice TeaFranceDecemberEUR (€)Fully-AutomatedOldPET Bottle1High-scaleHigh</v>
      </c>
      <c r="B1110" t="s">
        <v>130</v>
      </c>
      <c r="C1110" t="s">
        <v>130</v>
      </c>
      <c r="D1110" t="s">
        <v>15</v>
      </c>
      <c r="E1110" s="12" t="s">
        <v>182</v>
      </c>
      <c r="F1110" t="s">
        <v>187</v>
      </c>
      <c r="G1110" t="s">
        <v>12</v>
      </c>
      <c r="H1110" t="s">
        <v>72</v>
      </c>
      <c r="I1110" t="s">
        <v>175</v>
      </c>
      <c r="J1110" s="12">
        <v>1</v>
      </c>
      <c r="K1110" t="s">
        <v>107</v>
      </c>
      <c r="L1110" t="s">
        <v>11</v>
      </c>
      <c r="M1110" t="s">
        <v>200</v>
      </c>
      <c r="O1110" t="s">
        <v>205</v>
      </c>
      <c r="P1110">
        <v>6</v>
      </c>
      <c r="Q1110" t="s">
        <v>201</v>
      </c>
      <c r="R1110" s="6">
        <v>0.96358552894916505</v>
      </c>
      <c r="S1110" s="6">
        <v>22.45648936118053</v>
      </c>
      <c r="T1110" s="6">
        <v>8.2489234849729414</v>
      </c>
      <c r="U1110" s="6">
        <v>80.093235087566029</v>
      </c>
      <c r="V1110" s="6">
        <v>0.14579667216708328</v>
      </c>
      <c r="W1110" s="6">
        <v>6.1729880525654659</v>
      </c>
      <c r="X1110" s="6">
        <v>3.3636423943979974</v>
      </c>
      <c r="Y1110" s="6">
        <v>32.33894040527715</v>
      </c>
    </row>
    <row r="1111" spans="1:25" x14ac:dyDescent="0.25">
      <c r="A1111" t="str">
        <f t="shared" si="17"/>
        <v>RTD Ice TeaFranceDecemberEUR (€)Fully-AutomatedOldPET Bottle1Medium-scaleLow</v>
      </c>
      <c r="B1111" t="s">
        <v>130</v>
      </c>
      <c r="C1111" t="s">
        <v>130</v>
      </c>
      <c r="D1111" t="s">
        <v>15</v>
      </c>
      <c r="E1111" s="12" t="s">
        <v>182</v>
      </c>
      <c r="F1111" t="s">
        <v>187</v>
      </c>
      <c r="G1111" t="s">
        <v>12</v>
      </c>
      <c r="H1111" t="s">
        <v>72</v>
      </c>
      <c r="I1111" t="s">
        <v>175</v>
      </c>
      <c r="J1111" s="12">
        <v>1</v>
      </c>
      <c r="K1111" t="s">
        <v>62</v>
      </c>
      <c r="L1111" t="s">
        <v>13</v>
      </c>
      <c r="M1111" t="s">
        <v>200</v>
      </c>
      <c r="O1111" t="s">
        <v>205</v>
      </c>
      <c r="P1111">
        <v>6</v>
      </c>
      <c r="Q1111" t="s">
        <v>201</v>
      </c>
      <c r="R1111" s="6">
        <v>0.89390120993235456</v>
      </c>
      <c r="S1111" s="6">
        <v>20.828146471301082</v>
      </c>
      <c r="T1111" s="6">
        <v>7.6541122529932064</v>
      </c>
      <c r="U1111" s="6">
        <v>74.312507232991535</v>
      </c>
      <c r="V1111" s="6">
        <v>0.13645478436720207</v>
      </c>
      <c r="W1111" s="6">
        <v>5.7824709380183137</v>
      </c>
      <c r="X1111" s="6">
        <v>3.1501748478878659</v>
      </c>
      <c r="Y1111" s="6">
        <v>30.287355798804107</v>
      </c>
    </row>
    <row r="1112" spans="1:25" x14ac:dyDescent="0.25">
      <c r="A1112" t="str">
        <f t="shared" si="17"/>
        <v>RTD Ice TeaFranceDecemberEUR (€)Fully-AutomatedOldPET Bottle1Medium-scaleMedium</v>
      </c>
      <c r="B1112" t="s">
        <v>130</v>
      </c>
      <c r="C1112" t="s">
        <v>130</v>
      </c>
      <c r="D1112" t="s">
        <v>15</v>
      </c>
      <c r="E1112" s="12" t="s">
        <v>182</v>
      </c>
      <c r="F1112" t="s">
        <v>187</v>
      </c>
      <c r="G1112" t="s">
        <v>12</v>
      </c>
      <c r="H1112" t="s">
        <v>72</v>
      </c>
      <c r="I1112" t="s">
        <v>175</v>
      </c>
      <c r="J1112" s="12">
        <v>1</v>
      </c>
      <c r="K1112" t="s">
        <v>62</v>
      </c>
      <c r="L1112" t="s">
        <v>63</v>
      </c>
      <c r="M1112" t="s">
        <v>200</v>
      </c>
      <c r="O1112" t="s">
        <v>205</v>
      </c>
      <c r="P1112">
        <v>6</v>
      </c>
      <c r="Q1112" t="s">
        <v>201</v>
      </c>
      <c r="R1112" s="6">
        <v>0.9280309573229153</v>
      </c>
      <c r="S1112" s="6">
        <v>21.624021771320269</v>
      </c>
      <c r="T1112" s="6">
        <v>7.9460949016990279</v>
      </c>
      <c r="U1112" s="6">
        <v>77.148115653482321</v>
      </c>
      <c r="V1112" s="6">
        <v>0.14142016845902533</v>
      </c>
      <c r="W1112" s="6">
        <v>5.990955308110788</v>
      </c>
      <c r="X1112" s="6">
        <v>3.2643859403569486</v>
      </c>
      <c r="Y1112" s="6">
        <v>31.384694917662351</v>
      </c>
    </row>
    <row r="1113" spans="1:25" x14ac:dyDescent="0.25">
      <c r="A1113" t="str">
        <f t="shared" si="17"/>
        <v>RTD Ice TeaFranceDecemberEUR (€)Fully-AutomatedOldPET Bottle1Medium-scaleHigh</v>
      </c>
      <c r="B1113" t="s">
        <v>130</v>
      </c>
      <c r="C1113" t="s">
        <v>130</v>
      </c>
      <c r="D1113" t="s">
        <v>15</v>
      </c>
      <c r="E1113" s="12" t="s">
        <v>182</v>
      </c>
      <c r="F1113" t="s">
        <v>187</v>
      </c>
      <c r="G1113" t="s">
        <v>12</v>
      </c>
      <c r="H1113" t="s">
        <v>72</v>
      </c>
      <c r="I1113" t="s">
        <v>175</v>
      </c>
      <c r="J1113" s="12">
        <v>1</v>
      </c>
      <c r="K1113" t="s">
        <v>62</v>
      </c>
      <c r="L1113" t="s">
        <v>11</v>
      </c>
      <c r="M1113" t="s">
        <v>200</v>
      </c>
      <c r="O1113" t="s">
        <v>205</v>
      </c>
      <c r="P1113">
        <v>6</v>
      </c>
      <c r="Q1113" t="s">
        <v>201</v>
      </c>
      <c r="R1113" s="6">
        <v>0.96489108450472072</v>
      </c>
      <c r="S1113" s="6">
        <v>22.483567095340984</v>
      </c>
      <c r="T1113" s="6">
        <v>8.2614361623013135</v>
      </c>
      <c r="U1113" s="6">
        <v>80.210572747612346</v>
      </c>
      <c r="V1113" s="6">
        <v>0.14678278327819438</v>
      </c>
      <c r="W1113" s="6">
        <v>6.2161184278106605</v>
      </c>
      <c r="X1113" s="6">
        <v>3.3877339202235586</v>
      </c>
      <c r="Y1113" s="6">
        <v>32.569821166029243</v>
      </c>
    </row>
    <row r="1114" spans="1:25" x14ac:dyDescent="0.25">
      <c r="A1114" t="str">
        <f t="shared" si="17"/>
        <v>RTD Ice TeaFranceDecemberEUR (€)Fully-AutomatedOldPET Bottle1Small-scaleLow</v>
      </c>
      <c r="B1114" t="s">
        <v>130</v>
      </c>
      <c r="C1114" t="s">
        <v>130</v>
      </c>
      <c r="D1114" t="s">
        <v>15</v>
      </c>
      <c r="E1114" s="12" t="s">
        <v>182</v>
      </c>
      <c r="F1114" t="s">
        <v>187</v>
      </c>
      <c r="G1114" t="s">
        <v>12</v>
      </c>
      <c r="H1114" t="s">
        <v>72</v>
      </c>
      <c r="I1114" t="s">
        <v>175</v>
      </c>
      <c r="J1114" s="12">
        <v>1</v>
      </c>
      <c r="K1114" t="s">
        <v>60</v>
      </c>
      <c r="L1114" t="s">
        <v>13</v>
      </c>
      <c r="M1114" t="s">
        <v>200</v>
      </c>
      <c r="O1114" t="s">
        <v>205</v>
      </c>
      <c r="P1114">
        <v>6</v>
      </c>
      <c r="Q1114" t="s">
        <v>201</v>
      </c>
      <c r="R1114" s="6">
        <v>0.89607713585828042</v>
      </c>
      <c r="S1114" s="6">
        <v>20.873276028235175</v>
      </c>
      <c r="T1114" s="6">
        <v>7.6749667152071641</v>
      </c>
      <c r="U1114" s="6">
        <v>74.508069999735369</v>
      </c>
      <c r="V1114" s="6">
        <v>0.13809830288572059</v>
      </c>
      <c r="W1114" s="6">
        <v>5.8543548967603041</v>
      </c>
      <c r="X1114" s="6">
        <v>3.1903273909304679</v>
      </c>
      <c r="Y1114" s="6">
        <v>30.672157066724289</v>
      </c>
    </row>
    <row r="1115" spans="1:25" x14ac:dyDescent="0.25">
      <c r="A1115" t="str">
        <f t="shared" si="17"/>
        <v>RTD Ice TeaFranceDecemberEUR (€)Fully-AutomatedOldPET Bottle1Small-scaleMedium</v>
      </c>
      <c r="B1115" t="s">
        <v>130</v>
      </c>
      <c r="C1115" t="s">
        <v>130</v>
      </c>
      <c r="D1115" t="s">
        <v>15</v>
      </c>
      <c r="E1115" s="12" t="s">
        <v>182</v>
      </c>
      <c r="F1115" t="s">
        <v>187</v>
      </c>
      <c r="G1115" t="s">
        <v>12</v>
      </c>
      <c r="H1115" t="s">
        <v>72</v>
      </c>
      <c r="I1115" t="s">
        <v>175</v>
      </c>
      <c r="J1115" s="12">
        <v>1</v>
      </c>
      <c r="K1115" t="s">
        <v>60</v>
      </c>
      <c r="L1115" t="s">
        <v>63</v>
      </c>
      <c r="M1115" t="s">
        <v>200</v>
      </c>
      <c r="O1115" t="s">
        <v>205</v>
      </c>
      <c r="P1115">
        <v>6</v>
      </c>
      <c r="Q1115" t="s">
        <v>201</v>
      </c>
      <c r="R1115" s="6">
        <v>0.93020688324884127</v>
      </c>
      <c r="S1115" s="6">
        <v>21.669151328254358</v>
      </c>
      <c r="T1115" s="6">
        <v>7.9669493639129847</v>
      </c>
      <c r="U1115" s="6">
        <v>77.343678420226126</v>
      </c>
      <c r="V1115" s="6">
        <v>0.14306368697754385</v>
      </c>
      <c r="W1115" s="6">
        <v>6.0628392668527802</v>
      </c>
      <c r="X1115" s="6">
        <v>3.304538483399551</v>
      </c>
      <c r="Y1115" s="6">
        <v>31.769496185582529</v>
      </c>
    </row>
    <row r="1116" spans="1:25" x14ac:dyDescent="0.25">
      <c r="A1116" t="str">
        <f t="shared" si="17"/>
        <v>RTD Ice TeaFranceDecemberEUR (€)Fully-AutomatedOldPET Bottle1Small-scaleHigh</v>
      </c>
      <c r="B1116" t="s">
        <v>130</v>
      </c>
      <c r="C1116" t="s">
        <v>130</v>
      </c>
      <c r="D1116" t="s">
        <v>15</v>
      </c>
      <c r="E1116" s="12" t="s">
        <v>182</v>
      </c>
      <c r="F1116" t="s">
        <v>187</v>
      </c>
      <c r="G1116" t="s">
        <v>12</v>
      </c>
      <c r="H1116" t="s">
        <v>72</v>
      </c>
      <c r="I1116" t="s">
        <v>175</v>
      </c>
      <c r="J1116" s="12">
        <v>1</v>
      </c>
      <c r="K1116" t="s">
        <v>60</v>
      </c>
      <c r="L1116" t="s">
        <v>11</v>
      </c>
      <c r="M1116" t="s">
        <v>200</v>
      </c>
      <c r="O1116" t="s">
        <v>205</v>
      </c>
      <c r="P1116">
        <v>6</v>
      </c>
      <c r="Q1116" t="s">
        <v>201</v>
      </c>
      <c r="R1116" s="6">
        <v>0.96706701043064658</v>
      </c>
      <c r="S1116" s="6">
        <v>22.52869665227508</v>
      </c>
      <c r="T1116" s="6">
        <v>8.2822906245152694</v>
      </c>
      <c r="U1116" s="6">
        <v>80.40613551435618</v>
      </c>
      <c r="V1116" s="6">
        <v>0.1484263017967129</v>
      </c>
      <c r="W1116" s="6">
        <v>6.2880023865526509</v>
      </c>
      <c r="X1116" s="6">
        <v>3.4278864632661605</v>
      </c>
      <c r="Y1116" s="6">
        <v>32.954622433949424</v>
      </c>
    </row>
    <row r="1117" spans="1:25" x14ac:dyDescent="0.25">
      <c r="A1117" t="str">
        <f t="shared" si="17"/>
        <v>RTD Ice TeaFranceDecemberEUR (€)Fully-AutomatedOldPET Bottle1High-scaleLow</v>
      </c>
      <c r="B1117" t="s">
        <v>130</v>
      </c>
      <c r="C1117" t="s">
        <v>130</v>
      </c>
      <c r="D1117" t="s">
        <v>15</v>
      </c>
      <c r="E1117" s="12" t="s">
        <v>182</v>
      </c>
      <c r="F1117" t="s">
        <v>187</v>
      </c>
      <c r="G1117" t="s">
        <v>12</v>
      </c>
      <c r="H1117" t="s">
        <v>72</v>
      </c>
      <c r="I1117" t="s">
        <v>175</v>
      </c>
      <c r="J1117" s="12">
        <v>1</v>
      </c>
      <c r="K1117" t="s">
        <v>107</v>
      </c>
      <c r="L1117" t="s">
        <v>13</v>
      </c>
      <c r="M1117" t="s">
        <v>199</v>
      </c>
      <c r="O1117" t="s">
        <v>205</v>
      </c>
      <c r="P1117">
        <v>8</v>
      </c>
      <c r="Q1117" t="s">
        <v>202</v>
      </c>
      <c r="R1117" s="6">
        <v>0.892595654376799</v>
      </c>
      <c r="S1117" s="6">
        <v>20.801068737140625</v>
      </c>
      <c r="T1117" s="6">
        <v>7.6415995756648325</v>
      </c>
      <c r="U1117" s="6">
        <v>74.195169572945233</v>
      </c>
      <c r="V1117" s="6">
        <v>0.1453356435226878</v>
      </c>
      <c r="W1117" s="6">
        <v>4.5910042616296947</v>
      </c>
      <c r="X1117" s="6">
        <v>3.0766551924070282</v>
      </c>
      <c r="Y1117" s="6">
        <v>28.901609692449348</v>
      </c>
    </row>
    <row r="1118" spans="1:25" x14ac:dyDescent="0.25">
      <c r="A1118" t="str">
        <f t="shared" si="17"/>
        <v>RTD Ice TeaFranceDecemberEUR (€)Fully-AutomatedOldPET Bottle1High-scaleMedium</v>
      </c>
      <c r="B1118" t="s">
        <v>130</v>
      </c>
      <c r="C1118" t="s">
        <v>130</v>
      </c>
      <c r="D1118" t="s">
        <v>15</v>
      </c>
      <c r="E1118" s="12" t="s">
        <v>182</v>
      </c>
      <c r="F1118" t="s">
        <v>187</v>
      </c>
      <c r="G1118" t="s">
        <v>12</v>
      </c>
      <c r="H1118" t="s">
        <v>72</v>
      </c>
      <c r="I1118" t="s">
        <v>175</v>
      </c>
      <c r="J1118" s="12">
        <v>1</v>
      </c>
      <c r="K1118" t="s">
        <v>107</v>
      </c>
      <c r="L1118" t="s">
        <v>63</v>
      </c>
      <c r="M1118" t="s">
        <v>199</v>
      </c>
      <c r="O1118" t="s">
        <v>205</v>
      </c>
      <c r="P1118">
        <v>8</v>
      </c>
      <c r="Q1118" t="s">
        <v>202</v>
      </c>
      <c r="R1118" s="6">
        <v>0.92672540176735962</v>
      </c>
      <c r="S1118" s="6">
        <v>21.596944037159815</v>
      </c>
      <c r="T1118" s="6">
        <v>7.9335822243706549</v>
      </c>
      <c r="U1118" s="6">
        <v>77.030777993436004</v>
      </c>
      <c r="V1118" s="6">
        <v>0.15057903074442289</v>
      </c>
      <c r="W1118" s="6">
        <v>4.7545828764732851</v>
      </c>
      <c r="X1118" s="6">
        <v>3.1872278333154109</v>
      </c>
      <c r="Y1118" s="6">
        <v>29.939402513230409</v>
      </c>
    </row>
    <row r="1119" spans="1:25" x14ac:dyDescent="0.25">
      <c r="A1119" t="str">
        <f t="shared" si="17"/>
        <v>RTD Ice TeaFranceDecemberEUR (€)Fully-AutomatedOldPET Bottle1High-scaleHigh</v>
      </c>
      <c r="B1119" t="s">
        <v>130</v>
      </c>
      <c r="C1119" t="s">
        <v>130</v>
      </c>
      <c r="D1119" t="s">
        <v>15</v>
      </c>
      <c r="E1119" s="12" t="s">
        <v>182</v>
      </c>
      <c r="F1119" t="s">
        <v>187</v>
      </c>
      <c r="G1119" t="s">
        <v>12</v>
      </c>
      <c r="H1119" t="s">
        <v>72</v>
      </c>
      <c r="I1119" t="s">
        <v>175</v>
      </c>
      <c r="J1119" s="12">
        <v>1</v>
      </c>
      <c r="K1119" t="s">
        <v>107</v>
      </c>
      <c r="L1119" t="s">
        <v>11</v>
      </c>
      <c r="M1119" t="s">
        <v>199</v>
      </c>
      <c r="O1119" t="s">
        <v>205</v>
      </c>
      <c r="P1119">
        <v>8</v>
      </c>
      <c r="Q1119" t="s">
        <v>202</v>
      </c>
      <c r="R1119" s="6">
        <v>0.96358552894916505</v>
      </c>
      <c r="S1119" s="6">
        <v>22.45648936118053</v>
      </c>
      <c r="T1119" s="6">
        <v>8.2489234849729414</v>
      </c>
      <c r="U1119" s="6">
        <v>80.093235087566029</v>
      </c>
      <c r="V1119" s="6">
        <v>0.15624188894389673</v>
      </c>
      <c r="W1119" s="6">
        <v>4.9312477805043615</v>
      </c>
      <c r="X1119" s="6">
        <v>3.3066462854964644</v>
      </c>
      <c r="Y1119" s="6">
        <v>31.060218759673948</v>
      </c>
    </row>
    <row r="1120" spans="1:25" x14ac:dyDescent="0.25">
      <c r="A1120" t="str">
        <f t="shared" si="17"/>
        <v>RTD Ice TeaFranceDecemberEUR (€)Fully-AutomatedOldPET Bottle1Medium-scaleLow</v>
      </c>
      <c r="B1120" t="s">
        <v>130</v>
      </c>
      <c r="C1120" t="s">
        <v>130</v>
      </c>
      <c r="D1120" t="s">
        <v>15</v>
      </c>
      <c r="E1120" s="12" t="s">
        <v>182</v>
      </c>
      <c r="F1120" t="s">
        <v>187</v>
      </c>
      <c r="G1120" t="s">
        <v>12</v>
      </c>
      <c r="H1120" t="s">
        <v>72</v>
      </c>
      <c r="I1120" t="s">
        <v>175</v>
      </c>
      <c r="J1120" s="12">
        <v>1</v>
      </c>
      <c r="K1120" t="s">
        <v>62</v>
      </c>
      <c r="L1120" t="s">
        <v>13</v>
      </c>
      <c r="M1120" t="s">
        <v>199</v>
      </c>
      <c r="O1120" t="s">
        <v>205</v>
      </c>
      <c r="P1120">
        <v>8</v>
      </c>
      <c r="Q1120" t="s">
        <v>202</v>
      </c>
      <c r="R1120" s="6">
        <v>0.89390120993235456</v>
      </c>
      <c r="S1120" s="6">
        <v>20.828146471301082</v>
      </c>
      <c r="T1120" s="6">
        <v>7.6541122529932064</v>
      </c>
      <c r="U1120" s="6">
        <v>74.312507232991535</v>
      </c>
      <c r="V1120" s="6">
        <v>0.146422764734809</v>
      </c>
      <c r="W1120" s="6">
        <v>4.626958251821927</v>
      </c>
      <c r="X1120" s="6">
        <v>3.1007467182325894</v>
      </c>
      <c r="Y1120" s="6">
        <v>29.127891459482687</v>
      </c>
    </row>
    <row r="1121" spans="1:25" x14ac:dyDescent="0.25">
      <c r="A1121" t="str">
        <f t="shared" si="17"/>
        <v>RTD Ice TeaFranceDecemberEUR (€)Fully-AutomatedOldPET Bottle1Medium-scaleMedium</v>
      </c>
      <c r="B1121" t="s">
        <v>130</v>
      </c>
      <c r="C1121" t="s">
        <v>130</v>
      </c>
      <c r="D1121" t="s">
        <v>15</v>
      </c>
      <c r="E1121" s="12" t="s">
        <v>182</v>
      </c>
      <c r="F1121" t="s">
        <v>187</v>
      </c>
      <c r="G1121" t="s">
        <v>12</v>
      </c>
      <c r="H1121" t="s">
        <v>72</v>
      </c>
      <c r="I1121" t="s">
        <v>175</v>
      </c>
      <c r="J1121" s="12">
        <v>1</v>
      </c>
      <c r="K1121" t="s">
        <v>62</v>
      </c>
      <c r="L1121" t="s">
        <v>63</v>
      </c>
      <c r="M1121" t="s">
        <v>199</v>
      </c>
      <c r="O1121" t="s">
        <v>205</v>
      </c>
      <c r="P1121">
        <v>8</v>
      </c>
      <c r="Q1121" t="s">
        <v>202</v>
      </c>
      <c r="R1121" s="6">
        <v>0.9280309573229153</v>
      </c>
      <c r="S1121" s="6">
        <v>21.624021771320269</v>
      </c>
      <c r="T1121" s="6">
        <v>7.9460949016990279</v>
      </c>
      <c r="U1121" s="6">
        <v>77.148115653482321</v>
      </c>
      <c r="V1121" s="6">
        <v>0.15166615195654409</v>
      </c>
      <c r="W1121" s="6">
        <v>4.7905368666655157</v>
      </c>
      <c r="X1121" s="6">
        <v>3.2113193591409721</v>
      </c>
      <c r="Y1121" s="6">
        <v>30.165684280263747</v>
      </c>
    </row>
    <row r="1122" spans="1:25" x14ac:dyDescent="0.25">
      <c r="A1122" t="str">
        <f t="shared" si="17"/>
        <v>RTD Ice TeaFranceDecemberEUR (€)Fully-AutomatedOldPET Bottle1Medium-scaleHigh</v>
      </c>
      <c r="B1122" t="s">
        <v>130</v>
      </c>
      <c r="C1122" t="s">
        <v>130</v>
      </c>
      <c r="D1122" t="s">
        <v>15</v>
      </c>
      <c r="E1122" s="12" t="s">
        <v>182</v>
      </c>
      <c r="F1122" t="s">
        <v>187</v>
      </c>
      <c r="G1122" t="s">
        <v>12</v>
      </c>
      <c r="H1122" t="s">
        <v>72</v>
      </c>
      <c r="I1122" t="s">
        <v>175</v>
      </c>
      <c r="J1122" s="12">
        <v>1</v>
      </c>
      <c r="K1122" t="s">
        <v>62</v>
      </c>
      <c r="L1122" t="s">
        <v>11</v>
      </c>
      <c r="M1122" t="s">
        <v>199</v>
      </c>
      <c r="O1122" t="s">
        <v>205</v>
      </c>
      <c r="P1122">
        <v>8</v>
      </c>
      <c r="Q1122" t="s">
        <v>202</v>
      </c>
      <c r="R1122" s="6">
        <v>0.96489108450472072</v>
      </c>
      <c r="S1122" s="6">
        <v>22.483567095340984</v>
      </c>
      <c r="T1122" s="6">
        <v>8.2614361623013135</v>
      </c>
      <c r="U1122" s="6">
        <v>80.210572747612346</v>
      </c>
      <c r="V1122" s="6">
        <v>0.15732901015601797</v>
      </c>
      <c r="W1122" s="6">
        <v>4.967201770696593</v>
      </c>
      <c r="X1122" s="6">
        <v>3.3307378113220261</v>
      </c>
      <c r="Y1122" s="6">
        <v>31.286500526707282</v>
      </c>
    </row>
    <row r="1123" spans="1:25" x14ac:dyDescent="0.25">
      <c r="A1123" t="str">
        <f t="shared" si="17"/>
        <v>RTD Ice TeaFranceDecemberEUR (€)Fully-AutomatedOldPET Bottle1Small-scaleLow</v>
      </c>
      <c r="B1123" t="s">
        <v>130</v>
      </c>
      <c r="C1123" t="s">
        <v>130</v>
      </c>
      <c r="D1123" t="s">
        <v>15</v>
      </c>
      <c r="E1123" s="12" t="s">
        <v>182</v>
      </c>
      <c r="F1123" t="s">
        <v>187</v>
      </c>
      <c r="G1123" t="s">
        <v>12</v>
      </c>
      <c r="H1123" t="s">
        <v>72</v>
      </c>
      <c r="I1123" t="s">
        <v>175</v>
      </c>
      <c r="J1123" s="12">
        <v>1</v>
      </c>
      <c r="K1123" t="s">
        <v>60</v>
      </c>
      <c r="L1123" t="s">
        <v>13</v>
      </c>
      <c r="M1123" t="s">
        <v>199</v>
      </c>
      <c r="O1123" t="s">
        <v>205</v>
      </c>
      <c r="P1123">
        <v>8</v>
      </c>
      <c r="Q1123" t="s">
        <v>202</v>
      </c>
      <c r="R1123" s="6">
        <v>0.89607713585828042</v>
      </c>
      <c r="S1123" s="6">
        <v>20.873276028235175</v>
      </c>
      <c r="T1123" s="6">
        <v>7.6749667152071641</v>
      </c>
      <c r="U1123" s="6">
        <v>74.508069999735369</v>
      </c>
      <c r="V1123" s="6">
        <v>0.1482346334216777</v>
      </c>
      <c r="W1123" s="6">
        <v>4.6868815688089809</v>
      </c>
      <c r="X1123" s="6">
        <v>3.1408992612751914</v>
      </c>
      <c r="Y1123" s="6">
        <v>29.505027737871586</v>
      </c>
    </row>
    <row r="1124" spans="1:25" x14ac:dyDescent="0.25">
      <c r="A1124" t="str">
        <f t="shared" si="17"/>
        <v>RTD Ice TeaFranceDecemberEUR (€)Fully-AutomatedOldPET Bottle1Small-scaleMedium</v>
      </c>
      <c r="B1124" t="s">
        <v>130</v>
      </c>
      <c r="C1124" t="s">
        <v>130</v>
      </c>
      <c r="D1124" t="s">
        <v>15</v>
      </c>
      <c r="E1124" s="12" t="s">
        <v>182</v>
      </c>
      <c r="F1124" t="s">
        <v>187</v>
      </c>
      <c r="G1124" t="s">
        <v>12</v>
      </c>
      <c r="H1124" t="s">
        <v>72</v>
      </c>
      <c r="I1124" t="s">
        <v>175</v>
      </c>
      <c r="J1124" s="12">
        <v>1</v>
      </c>
      <c r="K1124" t="s">
        <v>60</v>
      </c>
      <c r="L1124" t="s">
        <v>63</v>
      </c>
      <c r="M1124" t="s">
        <v>199</v>
      </c>
      <c r="O1124" t="s">
        <v>205</v>
      </c>
      <c r="P1124">
        <v>8</v>
      </c>
      <c r="Q1124" t="s">
        <v>202</v>
      </c>
      <c r="R1124" s="6">
        <v>0.93020688324884127</v>
      </c>
      <c r="S1124" s="6">
        <v>21.669151328254358</v>
      </c>
      <c r="T1124" s="6">
        <v>7.9669493639129847</v>
      </c>
      <c r="U1124" s="6">
        <v>77.343678420226126</v>
      </c>
      <c r="V1124" s="6">
        <v>0.15347802064341279</v>
      </c>
      <c r="W1124" s="6">
        <v>4.8504601836525705</v>
      </c>
      <c r="X1124" s="6">
        <v>3.2514719021835745</v>
      </c>
      <c r="Y1124" s="6">
        <v>30.542820558652636</v>
      </c>
    </row>
    <row r="1125" spans="1:25" x14ac:dyDescent="0.25">
      <c r="A1125" t="str">
        <f t="shared" si="17"/>
        <v>RTD Ice TeaFranceDecemberEUR (€)Fully-AutomatedOldPET Bottle1Small-scaleHigh</v>
      </c>
      <c r="B1125" t="s">
        <v>130</v>
      </c>
      <c r="C1125" t="s">
        <v>130</v>
      </c>
      <c r="D1125" t="s">
        <v>15</v>
      </c>
      <c r="E1125" s="12" t="s">
        <v>182</v>
      </c>
      <c r="F1125" t="s">
        <v>187</v>
      </c>
      <c r="G1125" t="s">
        <v>12</v>
      </c>
      <c r="H1125" t="s">
        <v>72</v>
      </c>
      <c r="I1125" t="s">
        <v>175</v>
      </c>
      <c r="J1125" s="12">
        <v>1</v>
      </c>
      <c r="K1125" t="s">
        <v>60</v>
      </c>
      <c r="L1125" t="s">
        <v>11</v>
      </c>
      <c r="M1125" t="s">
        <v>199</v>
      </c>
      <c r="O1125" t="s">
        <v>205</v>
      </c>
      <c r="P1125">
        <v>8</v>
      </c>
      <c r="Q1125" t="s">
        <v>202</v>
      </c>
      <c r="R1125" s="6">
        <v>0.96706701043064658</v>
      </c>
      <c r="S1125" s="6">
        <v>22.52869665227508</v>
      </c>
      <c r="T1125" s="6">
        <v>8.2822906245152694</v>
      </c>
      <c r="U1125" s="6">
        <v>80.40613551435618</v>
      </c>
      <c r="V1125" s="6">
        <v>0.15914087884288663</v>
      </c>
      <c r="W1125" s="6">
        <v>5.0271250876836477</v>
      </c>
      <c r="X1125" s="6">
        <v>3.370890354364628</v>
      </c>
      <c r="Y1125" s="6">
        <v>31.663636805096179</v>
      </c>
    </row>
    <row r="1126" spans="1:25" x14ac:dyDescent="0.25">
      <c r="A1126" t="str">
        <f t="shared" si="17"/>
        <v>RTD Ice TeaFranceDecemberEUR (€)Fully-AutomatedOldPET Bottle1High-scaleLow</v>
      </c>
      <c r="B1126" t="s">
        <v>130</v>
      </c>
      <c r="C1126" t="s">
        <v>130</v>
      </c>
      <c r="D1126" t="s">
        <v>15</v>
      </c>
      <c r="E1126" s="12" t="s">
        <v>182</v>
      </c>
      <c r="F1126" t="s">
        <v>187</v>
      </c>
      <c r="G1126" t="s">
        <v>12</v>
      </c>
      <c r="H1126" t="s">
        <v>72</v>
      </c>
      <c r="I1126" t="s">
        <v>175</v>
      </c>
      <c r="J1126" s="12">
        <v>1</v>
      </c>
      <c r="K1126" t="s">
        <v>107</v>
      </c>
      <c r="L1126" t="s">
        <v>13</v>
      </c>
      <c r="M1126" t="s">
        <v>200</v>
      </c>
      <c r="O1126" t="s">
        <v>205</v>
      </c>
      <c r="P1126">
        <v>8</v>
      </c>
      <c r="Q1126" t="s">
        <v>202</v>
      </c>
      <c r="R1126" s="6">
        <v>0.892595654376799</v>
      </c>
      <c r="S1126" s="6">
        <v>20.801068737140625</v>
      </c>
      <c r="T1126" s="6">
        <v>7.6415995756648325</v>
      </c>
      <c r="U1126" s="6">
        <v>74.195169572945233</v>
      </c>
      <c r="V1126" s="6">
        <v>0.12887384702095395</v>
      </c>
      <c r="W1126" s="6">
        <v>5.5633547828241063</v>
      </c>
      <c r="X1126" s="6">
        <v>3.0335594207133023</v>
      </c>
      <c r="Y1126" s="6">
        <v>29.161225842968197</v>
      </c>
    </row>
    <row r="1127" spans="1:25" x14ac:dyDescent="0.25">
      <c r="A1127" t="str">
        <f t="shared" si="17"/>
        <v>RTD Ice TeaFranceDecemberEUR (€)Fully-AutomatedOldPET Bottle1High-scaleMedium</v>
      </c>
      <c r="B1127" t="s">
        <v>130</v>
      </c>
      <c r="C1127" t="s">
        <v>130</v>
      </c>
      <c r="D1127" t="s">
        <v>15</v>
      </c>
      <c r="E1127" s="12" t="s">
        <v>182</v>
      </c>
      <c r="F1127" t="s">
        <v>187</v>
      </c>
      <c r="G1127" t="s">
        <v>12</v>
      </c>
      <c r="H1127" t="s">
        <v>72</v>
      </c>
      <c r="I1127" t="s">
        <v>175</v>
      </c>
      <c r="J1127" s="12">
        <v>1</v>
      </c>
      <c r="K1127" t="s">
        <v>107</v>
      </c>
      <c r="L1127" t="s">
        <v>63</v>
      </c>
      <c r="M1127" t="s">
        <v>200</v>
      </c>
      <c r="O1127" t="s">
        <v>205</v>
      </c>
      <c r="P1127">
        <v>8</v>
      </c>
      <c r="Q1127" t="s">
        <v>202</v>
      </c>
      <c r="R1127" s="6">
        <v>0.92672540176735962</v>
      </c>
      <c r="S1127" s="6">
        <v>21.596944037159815</v>
      </c>
      <c r="T1127" s="6">
        <v>7.9335822243706549</v>
      </c>
      <c r="U1127" s="6">
        <v>77.030777993436004</v>
      </c>
      <c r="V1127" s="6">
        <v>0.13358558394988732</v>
      </c>
      <c r="W1127" s="6">
        <v>5.7650704690723886</v>
      </c>
      <c r="X1127" s="6">
        <v>3.1442119015920391</v>
      </c>
      <c r="Y1127" s="6">
        <v>30.224132300477063</v>
      </c>
    </row>
    <row r="1128" spans="1:25" x14ac:dyDescent="0.25">
      <c r="A1128" t="str">
        <f t="shared" si="17"/>
        <v>RTD Ice TeaFranceDecemberEUR (€)Fully-AutomatedOldPET Bottle1High-scaleHigh</v>
      </c>
      <c r="B1128" t="s">
        <v>130</v>
      </c>
      <c r="C1128" t="s">
        <v>130</v>
      </c>
      <c r="D1128" t="s">
        <v>15</v>
      </c>
      <c r="E1128" s="12" t="s">
        <v>182</v>
      </c>
      <c r="F1128" t="s">
        <v>187</v>
      </c>
      <c r="G1128" t="s">
        <v>12</v>
      </c>
      <c r="H1128" t="s">
        <v>72</v>
      </c>
      <c r="I1128" t="s">
        <v>175</v>
      </c>
      <c r="J1128" s="12">
        <v>1</v>
      </c>
      <c r="K1128" t="s">
        <v>107</v>
      </c>
      <c r="L1128" t="s">
        <v>11</v>
      </c>
      <c r="M1128" t="s">
        <v>200</v>
      </c>
      <c r="O1128" t="s">
        <v>205</v>
      </c>
      <c r="P1128">
        <v>8</v>
      </c>
      <c r="Q1128" t="s">
        <v>202</v>
      </c>
      <c r="R1128" s="6">
        <v>0.96358552894916505</v>
      </c>
      <c r="S1128" s="6">
        <v>22.45648936118053</v>
      </c>
      <c r="T1128" s="6">
        <v>8.2489234849729414</v>
      </c>
      <c r="U1128" s="6">
        <v>80.093235087566029</v>
      </c>
      <c r="V1128" s="6">
        <v>0.1386742598331353</v>
      </c>
      <c r="W1128" s="6">
        <v>5.9829234102205318</v>
      </c>
      <c r="X1128" s="6">
        <v>3.2637165809410753</v>
      </c>
      <c r="Y1128" s="6">
        <v>31.372071274586638</v>
      </c>
    </row>
    <row r="1129" spans="1:25" x14ac:dyDescent="0.25">
      <c r="A1129" t="str">
        <f t="shared" si="17"/>
        <v>RTD Ice TeaFranceDecemberEUR (€)Fully-AutomatedOldPET Bottle1Medium-scaleLow</v>
      </c>
      <c r="B1129" t="s">
        <v>130</v>
      </c>
      <c r="C1129" t="s">
        <v>130</v>
      </c>
      <c r="D1129" t="s">
        <v>15</v>
      </c>
      <c r="E1129" s="12" t="s">
        <v>182</v>
      </c>
      <c r="F1129" t="s">
        <v>187</v>
      </c>
      <c r="G1129" t="s">
        <v>12</v>
      </c>
      <c r="H1129" t="s">
        <v>72</v>
      </c>
      <c r="I1129" t="s">
        <v>175</v>
      </c>
      <c r="J1129" s="12">
        <v>1</v>
      </c>
      <c r="K1129" t="s">
        <v>62</v>
      </c>
      <c r="L1129" t="s">
        <v>13</v>
      </c>
      <c r="M1129" t="s">
        <v>200</v>
      </c>
      <c r="O1129" t="s">
        <v>205</v>
      </c>
      <c r="P1129">
        <v>8</v>
      </c>
      <c r="Q1129" t="s">
        <v>202</v>
      </c>
      <c r="R1129" s="6">
        <v>0.89390120993235456</v>
      </c>
      <c r="S1129" s="6">
        <v>20.828146471301082</v>
      </c>
      <c r="T1129" s="6">
        <v>7.6541122529932064</v>
      </c>
      <c r="U1129" s="6">
        <v>74.312507232991535</v>
      </c>
      <c r="V1129" s="6">
        <v>0.12985995813206505</v>
      </c>
      <c r="W1129" s="6">
        <v>5.6064851580693009</v>
      </c>
      <c r="X1129" s="6">
        <v>3.0576509465388639</v>
      </c>
      <c r="Y1129" s="6">
        <v>29.3921066037203</v>
      </c>
    </row>
    <row r="1130" spans="1:25" x14ac:dyDescent="0.25">
      <c r="A1130" t="str">
        <f t="shared" si="17"/>
        <v>RTD Ice TeaFranceDecemberEUR (€)Fully-AutomatedOldPET Bottle1Medium-scaleMedium</v>
      </c>
      <c r="B1130" t="s">
        <v>130</v>
      </c>
      <c r="C1130" t="s">
        <v>130</v>
      </c>
      <c r="D1130" t="s">
        <v>15</v>
      </c>
      <c r="E1130" s="12" t="s">
        <v>182</v>
      </c>
      <c r="F1130" t="s">
        <v>187</v>
      </c>
      <c r="G1130" t="s">
        <v>12</v>
      </c>
      <c r="H1130" t="s">
        <v>72</v>
      </c>
      <c r="I1130" t="s">
        <v>175</v>
      </c>
      <c r="J1130" s="12">
        <v>1</v>
      </c>
      <c r="K1130" t="s">
        <v>62</v>
      </c>
      <c r="L1130" t="s">
        <v>63</v>
      </c>
      <c r="M1130" t="s">
        <v>200</v>
      </c>
      <c r="O1130" t="s">
        <v>205</v>
      </c>
      <c r="P1130">
        <v>8</v>
      </c>
      <c r="Q1130" t="s">
        <v>202</v>
      </c>
      <c r="R1130" s="6">
        <v>0.9280309573229153</v>
      </c>
      <c r="S1130" s="6">
        <v>21.624021771320269</v>
      </c>
      <c r="T1130" s="6">
        <v>7.9460949016990279</v>
      </c>
      <c r="U1130" s="6">
        <v>77.148115653482321</v>
      </c>
      <c r="V1130" s="6">
        <v>0.13457169506099842</v>
      </c>
      <c r="W1130" s="6">
        <v>5.8082008443175823</v>
      </c>
      <c r="X1130" s="6">
        <v>3.1683034274176003</v>
      </c>
      <c r="Y1130" s="6">
        <v>30.45501306122917</v>
      </c>
    </row>
    <row r="1131" spans="1:25" x14ac:dyDescent="0.25">
      <c r="A1131" t="str">
        <f t="shared" si="17"/>
        <v>RTD Ice TeaFranceDecemberEUR (€)Fully-AutomatedOldPET Bottle1Medium-scaleHigh</v>
      </c>
      <c r="B1131" t="s">
        <v>130</v>
      </c>
      <c r="C1131" t="s">
        <v>130</v>
      </c>
      <c r="D1131" t="s">
        <v>15</v>
      </c>
      <c r="E1131" s="12" t="s">
        <v>182</v>
      </c>
      <c r="F1131" t="s">
        <v>187</v>
      </c>
      <c r="G1131" t="s">
        <v>12</v>
      </c>
      <c r="H1131" t="s">
        <v>72</v>
      </c>
      <c r="I1131" t="s">
        <v>175</v>
      </c>
      <c r="J1131" s="12">
        <v>1</v>
      </c>
      <c r="K1131" t="s">
        <v>62</v>
      </c>
      <c r="L1131" t="s">
        <v>11</v>
      </c>
      <c r="M1131" t="s">
        <v>200</v>
      </c>
      <c r="O1131" t="s">
        <v>205</v>
      </c>
      <c r="P1131">
        <v>8</v>
      </c>
      <c r="Q1131" t="s">
        <v>202</v>
      </c>
      <c r="R1131" s="6">
        <v>0.96489108450472072</v>
      </c>
      <c r="S1131" s="6">
        <v>22.483567095340984</v>
      </c>
      <c r="T1131" s="6">
        <v>8.2614361623013135</v>
      </c>
      <c r="U1131" s="6">
        <v>80.210572747612346</v>
      </c>
      <c r="V1131" s="6">
        <v>0.13966037094424641</v>
      </c>
      <c r="W1131" s="6">
        <v>6.0260537854657263</v>
      </c>
      <c r="X1131" s="6">
        <v>3.2878081067666365</v>
      </c>
      <c r="Y1131" s="6">
        <v>31.602952035338735</v>
      </c>
    </row>
    <row r="1132" spans="1:25" x14ac:dyDescent="0.25">
      <c r="A1132" t="str">
        <f t="shared" si="17"/>
        <v>RTD Ice TeaFranceDecemberEUR (€)Fully-AutomatedOldPET Bottle1Small-scaleLow</v>
      </c>
      <c r="B1132" t="s">
        <v>130</v>
      </c>
      <c r="C1132" t="s">
        <v>130</v>
      </c>
      <c r="D1132" t="s">
        <v>15</v>
      </c>
      <c r="E1132" s="12" t="s">
        <v>182</v>
      </c>
      <c r="F1132" t="s">
        <v>187</v>
      </c>
      <c r="G1132" t="s">
        <v>12</v>
      </c>
      <c r="H1132" t="s">
        <v>72</v>
      </c>
      <c r="I1132" t="s">
        <v>175</v>
      </c>
      <c r="J1132" s="12">
        <v>1</v>
      </c>
      <c r="K1132" t="s">
        <v>60</v>
      </c>
      <c r="L1132" t="s">
        <v>13</v>
      </c>
      <c r="M1132" t="s">
        <v>200</v>
      </c>
      <c r="O1132" t="s">
        <v>205</v>
      </c>
      <c r="P1132">
        <v>8</v>
      </c>
      <c r="Q1132" t="s">
        <v>202</v>
      </c>
      <c r="R1132" s="6">
        <v>0.89607713585828042</v>
      </c>
      <c r="S1132" s="6">
        <v>20.873276028235175</v>
      </c>
      <c r="T1132" s="6">
        <v>7.6749667152071641</v>
      </c>
      <c r="U1132" s="6">
        <v>74.508069999735369</v>
      </c>
      <c r="V1132" s="6">
        <v>0.13150347665058357</v>
      </c>
      <c r="W1132" s="6">
        <v>5.6783691168112904</v>
      </c>
      <c r="X1132" s="6">
        <v>3.0978034895814659</v>
      </c>
      <c r="Y1132" s="6">
        <v>29.776907871640482</v>
      </c>
    </row>
    <row r="1133" spans="1:25" x14ac:dyDescent="0.25">
      <c r="A1133" t="str">
        <f t="shared" si="17"/>
        <v>RTD Ice TeaFranceDecemberEUR (€)Fully-AutomatedOldPET Bottle1Small-scaleMedium</v>
      </c>
      <c r="B1133" t="s">
        <v>130</v>
      </c>
      <c r="C1133" t="s">
        <v>130</v>
      </c>
      <c r="D1133" t="s">
        <v>15</v>
      </c>
      <c r="E1133" s="12" t="s">
        <v>182</v>
      </c>
      <c r="F1133" t="s">
        <v>187</v>
      </c>
      <c r="G1133" t="s">
        <v>12</v>
      </c>
      <c r="H1133" t="s">
        <v>72</v>
      </c>
      <c r="I1133" t="s">
        <v>175</v>
      </c>
      <c r="J1133" s="12">
        <v>1</v>
      </c>
      <c r="K1133" t="s">
        <v>60</v>
      </c>
      <c r="L1133" t="s">
        <v>63</v>
      </c>
      <c r="M1133" t="s">
        <v>200</v>
      </c>
      <c r="O1133" t="s">
        <v>205</v>
      </c>
      <c r="P1133">
        <v>8</v>
      </c>
      <c r="Q1133" t="s">
        <v>202</v>
      </c>
      <c r="R1133" s="6">
        <v>0.93020688324884127</v>
      </c>
      <c r="S1133" s="6">
        <v>21.669151328254358</v>
      </c>
      <c r="T1133" s="6">
        <v>7.9669493639129847</v>
      </c>
      <c r="U1133" s="6">
        <v>77.343678420226126</v>
      </c>
      <c r="V1133" s="6">
        <v>0.13621521357951694</v>
      </c>
      <c r="W1133" s="6">
        <v>5.8800848030595745</v>
      </c>
      <c r="X1133" s="6">
        <v>3.2084559704602027</v>
      </c>
      <c r="Y1133" s="6">
        <v>30.839814329149345</v>
      </c>
    </row>
    <row r="1134" spans="1:25" x14ac:dyDescent="0.25">
      <c r="A1134" t="str">
        <f t="shared" si="17"/>
        <v>RTD Ice TeaFranceDecemberEUR (€)Fully-AutomatedOldPET Bottle1Small-scaleHigh</v>
      </c>
      <c r="B1134" t="s">
        <v>130</v>
      </c>
      <c r="C1134" t="s">
        <v>130</v>
      </c>
      <c r="D1134" t="s">
        <v>15</v>
      </c>
      <c r="E1134" s="12" t="s">
        <v>182</v>
      </c>
      <c r="F1134" t="s">
        <v>187</v>
      </c>
      <c r="G1134" t="s">
        <v>12</v>
      </c>
      <c r="H1134" t="s">
        <v>72</v>
      </c>
      <c r="I1134" t="s">
        <v>175</v>
      </c>
      <c r="J1134" s="12">
        <v>1</v>
      </c>
      <c r="K1134" t="s">
        <v>60</v>
      </c>
      <c r="L1134" t="s">
        <v>11</v>
      </c>
      <c r="M1134" t="s">
        <v>200</v>
      </c>
      <c r="O1134" t="s">
        <v>205</v>
      </c>
      <c r="P1134">
        <v>8</v>
      </c>
      <c r="Q1134" t="s">
        <v>202</v>
      </c>
      <c r="R1134" s="6">
        <v>0.96706701043064658</v>
      </c>
      <c r="S1134" s="6">
        <v>22.52869665227508</v>
      </c>
      <c r="T1134" s="6">
        <v>8.2822906245152694</v>
      </c>
      <c r="U1134" s="6">
        <v>80.40613551435618</v>
      </c>
      <c r="V1134" s="6">
        <v>0.14130388946276493</v>
      </c>
      <c r="W1134" s="6">
        <v>6.0979377442077167</v>
      </c>
      <c r="X1134" s="6">
        <v>3.3279606498092384</v>
      </c>
      <c r="Y1134" s="6">
        <v>31.987753303258916</v>
      </c>
    </row>
    <row r="1135" spans="1:25" x14ac:dyDescent="0.25">
      <c r="A1135" t="str">
        <f t="shared" si="17"/>
        <v>RTD Ice TeaFranceDecemberEUR (€)Fully-AutomatedOldPET Bottle1High-scaleLow</v>
      </c>
      <c r="B1135" t="s">
        <v>130</v>
      </c>
      <c r="C1135" t="s">
        <v>130</v>
      </c>
      <c r="D1135" t="s">
        <v>15</v>
      </c>
      <c r="E1135" s="12" t="s">
        <v>182</v>
      </c>
      <c r="F1135" t="s">
        <v>187</v>
      </c>
      <c r="G1135" t="s">
        <v>12</v>
      </c>
      <c r="H1135" t="s">
        <v>72</v>
      </c>
      <c r="I1135" t="s">
        <v>175</v>
      </c>
      <c r="J1135" s="12">
        <v>1</v>
      </c>
      <c r="K1135" t="s">
        <v>107</v>
      </c>
      <c r="L1135" t="s">
        <v>13</v>
      </c>
      <c r="M1135" t="s">
        <v>199</v>
      </c>
      <c r="O1135" t="s">
        <v>205</v>
      </c>
      <c r="P1135">
        <v>12</v>
      </c>
      <c r="Q1135" t="s">
        <v>203</v>
      </c>
      <c r="R1135" s="6">
        <v>0.892595654376799</v>
      </c>
      <c r="S1135" s="6">
        <v>20.801068737140625</v>
      </c>
      <c r="T1135" s="6">
        <v>7.6415995756648325</v>
      </c>
      <c r="U1135" s="6">
        <v>74.195169572945233</v>
      </c>
      <c r="V1135" s="6">
        <v>0.13854685181004675</v>
      </c>
      <c r="W1135" s="6">
        <v>4.40984242932924</v>
      </c>
      <c r="X1135" s="6">
        <v>2.9814099998418793</v>
      </c>
      <c r="Y1135" s="6">
        <v>27.980029638686606</v>
      </c>
    </row>
    <row r="1136" spans="1:25" x14ac:dyDescent="0.25">
      <c r="A1136" t="str">
        <f t="shared" si="17"/>
        <v>RTD Ice TeaFranceDecemberEUR (€)Fully-AutomatedOldPET Bottle1High-scaleMedium</v>
      </c>
      <c r="B1136" t="s">
        <v>130</v>
      </c>
      <c r="C1136" t="s">
        <v>130</v>
      </c>
      <c r="D1136" t="s">
        <v>15</v>
      </c>
      <c r="E1136" s="12" t="s">
        <v>182</v>
      </c>
      <c r="F1136" t="s">
        <v>187</v>
      </c>
      <c r="G1136" t="s">
        <v>12</v>
      </c>
      <c r="H1136" t="s">
        <v>72</v>
      </c>
      <c r="I1136" t="s">
        <v>175</v>
      </c>
      <c r="J1136" s="12">
        <v>1</v>
      </c>
      <c r="K1136" t="s">
        <v>107</v>
      </c>
      <c r="L1136" t="s">
        <v>63</v>
      </c>
      <c r="M1136" t="s">
        <v>199</v>
      </c>
      <c r="O1136" t="s">
        <v>205</v>
      </c>
      <c r="P1136">
        <v>12</v>
      </c>
      <c r="Q1136" t="s">
        <v>203</v>
      </c>
      <c r="R1136" s="6">
        <v>0.92672540176735962</v>
      </c>
      <c r="S1136" s="6">
        <v>21.596944037159815</v>
      </c>
      <c r="T1136" s="6">
        <v>7.9335822243706549</v>
      </c>
      <c r="U1136" s="6">
        <v>77.030777993436004</v>
      </c>
      <c r="V1136" s="6">
        <v>0.14352913165821871</v>
      </c>
      <c r="W1136" s="6">
        <v>4.566453281392044</v>
      </c>
      <c r="X1136" s="6">
        <v>3.0883193641131408</v>
      </c>
      <c r="Y1136" s="6">
        <v>28.98237707278448</v>
      </c>
    </row>
    <row r="1137" spans="1:25" x14ac:dyDescent="0.25">
      <c r="A1137" t="str">
        <f t="shared" si="17"/>
        <v>RTD Ice TeaFranceDecemberEUR (€)Fully-AutomatedOldPET Bottle1High-scaleHigh</v>
      </c>
      <c r="B1137" t="s">
        <v>130</v>
      </c>
      <c r="C1137" t="s">
        <v>130</v>
      </c>
      <c r="D1137" t="s">
        <v>15</v>
      </c>
      <c r="E1137" s="12" t="s">
        <v>182</v>
      </c>
      <c r="F1137" t="s">
        <v>187</v>
      </c>
      <c r="G1137" t="s">
        <v>12</v>
      </c>
      <c r="H1137" t="s">
        <v>72</v>
      </c>
      <c r="I1137" t="s">
        <v>175</v>
      </c>
      <c r="J1137" s="12">
        <v>1</v>
      </c>
      <c r="K1137" t="s">
        <v>107</v>
      </c>
      <c r="L1137" t="s">
        <v>11</v>
      </c>
      <c r="M1137" t="s">
        <v>199</v>
      </c>
      <c r="O1137" t="s">
        <v>205</v>
      </c>
      <c r="P1137">
        <v>12</v>
      </c>
      <c r="Q1137" t="s">
        <v>203</v>
      </c>
      <c r="R1137" s="6">
        <v>0.96358552894916505</v>
      </c>
      <c r="S1137" s="6">
        <v>22.45648936118053</v>
      </c>
      <c r="T1137" s="6">
        <v>8.2489234849729414</v>
      </c>
      <c r="U1137" s="6">
        <v>80.093235087566029</v>
      </c>
      <c r="V1137" s="6">
        <v>0.14890999389424439</v>
      </c>
      <c r="W1137" s="6">
        <v>4.7355930016198702</v>
      </c>
      <c r="X1137" s="6">
        <v>3.2037814775261033</v>
      </c>
      <c r="Y1137" s="6">
        <v>30.064912301610185</v>
      </c>
    </row>
    <row r="1138" spans="1:25" x14ac:dyDescent="0.25">
      <c r="A1138" t="str">
        <f t="shared" si="17"/>
        <v>RTD Ice TeaFranceDecemberEUR (€)Fully-AutomatedOldPET Bottle1Medium-scaleLow</v>
      </c>
      <c r="B1138" t="s">
        <v>130</v>
      </c>
      <c r="C1138" t="s">
        <v>130</v>
      </c>
      <c r="D1138" t="s">
        <v>15</v>
      </c>
      <c r="E1138" s="12" t="s">
        <v>182</v>
      </c>
      <c r="F1138" t="s">
        <v>187</v>
      </c>
      <c r="G1138" t="s">
        <v>12</v>
      </c>
      <c r="H1138" t="s">
        <v>72</v>
      </c>
      <c r="I1138" t="s">
        <v>175</v>
      </c>
      <c r="J1138" s="12">
        <v>1</v>
      </c>
      <c r="K1138" t="s">
        <v>62</v>
      </c>
      <c r="L1138" t="s">
        <v>13</v>
      </c>
      <c r="M1138" t="s">
        <v>199</v>
      </c>
      <c r="O1138" t="s">
        <v>205</v>
      </c>
      <c r="P1138">
        <v>12</v>
      </c>
      <c r="Q1138" t="s">
        <v>203</v>
      </c>
      <c r="R1138" s="6">
        <v>0.89390120993235456</v>
      </c>
      <c r="S1138" s="6">
        <v>20.828146471301082</v>
      </c>
      <c r="T1138" s="6">
        <v>7.6541122529932064</v>
      </c>
      <c r="U1138" s="6">
        <v>74.312507232991535</v>
      </c>
      <c r="V1138" s="6">
        <v>0.13963397302216796</v>
      </c>
      <c r="W1138" s="6">
        <v>4.4457964195214732</v>
      </c>
      <c r="X1138" s="6">
        <v>3.0055015256674404</v>
      </c>
      <c r="Y1138" s="6">
        <v>28.206311405719944</v>
      </c>
    </row>
    <row r="1139" spans="1:25" x14ac:dyDescent="0.25">
      <c r="A1139" t="str">
        <f t="shared" si="17"/>
        <v>RTD Ice TeaFranceDecemberEUR (€)Fully-AutomatedOldPET Bottle1Medium-scaleMedium</v>
      </c>
      <c r="B1139" t="s">
        <v>130</v>
      </c>
      <c r="C1139" t="s">
        <v>130</v>
      </c>
      <c r="D1139" t="s">
        <v>15</v>
      </c>
      <c r="E1139" s="12" t="s">
        <v>182</v>
      </c>
      <c r="F1139" t="s">
        <v>187</v>
      </c>
      <c r="G1139" t="s">
        <v>12</v>
      </c>
      <c r="H1139" t="s">
        <v>72</v>
      </c>
      <c r="I1139" t="s">
        <v>175</v>
      </c>
      <c r="J1139" s="12">
        <v>1</v>
      </c>
      <c r="K1139" t="s">
        <v>62</v>
      </c>
      <c r="L1139" t="s">
        <v>63</v>
      </c>
      <c r="M1139" t="s">
        <v>199</v>
      </c>
      <c r="O1139" t="s">
        <v>205</v>
      </c>
      <c r="P1139">
        <v>12</v>
      </c>
      <c r="Q1139" t="s">
        <v>203</v>
      </c>
      <c r="R1139" s="6">
        <v>0.9280309573229153</v>
      </c>
      <c r="S1139" s="6">
        <v>21.624021771320269</v>
      </c>
      <c r="T1139" s="6">
        <v>7.9460949016990279</v>
      </c>
      <c r="U1139" s="6">
        <v>77.148115653482321</v>
      </c>
      <c r="V1139" s="6">
        <v>0.14461625287033994</v>
      </c>
      <c r="W1139" s="6">
        <v>4.6024072715842745</v>
      </c>
      <c r="X1139" s="6">
        <v>3.112410889938702</v>
      </c>
      <c r="Y1139" s="6">
        <v>29.208658839817822</v>
      </c>
    </row>
    <row r="1140" spans="1:25" x14ac:dyDescent="0.25">
      <c r="A1140" t="str">
        <f t="shared" si="17"/>
        <v>RTD Ice TeaFranceDecemberEUR (€)Fully-AutomatedOldPET Bottle1Medium-scaleHigh</v>
      </c>
      <c r="B1140" t="s">
        <v>130</v>
      </c>
      <c r="C1140" t="s">
        <v>130</v>
      </c>
      <c r="D1140" t="s">
        <v>15</v>
      </c>
      <c r="E1140" s="12" t="s">
        <v>182</v>
      </c>
      <c r="F1140" t="s">
        <v>187</v>
      </c>
      <c r="G1140" t="s">
        <v>12</v>
      </c>
      <c r="H1140" t="s">
        <v>72</v>
      </c>
      <c r="I1140" t="s">
        <v>175</v>
      </c>
      <c r="J1140" s="12">
        <v>1</v>
      </c>
      <c r="K1140" t="s">
        <v>62</v>
      </c>
      <c r="L1140" t="s">
        <v>11</v>
      </c>
      <c r="M1140" t="s">
        <v>199</v>
      </c>
      <c r="O1140" t="s">
        <v>205</v>
      </c>
      <c r="P1140">
        <v>12</v>
      </c>
      <c r="Q1140" t="s">
        <v>203</v>
      </c>
      <c r="R1140" s="6">
        <v>0.96489108450472072</v>
      </c>
      <c r="S1140" s="6">
        <v>22.483567095340984</v>
      </c>
      <c r="T1140" s="6">
        <v>8.2614361623013135</v>
      </c>
      <c r="U1140" s="6">
        <v>80.210572747612346</v>
      </c>
      <c r="V1140" s="6">
        <v>0.14999711510636562</v>
      </c>
      <c r="W1140" s="6">
        <v>4.7715469918121025</v>
      </c>
      <c r="X1140" s="6">
        <v>3.2278730033516649</v>
      </c>
      <c r="Y1140" s="6">
        <v>30.29119406864352</v>
      </c>
    </row>
    <row r="1141" spans="1:25" x14ac:dyDescent="0.25">
      <c r="A1141" t="str">
        <f t="shared" si="17"/>
        <v>RTD Ice TeaFranceDecemberEUR (€)Fully-AutomatedOldPET Bottle1Small-scaleLow</v>
      </c>
      <c r="B1141" t="s">
        <v>130</v>
      </c>
      <c r="C1141" t="s">
        <v>130</v>
      </c>
      <c r="D1141" t="s">
        <v>15</v>
      </c>
      <c r="E1141" s="12" t="s">
        <v>182</v>
      </c>
      <c r="F1141" t="s">
        <v>187</v>
      </c>
      <c r="G1141" t="s">
        <v>12</v>
      </c>
      <c r="H1141" t="s">
        <v>72</v>
      </c>
      <c r="I1141" t="s">
        <v>175</v>
      </c>
      <c r="J1141" s="12">
        <v>1</v>
      </c>
      <c r="K1141" t="s">
        <v>60</v>
      </c>
      <c r="L1141" t="s">
        <v>13</v>
      </c>
      <c r="M1141" t="s">
        <v>199</v>
      </c>
      <c r="O1141" t="s">
        <v>205</v>
      </c>
      <c r="P1141">
        <v>12</v>
      </c>
      <c r="Q1141" t="s">
        <v>203</v>
      </c>
      <c r="R1141" s="6">
        <v>0.89607713585828042</v>
      </c>
      <c r="S1141" s="6">
        <v>20.873276028235175</v>
      </c>
      <c r="T1141" s="6">
        <v>7.6749667152071641</v>
      </c>
      <c r="U1141" s="6">
        <v>74.508069999735369</v>
      </c>
      <c r="V1141" s="6">
        <v>0.14144584170903665</v>
      </c>
      <c r="W1141" s="6">
        <v>4.5057197365085262</v>
      </c>
      <c r="X1141" s="6">
        <v>3.0456540687100424</v>
      </c>
      <c r="Y1141" s="6">
        <v>28.583447684108847</v>
      </c>
    </row>
    <row r="1142" spans="1:25" x14ac:dyDescent="0.25">
      <c r="A1142" t="str">
        <f t="shared" si="17"/>
        <v>RTD Ice TeaFranceDecemberEUR (€)Fully-AutomatedOldPET Bottle1Small-scaleMedium</v>
      </c>
      <c r="B1142" t="s">
        <v>130</v>
      </c>
      <c r="C1142" t="s">
        <v>130</v>
      </c>
      <c r="D1142" t="s">
        <v>15</v>
      </c>
      <c r="E1142" s="12" t="s">
        <v>182</v>
      </c>
      <c r="F1142" t="s">
        <v>187</v>
      </c>
      <c r="G1142" t="s">
        <v>12</v>
      </c>
      <c r="H1142" t="s">
        <v>72</v>
      </c>
      <c r="I1142" t="s">
        <v>175</v>
      </c>
      <c r="J1142" s="12">
        <v>1</v>
      </c>
      <c r="K1142" t="s">
        <v>60</v>
      </c>
      <c r="L1142" t="s">
        <v>63</v>
      </c>
      <c r="M1142" t="s">
        <v>199</v>
      </c>
      <c r="O1142" t="s">
        <v>205</v>
      </c>
      <c r="P1142">
        <v>12</v>
      </c>
      <c r="Q1142" t="s">
        <v>203</v>
      </c>
      <c r="R1142" s="6">
        <v>0.93020688324884127</v>
      </c>
      <c r="S1142" s="6">
        <v>21.669151328254358</v>
      </c>
      <c r="T1142" s="6">
        <v>7.9669493639129847</v>
      </c>
      <c r="U1142" s="6">
        <v>77.343678420226126</v>
      </c>
      <c r="V1142" s="6">
        <v>0.14642812155720863</v>
      </c>
      <c r="W1142" s="6">
        <v>4.6623305885713293</v>
      </c>
      <c r="X1142" s="6">
        <v>3.1525634329813044</v>
      </c>
      <c r="Y1142" s="6">
        <v>29.585795118206718</v>
      </c>
    </row>
    <row r="1143" spans="1:25" x14ac:dyDescent="0.25">
      <c r="A1143" t="str">
        <f t="shared" si="17"/>
        <v>RTD Ice TeaFranceDecemberEUR (€)Fully-AutomatedOldPET Bottle1Small-scaleHigh</v>
      </c>
      <c r="B1143" t="s">
        <v>130</v>
      </c>
      <c r="C1143" t="s">
        <v>130</v>
      </c>
      <c r="D1143" t="s">
        <v>15</v>
      </c>
      <c r="E1143" s="12" t="s">
        <v>182</v>
      </c>
      <c r="F1143" t="s">
        <v>187</v>
      </c>
      <c r="G1143" t="s">
        <v>12</v>
      </c>
      <c r="H1143" t="s">
        <v>72</v>
      </c>
      <c r="I1143" t="s">
        <v>175</v>
      </c>
      <c r="J1143" s="12">
        <v>1</v>
      </c>
      <c r="K1143" t="s">
        <v>60</v>
      </c>
      <c r="L1143" t="s">
        <v>11</v>
      </c>
      <c r="M1143" t="s">
        <v>199</v>
      </c>
      <c r="O1143" t="s">
        <v>205</v>
      </c>
      <c r="P1143">
        <v>12</v>
      </c>
      <c r="Q1143" t="s">
        <v>203</v>
      </c>
      <c r="R1143" s="6">
        <v>0.96706701043064658</v>
      </c>
      <c r="S1143" s="6">
        <v>22.52869665227508</v>
      </c>
      <c r="T1143" s="6">
        <v>8.2822906245152694</v>
      </c>
      <c r="U1143" s="6">
        <v>80.40613551435618</v>
      </c>
      <c r="V1143" s="6">
        <v>0.15180898379323429</v>
      </c>
      <c r="W1143" s="6">
        <v>4.8314703087991564</v>
      </c>
      <c r="X1143" s="6">
        <v>3.2680255463942669</v>
      </c>
      <c r="Y1143" s="6">
        <v>30.668330347032423</v>
      </c>
    </row>
    <row r="1144" spans="1:25" x14ac:dyDescent="0.25">
      <c r="A1144" t="str">
        <f t="shared" si="17"/>
        <v>RTD Ice TeaFranceDecemberEUR (€)Fully-AutomatedOldPET Bottle1High-scaleLow</v>
      </c>
      <c r="B1144" t="s">
        <v>130</v>
      </c>
      <c r="C1144" t="s">
        <v>130</v>
      </c>
      <c r="D1144" t="s">
        <v>15</v>
      </c>
      <c r="E1144" s="12" t="s">
        <v>182</v>
      </c>
      <c r="F1144" t="s">
        <v>187</v>
      </c>
      <c r="G1144" t="s">
        <v>12</v>
      </c>
      <c r="H1144" t="s">
        <v>72</v>
      </c>
      <c r="I1144" t="s">
        <v>175</v>
      </c>
      <c r="J1144" s="12">
        <v>1</v>
      </c>
      <c r="K1144" t="s">
        <v>107</v>
      </c>
      <c r="L1144" t="s">
        <v>13</v>
      </c>
      <c r="M1144" t="s">
        <v>200</v>
      </c>
      <c r="O1144" t="s">
        <v>205</v>
      </c>
      <c r="P1144">
        <v>12</v>
      </c>
      <c r="Q1144" t="s">
        <v>203</v>
      </c>
      <c r="R1144" s="6">
        <v>0.892595654376799</v>
      </c>
      <c r="S1144" s="6">
        <v>20.801068737140625</v>
      </c>
      <c r="T1144" s="6">
        <v>7.6415995756648325</v>
      </c>
      <c r="U1144" s="6">
        <v>74.195169572945233</v>
      </c>
      <c r="V1144" s="6">
        <v>0.12208505530831291</v>
      </c>
      <c r="W1144" s="6">
        <v>5.3821929505236525</v>
      </c>
      <c r="X1144" s="6">
        <v>2.9383142281481534</v>
      </c>
      <c r="Y1144" s="6">
        <v>28.239645789205454</v>
      </c>
    </row>
    <row r="1145" spans="1:25" x14ac:dyDescent="0.25">
      <c r="A1145" t="str">
        <f t="shared" si="17"/>
        <v>RTD Ice TeaFranceDecemberEUR (€)Fully-AutomatedOldPET Bottle1High-scaleMedium</v>
      </c>
      <c r="B1145" t="s">
        <v>130</v>
      </c>
      <c r="C1145" t="s">
        <v>130</v>
      </c>
      <c r="D1145" t="s">
        <v>15</v>
      </c>
      <c r="E1145" s="12" t="s">
        <v>182</v>
      </c>
      <c r="F1145" t="s">
        <v>187</v>
      </c>
      <c r="G1145" t="s">
        <v>12</v>
      </c>
      <c r="H1145" t="s">
        <v>72</v>
      </c>
      <c r="I1145" t="s">
        <v>175</v>
      </c>
      <c r="J1145" s="12">
        <v>1</v>
      </c>
      <c r="K1145" t="s">
        <v>107</v>
      </c>
      <c r="L1145" t="s">
        <v>63</v>
      </c>
      <c r="M1145" t="s">
        <v>200</v>
      </c>
      <c r="O1145" t="s">
        <v>205</v>
      </c>
      <c r="P1145">
        <v>12</v>
      </c>
      <c r="Q1145" t="s">
        <v>203</v>
      </c>
      <c r="R1145" s="6">
        <v>0.92672540176735962</v>
      </c>
      <c r="S1145" s="6">
        <v>21.596944037159815</v>
      </c>
      <c r="T1145" s="6">
        <v>7.9335822243706549</v>
      </c>
      <c r="U1145" s="6">
        <v>77.030777993436004</v>
      </c>
      <c r="V1145" s="6">
        <v>0.12653568486368313</v>
      </c>
      <c r="W1145" s="6">
        <v>5.5769408739911475</v>
      </c>
      <c r="X1145" s="6">
        <v>3.045303432389769</v>
      </c>
      <c r="Y1145" s="6">
        <v>29.267106860031134</v>
      </c>
    </row>
    <row r="1146" spans="1:25" x14ac:dyDescent="0.25">
      <c r="A1146" t="str">
        <f t="shared" si="17"/>
        <v>RTD Ice TeaFranceDecemberEUR (€)Fully-AutomatedOldPET Bottle1High-scaleHigh</v>
      </c>
      <c r="B1146" t="s">
        <v>130</v>
      </c>
      <c r="C1146" t="s">
        <v>130</v>
      </c>
      <c r="D1146" t="s">
        <v>15</v>
      </c>
      <c r="E1146" s="12" t="s">
        <v>182</v>
      </c>
      <c r="F1146" t="s">
        <v>187</v>
      </c>
      <c r="G1146" t="s">
        <v>12</v>
      </c>
      <c r="H1146" t="s">
        <v>72</v>
      </c>
      <c r="I1146" t="s">
        <v>175</v>
      </c>
      <c r="J1146" s="12">
        <v>1</v>
      </c>
      <c r="K1146" t="s">
        <v>107</v>
      </c>
      <c r="L1146" t="s">
        <v>11</v>
      </c>
      <c r="M1146" t="s">
        <v>200</v>
      </c>
      <c r="O1146" t="s">
        <v>205</v>
      </c>
      <c r="P1146">
        <v>12</v>
      </c>
      <c r="Q1146" t="s">
        <v>203</v>
      </c>
      <c r="R1146" s="6">
        <v>0.96358552894916505</v>
      </c>
      <c r="S1146" s="6">
        <v>22.45648936118053</v>
      </c>
      <c r="T1146" s="6">
        <v>8.2489234849729414</v>
      </c>
      <c r="U1146" s="6">
        <v>80.093235087566029</v>
      </c>
      <c r="V1146" s="6">
        <v>0.13134236478348296</v>
      </c>
      <c r="W1146" s="6">
        <v>5.7872686313360413</v>
      </c>
      <c r="X1146" s="6">
        <v>3.1608517729707142</v>
      </c>
      <c r="Y1146" s="6">
        <v>30.376764816522872</v>
      </c>
    </row>
    <row r="1147" spans="1:25" x14ac:dyDescent="0.25">
      <c r="A1147" t="str">
        <f t="shared" si="17"/>
        <v>RTD Ice TeaFranceDecemberEUR (€)Fully-AutomatedOldPET Bottle1Medium-scaleLow</v>
      </c>
      <c r="B1147" t="s">
        <v>130</v>
      </c>
      <c r="C1147" t="s">
        <v>130</v>
      </c>
      <c r="D1147" t="s">
        <v>15</v>
      </c>
      <c r="E1147" s="12" t="s">
        <v>182</v>
      </c>
      <c r="F1147" t="s">
        <v>187</v>
      </c>
      <c r="G1147" t="s">
        <v>12</v>
      </c>
      <c r="H1147" t="s">
        <v>72</v>
      </c>
      <c r="I1147" t="s">
        <v>175</v>
      </c>
      <c r="J1147" s="12">
        <v>1</v>
      </c>
      <c r="K1147" t="s">
        <v>62</v>
      </c>
      <c r="L1147" t="s">
        <v>13</v>
      </c>
      <c r="M1147" t="s">
        <v>200</v>
      </c>
      <c r="O1147" t="s">
        <v>205</v>
      </c>
      <c r="P1147">
        <v>12</v>
      </c>
      <c r="Q1147" t="s">
        <v>203</v>
      </c>
      <c r="R1147" s="6">
        <v>0.89390120993235456</v>
      </c>
      <c r="S1147" s="6">
        <v>20.828146471301082</v>
      </c>
      <c r="T1147" s="6">
        <v>7.6541122529932064</v>
      </c>
      <c r="U1147" s="6">
        <v>74.312507232991535</v>
      </c>
      <c r="V1147" s="6">
        <v>0.12307116641942402</v>
      </c>
      <c r="W1147" s="6">
        <v>5.4253233257688462</v>
      </c>
      <c r="X1147" s="6">
        <v>2.962405753973715</v>
      </c>
      <c r="Y1147" s="6">
        <v>28.470526549957558</v>
      </c>
    </row>
    <row r="1148" spans="1:25" x14ac:dyDescent="0.25">
      <c r="A1148" t="str">
        <f t="shared" si="17"/>
        <v>RTD Ice TeaFranceDecemberEUR (€)Fully-AutomatedOldPET Bottle1Medium-scaleMedium</v>
      </c>
      <c r="B1148" t="s">
        <v>130</v>
      </c>
      <c r="C1148" t="s">
        <v>130</v>
      </c>
      <c r="D1148" t="s">
        <v>15</v>
      </c>
      <c r="E1148" s="12" t="s">
        <v>182</v>
      </c>
      <c r="F1148" t="s">
        <v>187</v>
      </c>
      <c r="G1148" t="s">
        <v>12</v>
      </c>
      <c r="H1148" t="s">
        <v>72</v>
      </c>
      <c r="I1148" t="s">
        <v>175</v>
      </c>
      <c r="J1148" s="12">
        <v>1</v>
      </c>
      <c r="K1148" t="s">
        <v>62</v>
      </c>
      <c r="L1148" t="s">
        <v>63</v>
      </c>
      <c r="M1148" t="s">
        <v>200</v>
      </c>
      <c r="O1148" t="s">
        <v>205</v>
      </c>
      <c r="P1148">
        <v>12</v>
      </c>
      <c r="Q1148" t="s">
        <v>203</v>
      </c>
      <c r="R1148" s="6">
        <v>0.9280309573229153</v>
      </c>
      <c r="S1148" s="6">
        <v>21.624021771320269</v>
      </c>
      <c r="T1148" s="6">
        <v>7.9460949016990279</v>
      </c>
      <c r="U1148" s="6">
        <v>77.148115653482321</v>
      </c>
      <c r="V1148" s="6">
        <v>0.12752179597479424</v>
      </c>
      <c r="W1148" s="6">
        <v>5.6200712492363412</v>
      </c>
      <c r="X1148" s="6">
        <v>3.0693949582153301</v>
      </c>
      <c r="Y1148" s="6">
        <v>29.497987620783245</v>
      </c>
    </row>
    <row r="1149" spans="1:25" x14ac:dyDescent="0.25">
      <c r="A1149" t="str">
        <f t="shared" si="17"/>
        <v>RTD Ice TeaFranceDecemberEUR (€)Fully-AutomatedOldPET Bottle1Medium-scaleHigh</v>
      </c>
      <c r="B1149" t="s">
        <v>130</v>
      </c>
      <c r="C1149" t="s">
        <v>130</v>
      </c>
      <c r="D1149" t="s">
        <v>15</v>
      </c>
      <c r="E1149" s="12" t="s">
        <v>182</v>
      </c>
      <c r="F1149" t="s">
        <v>187</v>
      </c>
      <c r="G1149" t="s">
        <v>12</v>
      </c>
      <c r="H1149" t="s">
        <v>72</v>
      </c>
      <c r="I1149" t="s">
        <v>175</v>
      </c>
      <c r="J1149" s="12">
        <v>1</v>
      </c>
      <c r="K1149" t="s">
        <v>62</v>
      </c>
      <c r="L1149" t="s">
        <v>11</v>
      </c>
      <c r="M1149" t="s">
        <v>200</v>
      </c>
      <c r="O1149" t="s">
        <v>205</v>
      </c>
      <c r="P1149">
        <v>12</v>
      </c>
      <c r="Q1149" t="s">
        <v>203</v>
      </c>
      <c r="R1149" s="6">
        <v>0.96489108450472072</v>
      </c>
      <c r="S1149" s="6">
        <v>22.483567095340984</v>
      </c>
      <c r="T1149" s="6">
        <v>8.2614361623013135</v>
      </c>
      <c r="U1149" s="6">
        <v>80.210572747612346</v>
      </c>
      <c r="V1149" s="6">
        <v>0.13232847589459409</v>
      </c>
      <c r="W1149" s="6">
        <v>5.830399006581235</v>
      </c>
      <c r="X1149" s="6">
        <v>3.1849432987962754</v>
      </c>
      <c r="Y1149" s="6">
        <v>30.60764557727498</v>
      </c>
    </row>
    <row r="1150" spans="1:25" x14ac:dyDescent="0.25">
      <c r="A1150" t="str">
        <f t="shared" si="17"/>
        <v>RTD Ice TeaFranceDecemberEUR (€)Fully-AutomatedOldPET Bottle1Small-scaleLow</v>
      </c>
      <c r="B1150" t="s">
        <v>130</v>
      </c>
      <c r="C1150" t="s">
        <v>130</v>
      </c>
      <c r="D1150" t="s">
        <v>15</v>
      </c>
      <c r="E1150" s="12" t="s">
        <v>182</v>
      </c>
      <c r="F1150" t="s">
        <v>187</v>
      </c>
      <c r="G1150" t="s">
        <v>12</v>
      </c>
      <c r="H1150" t="s">
        <v>72</v>
      </c>
      <c r="I1150" t="s">
        <v>175</v>
      </c>
      <c r="J1150" s="12">
        <v>1</v>
      </c>
      <c r="K1150" t="s">
        <v>60</v>
      </c>
      <c r="L1150" t="s">
        <v>13</v>
      </c>
      <c r="M1150" t="s">
        <v>200</v>
      </c>
      <c r="O1150" t="s">
        <v>205</v>
      </c>
      <c r="P1150">
        <v>12</v>
      </c>
      <c r="Q1150" t="s">
        <v>203</v>
      </c>
      <c r="R1150" s="6">
        <v>0.89607713585828042</v>
      </c>
      <c r="S1150" s="6">
        <v>20.873276028235175</v>
      </c>
      <c r="T1150" s="6">
        <v>7.6749667152071641</v>
      </c>
      <c r="U1150" s="6">
        <v>74.508069999735369</v>
      </c>
      <c r="V1150" s="6">
        <v>0.12471468493794254</v>
      </c>
      <c r="W1150" s="6">
        <v>5.4972072845108357</v>
      </c>
      <c r="X1150" s="6">
        <v>3.0025582970163169</v>
      </c>
      <c r="Y1150" s="6">
        <v>28.855327817877736</v>
      </c>
    </row>
    <row r="1151" spans="1:25" x14ac:dyDescent="0.25">
      <c r="A1151" t="str">
        <f t="shared" si="17"/>
        <v>RTD Ice TeaFranceDecemberEUR (€)Fully-AutomatedOldPET Bottle1Small-scaleMedium</v>
      </c>
      <c r="B1151" t="s">
        <v>130</v>
      </c>
      <c r="C1151" t="s">
        <v>130</v>
      </c>
      <c r="D1151" t="s">
        <v>15</v>
      </c>
      <c r="E1151" s="12" t="s">
        <v>182</v>
      </c>
      <c r="F1151" t="s">
        <v>187</v>
      </c>
      <c r="G1151" t="s">
        <v>12</v>
      </c>
      <c r="H1151" t="s">
        <v>72</v>
      </c>
      <c r="I1151" t="s">
        <v>175</v>
      </c>
      <c r="J1151" s="12">
        <v>1</v>
      </c>
      <c r="K1151" t="s">
        <v>60</v>
      </c>
      <c r="L1151" t="s">
        <v>63</v>
      </c>
      <c r="M1151" t="s">
        <v>200</v>
      </c>
      <c r="O1151" t="s">
        <v>205</v>
      </c>
      <c r="P1151">
        <v>12</v>
      </c>
      <c r="Q1151" t="s">
        <v>203</v>
      </c>
      <c r="R1151" s="6">
        <v>0.93020688324884127</v>
      </c>
      <c r="S1151" s="6">
        <v>21.669151328254358</v>
      </c>
      <c r="T1151" s="6">
        <v>7.9669493639129847</v>
      </c>
      <c r="U1151" s="6">
        <v>77.343678420226126</v>
      </c>
      <c r="V1151" s="6">
        <v>0.12916531449331278</v>
      </c>
      <c r="W1151" s="6">
        <v>5.6919552079783324</v>
      </c>
      <c r="X1151" s="6">
        <v>3.1095475012579326</v>
      </c>
      <c r="Y1151" s="6">
        <v>29.882788888703423</v>
      </c>
    </row>
    <row r="1152" spans="1:25" x14ac:dyDescent="0.25">
      <c r="A1152" t="str">
        <f t="shared" si="17"/>
        <v>RTD Ice TeaFranceDecemberEUR (€)Fully-AutomatedOldPET Bottle1Small-scaleHigh</v>
      </c>
      <c r="B1152" t="s">
        <v>130</v>
      </c>
      <c r="C1152" t="s">
        <v>130</v>
      </c>
      <c r="D1152" t="s">
        <v>15</v>
      </c>
      <c r="E1152" s="12" t="s">
        <v>182</v>
      </c>
      <c r="F1152" t="s">
        <v>187</v>
      </c>
      <c r="G1152" t="s">
        <v>12</v>
      </c>
      <c r="H1152" t="s">
        <v>72</v>
      </c>
      <c r="I1152" t="s">
        <v>175</v>
      </c>
      <c r="J1152" s="12">
        <v>1</v>
      </c>
      <c r="K1152" t="s">
        <v>60</v>
      </c>
      <c r="L1152" t="s">
        <v>11</v>
      </c>
      <c r="M1152" t="s">
        <v>200</v>
      </c>
      <c r="O1152" t="s">
        <v>205</v>
      </c>
      <c r="P1152">
        <v>12</v>
      </c>
      <c r="Q1152" t="s">
        <v>203</v>
      </c>
      <c r="R1152" s="6">
        <v>0.96706701043064658</v>
      </c>
      <c r="S1152" s="6">
        <v>22.52869665227508</v>
      </c>
      <c r="T1152" s="6">
        <v>8.2822906245152694</v>
      </c>
      <c r="U1152" s="6">
        <v>80.40613551435618</v>
      </c>
      <c r="V1152" s="6">
        <v>0.13397199441311258</v>
      </c>
      <c r="W1152" s="6">
        <v>5.9022829653232263</v>
      </c>
      <c r="X1152" s="6">
        <v>3.2250958418388773</v>
      </c>
      <c r="Y1152" s="6">
        <v>30.992446845195158</v>
      </c>
    </row>
    <row r="1153" spans="1:25" x14ac:dyDescent="0.25">
      <c r="A1153" t="str">
        <f t="shared" si="17"/>
        <v>RTD Ice TeaFranceDecemberEUR (€)Fully-AutomatedOldPET Bottle1High-scaleLow</v>
      </c>
      <c r="B1153" t="s">
        <v>130</v>
      </c>
      <c r="C1153" t="s">
        <v>130</v>
      </c>
      <c r="D1153" t="s">
        <v>15</v>
      </c>
      <c r="E1153" s="12" t="s">
        <v>182</v>
      </c>
      <c r="F1153" t="s">
        <v>187</v>
      </c>
      <c r="G1153" t="s">
        <v>12</v>
      </c>
      <c r="H1153" t="s">
        <v>72</v>
      </c>
      <c r="I1153" t="s">
        <v>175</v>
      </c>
      <c r="J1153" s="12">
        <v>1</v>
      </c>
      <c r="K1153" t="s">
        <v>107</v>
      </c>
      <c r="L1153" t="s">
        <v>13</v>
      </c>
      <c r="M1153" t="s">
        <v>199</v>
      </c>
      <c r="O1153" t="s">
        <v>205</v>
      </c>
      <c r="P1153">
        <v>24</v>
      </c>
      <c r="Q1153" t="s">
        <v>204</v>
      </c>
      <c r="R1153" s="6">
        <v>0.892595654376799</v>
      </c>
      <c r="S1153" s="6">
        <v>20.801068737140625</v>
      </c>
      <c r="T1153" s="6">
        <v>7.6415995756648325</v>
      </c>
      <c r="U1153" s="6">
        <v>74.195169572945233</v>
      </c>
      <c r="V1153" s="6">
        <v>0.11439027376707389</v>
      </c>
      <c r="W1153" s="6">
        <v>3.7313858768391772</v>
      </c>
      <c r="X1153" s="6">
        <v>2.6126029584922117</v>
      </c>
      <c r="Y1153" s="6">
        <v>24.427859078015047</v>
      </c>
    </row>
    <row r="1154" spans="1:25" x14ac:dyDescent="0.25">
      <c r="A1154" t="str">
        <f t="shared" ref="A1154:A1182" si="18">C1154&amp;D1154&amp;E1154&amp;F1154&amp;G1154&amp;H1154&amp;I1154&amp;J1154&amp;K1154&amp;L1154</f>
        <v>RTD Ice TeaFranceDecemberEUR (€)Fully-AutomatedOldPET Bottle1High-scaleMedium</v>
      </c>
      <c r="B1154" t="s">
        <v>130</v>
      </c>
      <c r="C1154" t="s">
        <v>130</v>
      </c>
      <c r="D1154" t="s">
        <v>15</v>
      </c>
      <c r="E1154" s="12" t="s">
        <v>182</v>
      </c>
      <c r="F1154" t="s">
        <v>187</v>
      </c>
      <c r="G1154" t="s">
        <v>12</v>
      </c>
      <c r="H1154" t="s">
        <v>72</v>
      </c>
      <c r="I1154" t="s">
        <v>175</v>
      </c>
      <c r="J1154" s="12">
        <v>1</v>
      </c>
      <c r="K1154" t="s">
        <v>107</v>
      </c>
      <c r="L1154" t="s">
        <v>63</v>
      </c>
      <c r="M1154" t="s">
        <v>199</v>
      </c>
      <c r="O1154" t="s">
        <v>205</v>
      </c>
      <c r="P1154">
        <v>24</v>
      </c>
      <c r="Q1154" t="s">
        <v>204</v>
      </c>
      <c r="R1154" s="6">
        <v>0.92672540176735962</v>
      </c>
      <c r="S1154" s="6">
        <v>21.596944037159815</v>
      </c>
      <c r="T1154" s="6">
        <v>7.9335822243706549</v>
      </c>
      <c r="U1154" s="6">
        <v>77.030777993436004</v>
      </c>
      <c r="V1154" s="6">
        <v>0.11847647699276942</v>
      </c>
      <c r="W1154" s="6">
        <v>3.8627834666377869</v>
      </c>
      <c r="X1154" s="6">
        <v>2.7057907351312851</v>
      </c>
      <c r="Y1154" s="6">
        <v>25.298067384009091</v>
      </c>
    </row>
    <row r="1155" spans="1:25" x14ac:dyDescent="0.25">
      <c r="A1155" t="str">
        <f t="shared" si="18"/>
        <v>RTD Ice TeaFranceDecemberEUR (€)Fully-AutomatedOldPET Bottle1High-scaleHigh</v>
      </c>
      <c r="B1155" t="s">
        <v>130</v>
      </c>
      <c r="C1155" t="s">
        <v>130</v>
      </c>
      <c r="D1155" t="s">
        <v>15</v>
      </c>
      <c r="E1155" s="12" t="s">
        <v>182</v>
      </c>
      <c r="F1155" t="s">
        <v>187</v>
      </c>
      <c r="G1155" t="s">
        <v>12</v>
      </c>
      <c r="H1155" t="s">
        <v>72</v>
      </c>
      <c r="I1155" t="s">
        <v>175</v>
      </c>
      <c r="J1155" s="12">
        <v>1</v>
      </c>
      <c r="K1155" t="s">
        <v>107</v>
      </c>
      <c r="L1155" t="s">
        <v>11</v>
      </c>
      <c r="M1155" t="s">
        <v>199</v>
      </c>
      <c r="O1155" t="s">
        <v>205</v>
      </c>
      <c r="P1155">
        <v>24</v>
      </c>
      <c r="Q1155" t="s">
        <v>204</v>
      </c>
      <c r="R1155" s="6">
        <v>0.96358552894916505</v>
      </c>
      <c r="S1155" s="6">
        <v>22.45648936118053</v>
      </c>
      <c r="T1155" s="6">
        <v>8.2489234849729414</v>
      </c>
      <c r="U1155" s="6">
        <v>80.093235087566029</v>
      </c>
      <c r="V1155" s="6">
        <v>0.1228895764765206</v>
      </c>
      <c r="W1155" s="6">
        <v>4.0046928636202859</v>
      </c>
      <c r="X1155" s="6">
        <v>2.8064335339014845</v>
      </c>
      <c r="Y1155" s="6">
        <v>26.237892354482653</v>
      </c>
    </row>
    <row r="1156" spans="1:25" x14ac:dyDescent="0.25">
      <c r="A1156" t="str">
        <f t="shared" si="18"/>
        <v>RTD Ice TeaFranceDecemberEUR (€)Fully-AutomatedOldPET Bottle1Medium-scaleLow</v>
      </c>
      <c r="B1156" t="s">
        <v>130</v>
      </c>
      <c r="C1156" t="s">
        <v>130</v>
      </c>
      <c r="D1156" t="s">
        <v>15</v>
      </c>
      <c r="E1156" s="12" t="s">
        <v>182</v>
      </c>
      <c r="F1156" t="s">
        <v>187</v>
      </c>
      <c r="G1156" t="s">
        <v>12</v>
      </c>
      <c r="H1156" t="s">
        <v>72</v>
      </c>
      <c r="I1156" t="s">
        <v>175</v>
      </c>
      <c r="J1156" s="12">
        <v>1</v>
      </c>
      <c r="K1156" t="s">
        <v>62</v>
      </c>
      <c r="L1156" t="s">
        <v>13</v>
      </c>
      <c r="M1156" t="s">
        <v>199</v>
      </c>
      <c r="O1156" t="s">
        <v>205</v>
      </c>
      <c r="P1156">
        <v>24</v>
      </c>
      <c r="Q1156" t="s">
        <v>204</v>
      </c>
      <c r="R1156" s="6">
        <v>0.89390120993235456</v>
      </c>
      <c r="S1156" s="6">
        <v>20.828146471301082</v>
      </c>
      <c r="T1156" s="6">
        <v>7.6541122529932064</v>
      </c>
      <c r="U1156" s="6">
        <v>74.312507232991535</v>
      </c>
      <c r="V1156" s="6">
        <v>0.11526274851454865</v>
      </c>
      <c r="W1156" s="6">
        <v>3.7616119336261531</v>
      </c>
      <c r="X1156" s="6">
        <v>2.6336830435895777</v>
      </c>
      <c r="Y1156" s="6">
        <v>24.625002537555382</v>
      </c>
    </row>
    <row r="1157" spans="1:25" x14ac:dyDescent="0.25">
      <c r="A1157" t="str">
        <f t="shared" si="18"/>
        <v>RTD Ice TeaFranceDecemberEUR (€)Fully-AutomatedOldPET Bottle1Medium-scaleMedium</v>
      </c>
      <c r="B1157" t="s">
        <v>130</v>
      </c>
      <c r="C1157" t="s">
        <v>130</v>
      </c>
      <c r="D1157" t="s">
        <v>15</v>
      </c>
      <c r="E1157" s="12" t="s">
        <v>182</v>
      </c>
      <c r="F1157" t="s">
        <v>187</v>
      </c>
      <c r="G1157" t="s">
        <v>12</v>
      </c>
      <c r="H1157" t="s">
        <v>72</v>
      </c>
      <c r="I1157" t="s">
        <v>175</v>
      </c>
      <c r="J1157" s="12">
        <v>1</v>
      </c>
      <c r="K1157" t="s">
        <v>62</v>
      </c>
      <c r="L1157" t="s">
        <v>63</v>
      </c>
      <c r="M1157" t="s">
        <v>199</v>
      </c>
      <c r="O1157" t="s">
        <v>205</v>
      </c>
      <c r="P1157">
        <v>24</v>
      </c>
      <c r="Q1157" t="s">
        <v>204</v>
      </c>
      <c r="R1157" s="6">
        <v>0.9280309573229153</v>
      </c>
      <c r="S1157" s="6">
        <v>21.624021771320269</v>
      </c>
      <c r="T1157" s="6">
        <v>7.9460949016990279</v>
      </c>
      <c r="U1157" s="6">
        <v>77.148115653482321</v>
      </c>
      <c r="V1157" s="6">
        <v>0.11934895174024419</v>
      </c>
      <c r="W1157" s="6">
        <v>3.8930095234247624</v>
      </c>
      <c r="X1157" s="6">
        <v>2.7268708202286511</v>
      </c>
      <c r="Y1157" s="6">
        <v>25.495210843549426</v>
      </c>
    </row>
    <row r="1158" spans="1:25" x14ac:dyDescent="0.25">
      <c r="A1158" t="str">
        <f t="shared" si="18"/>
        <v>RTD Ice TeaFranceDecemberEUR (€)Fully-AutomatedOldPET Bottle1Medium-scaleHigh</v>
      </c>
      <c r="B1158" t="s">
        <v>130</v>
      </c>
      <c r="C1158" t="s">
        <v>130</v>
      </c>
      <c r="D1158" t="s">
        <v>15</v>
      </c>
      <c r="E1158" s="12" t="s">
        <v>182</v>
      </c>
      <c r="F1158" t="s">
        <v>187</v>
      </c>
      <c r="G1158" t="s">
        <v>12</v>
      </c>
      <c r="H1158" t="s">
        <v>72</v>
      </c>
      <c r="I1158" t="s">
        <v>175</v>
      </c>
      <c r="J1158" s="12">
        <v>1</v>
      </c>
      <c r="K1158" t="s">
        <v>62</v>
      </c>
      <c r="L1158" t="s">
        <v>11</v>
      </c>
      <c r="M1158" t="s">
        <v>199</v>
      </c>
      <c r="O1158" t="s">
        <v>205</v>
      </c>
      <c r="P1158">
        <v>24</v>
      </c>
      <c r="Q1158" t="s">
        <v>204</v>
      </c>
      <c r="R1158" s="6">
        <v>0.96489108450472072</v>
      </c>
      <c r="S1158" s="6">
        <v>22.483567095340984</v>
      </c>
      <c r="T1158" s="6">
        <v>8.2614361623013135</v>
      </c>
      <c r="U1158" s="6">
        <v>80.210572747612346</v>
      </c>
      <c r="V1158" s="6">
        <v>0.12376205122399535</v>
      </c>
      <c r="W1158" s="6">
        <v>4.0349189204072609</v>
      </c>
      <c r="X1158" s="6">
        <v>2.827513618998851</v>
      </c>
      <c r="Y1158" s="6">
        <v>26.435035814022996</v>
      </c>
    </row>
    <row r="1159" spans="1:25" x14ac:dyDescent="0.25">
      <c r="A1159" t="str">
        <f t="shared" si="18"/>
        <v>RTD Ice TeaFranceDecemberEUR (€)Fully-AutomatedOldPET Bottle1Small-scaleLow</v>
      </c>
      <c r="B1159" t="s">
        <v>130</v>
      </c>
      <c r="C1159" t="s">
        <v>130</v>
      </c>
      <c r="D1159" t="s">
        <v>15</v>
      </c>
      <c r="E1159" s="12" t="s">
        <v>182</v>
      </c>
      <c r="F1159" t="s">
        <v>187</v>
      </c>
      <c r="G1159" t="s">
        <v>12</v>
      </c>
      <c r="H1159" t="s">
        <v>72</v>
      </c>
      <c r="I1159" t="s">
        <v>175</v>
      </c>
      <c r="J1159" s="12">
        <v>1</v>
      </c>
      <c r="K1159" t="s">
        <v>60</v>
      </c>
      <c r="L1159" t="s">
        <v>13</v>
      </c>
      <c r="M1159" t="s">
        <v>199</v>
      </c>
      <c r="O1159" t="s">
        <v>205</v>
      </c>
      <c r="P1159">
        <v>24</v>
      </c>
      <c r="Q1159" t="s">
        <v>204</v>
      </c>
      <c r="R1159" s="6">
        <v>0.89607713585828042</v>
      </c>
      <c r="S1159" s="6">
        <v>20.873276028235175</v>
      </c>
      <c r="T1159" s="6">
        <v>7.6749667152071641</v>
      </c>
      <c r="U1159" s="6">
        <v>74.508069999735369</v>
      </c>
      <c r="V1159" s="6">
        <v>0.11671687309367322</v>
      </c>
      <c r="W1159" s="6">
        <v>3.8119886949377788</v>
      </c>
      <c r="X1159" s="6">
        <v>2.6688165187518544</v>
      </c>
      <c r="Y1159" s="6">
        <v>24.953574970122609</v>
      </c>
    </row>
    <row r="1160" spans="1:25" x14ac:dyDescent="0.25">
      <c r="A1160" t="str">
        <f t="shared" si="18"/>
        <v>RTD Ice TeaFranceDecemberEUR (€)Fully-AutomatedOldPET Bottle1Small-scaleMedium</v>
      </c>
      <c r="B1160" t="s">
        <v>130</v>
      </c>
      <c r="C1160" t="s">
        <v>130</v>
      </c>
      <c r="D1160" t="s">
        <v>15</v>
      </c>
      <c r="E1160" s="12" t="s">
        <v>182</v>
      </c>
      <c r="F1160" t="s">
        <v>187</v>
      </c>
      <c r="G1160" t="s">
        <v>12</v>
      </c>
      <c r="H1160" t="s">
        <v>72</v>
      </c>
      <c r="I1160" t="s">
        <v>175</v>
      </c>
      <c r="J1160" s="12">
        <v>1</v>
      </c>
      <c r="K1160" t="s">
        <v>60</v>
      </c>
      <c r="L1160" t="s">
        <v>63</v>
      </c>
      <c r="M1160" t="s">
        <v>199</v>
      </c>
      <c r="O1160" t="s">
        <v>205</v>
      </c>
      <c r="P1160">
        <v>24</v>
      </c>
      <c r="Q1160" t="s">
        <v>204</v>
      </c>
      <c r="R1160" s="6">
        <v>0.93020688324884127</v>
      </c>
      <c r="S1160" s="6">
        <v>21.669151328254358</v>
      </c>
      <c r="T1160" s="6">
        <v>7.9669493639129847</v>
      </c>
      <c r="U1160" s="6">
        <v>77.343678420226126</v>
      </c>
      <c r="V1160" s="6">
        <v>0.12080307631936876</v>
      </c>
      <c r="W1160" s="6">
        <v>3.9433862847363881</v>
      </c>
      <c r="X1160" s="6">
        <v>2.7620042953909283</v>
      </c>
      <c r="Y1160" s="6">
        <v>25.823783276116661</v>
      </c>
    </row>
    <row r="1161" spans="1:25" x14ac:dyDescent="0.25">
      <c r="A1161" t="str">
        <f t="shared" si="18"/>
        <v>RTD Ice TeaFranceDecemberEUR (€)Fully-AutomatedOldPET Bottle1Small-scaleHigh</v>
      </c>
      <c r="B1161" t="s">
        <v>130</v>
      </c>
      <c r="C1161" t="s">
        <v>130</v>
      </c>
      <c r="D1161" t="s">
        <v>15</v>
      </c>
      <c r="E1161" s="12" t="s">
        <v>182</v>
      </c>
      <c r="F1161" t="s">
        <v>187</v>
      </c>
      <c r="G1161" t="s">
        <v>12</v>
      </c>
      <c r="H1161" t="s">
        <v>72</v>
      </c>
      <c r="I1161" t="s">
        <v>175</v>
      </c>
      <c r="J1161" s="12">
        <v>1</v>
      </c>
      <c r="K1161" t="s">
        <v>60</v>
      </c>
      <c r="L1161" t="s">
        <v>11</v>
      </c>
      <c r="M1161" t="s">
        <v>199</v>
      </c>
      <c r="O1161" t="s">
        <v>205</v>
      </c>
      <c r="P1161">
        <v>24</v>
      </c>
      <c r="Q1161" t="s">
        <v>204</v>
      </c>
      <c r="R1161" s="6">
        <v>0.96706701043064658</v>
      </c>
      <c r="S1161" s="6">
        <v>22.52869665227508</v>
      </c>
      <c r="T1161" s="6">
        <v>8.2822906245152694</v>
      </c>
      <c r="U1161" s="6">
        <v>80.40613551435618</v>
      </c>
      <c r="V1161" s="6">
        <v>0.12521617580311994</v>
      </c>
      <c r="W1161" s="6">
        <v>4.0852956817188852</v>
      </c>
      <c r="X1161" s="6">
        <v>2.8626470941611277</v>
      </c>
      <c r="Y1161" s="6">
        <v>26.763608246590223</v>
      </c>
    </row>
    <row r="1162" spans="1:25" x14ac:dyDescent="0.25">
      <c r="A1162" t="str">
        <f t="shared" si="18"/>
        <v>RTD Ice TeaFranceDecemberEUR (€)Fully-AutomatedOldPET Bottle1High-scaleLow</v>
      </c>
      <c r="B1162" t="s">
        <v>130</v>
      </c>
      <c r="C1162" t="s">
        <v>130</v>
      </c>
      <c r="D1162" t="s">
        <v>15</v>
      </c>
      <c r="E1162" s="12" t="s">
        <v>182</v>
      </c>
      <c r="F1162" t="s">
        <v>187</v>
      </c>
      <c r="G1162" t="s">
        <v>12</v>
      </c>
      <c r="H1162" t="s">
        <v>72</v>
      </c>
      <c r="I1162" t="s">
        <v>175</v>
      </c>
      <c r="J1162" s="12">
        <v>1</v>
      </c>
      <c r="K1162" t="s">
        <v>107</v>
      </c>
      <c r="L1162" t="s">
        <v>13</v>
      </c>
      <c r="M1162" t="s">
        <v>200</v>
      </c>
      <c r="O1162" t="s">
        <v>205</v>
      </c>
      <c r="P1162">
        <v>24</v>
      </c>
      <c r="Q1162" t="s">
        <v>204</v>
      </c>
      <c r="R1162" s="6">
        <v>0.892595654376799</v>
      </c>
      <c r="S1162" s="6">
        <v>20.801068737140625</v>
      </c>
      <c r="T1162" s="6">
        <v>7.6415995756648325</v>
      </c>
      <c r="U1162" s="6">
        <v>74.195169572945233</v>
      </c>
      <c r="V1162" s="6">
        <v>9.7928477265340055E-2</v>
      </c>
      <c r="W1162" s="6">
        <v>4.7037363980335893</v>
      </c>
      <c r="X1162" s="6">
        <v>2.5695071867984858</v>
      </c>
      <c r="Y1162" s="6">
        <v>24.687475228533891</v>
      </c>
    </row>
    <row r="1163" spans="1:25" x14ac:dyDescent="0.25">
      <c r="A1163" t="str">
        <f t="shared" si="18"/>
        <v>RTD Ice TeaFranceDecemberEUR (€)Fully-AutomatedOldPET Bottle1High-scaleMedium</v>
      </c>
      <c r="B1163" t="s">
        <v>130</v>
      </c>
      <c r="C1163" t="s">
        <v>130</v>
      </c>
      <c r="D1163" t="s">
        <v>15</v>
      </c>
      <c r="E1163" s="12" t="s">
        <v>182</v>
      </c>
      <c r="F1163" t="s">
        <v>187</v>
      </c>
      <c r="G1163" t="s">
        <v>12</v>
      </c>
      <c r="H1163" t="s">
        <v>72</v>
      </c>
      <c r="I1163" t="s">
        <v>175</v>
      </c>
      <c r="J1163" s="12">
        <v>1</v>
      </c>
      <c r="K1163" t="s">
        <v>107</v>
      </c>
      <c r="L1163" t="s">
        <v>63</v>
      </c>
      <c r="M1163" t="s">
        <v>200</v>
      </c>
      <c r="O1163" t="s">
        <v>205</v>
      </c>
      <c r="P1163">
        <v>24</v>
      </c>
      <c r="Q1163" t="s">
        <v>204</v>
      </c>
      <c r="R1163" s="6">
        <v>0.92672540176735962</v>
      </c>
      <c r="S1163" s="6">
        <v>21.596944037159815</v>
      </c>
      <c r="T1163" s="6">
        <v>7.9335822243706549</v>
      </c>
      <c r="U1163" s="6">
        <v>77.030777993436004</v>
      </c>
      <c r="V1163" s="6">
        <v>0.10148303019823385</v>
      </c>
      <c r="W1163" s="6">
        <v>4.8732710592368909</v>
      </c>
      <c r="X1163" s="6">
        <v>2.6627748034079133</v>
      </c>
      <c r="Y1163" s="6">
        <v>25.582797171255741</v>
      </c>
    </row>
    <row r="1164" spans="1:25" x14ac:dyDescent="0.25">
      <c r="A1164" t="str">
        <f t="shared" si="18"/>
        <v>RTD Ice TeaFranceDecemberEUR (€)Fully-AutomatedOldPET Bottle1High-scaleHigh</v>
      </c>
      <c r="B1164" t="s">
        <v>130</v>
      </c>
      <c r="C1164" t="s">
        <v>130</v>
      </c>
      <c r="D1164" t="s">
        <v>15</v>
      </c>
      <c r="E1164" s="12" t="s">
        <v>182</v>
      </c>
      <c r="F1164" t="s">
        <v>187</v>
      </c>
      <c r="G1164" t="s">
        <v>12</v>
      </c>
      <c r="H1164" t="s">
        <v>72</v>
      </c>
      <c r="I1164" t="s">
        <v>175</v>
      </c>
      <c r="J1164" s="12">
        <v>1</v>
      </c>
      <c r="K1164" t="s">
        <v>107</v>
      </c>
      <c r="L1164" t="s">
        <v>11</v>
      </c>
      <c r="M1164" t="s">
        <v>200</v>
      </c>
      <c r="O1164" t="s">
        <v>205</v>
      </c>
      <c r="P1164">
        <v>24</v>
      </c>
      <c r="Q1164" t="s">
        <v>204</v>
      </c>
      <c r="R1164" s="6">
        <v>0.96358552894916505</v>
      </c>
      <c r="S1164" s="6">
        <v>22.45648936118053</v>
      </c>
      <c r="T1164" s="6">
        <v>8.2489234849729414</v>
      </c>
      <c r="U1164" s="6">
        <v>80.093235087566029</v>
      </c>
      <c r="V1164" s="6">
        <v>0.10532194736575917</v>
      </c>
      <c r="W1164" s="6">
        <v>5.0563684933364561</v>
      </c>
      <c r="X1164" s="6">
        <v>2.7635038293460954</v>
      </c>
      <c r="Y1164" s="6">
        <v>26.549744869395344</v>
      </c>
    </row>
    <row r="1165" spans="1:25" x14ac:dyDescent="0.25">
      <c r="A1165" t="str">
        <f t="shared" si="18"/>
        <v>RTD Ice TeaFranceDecemberEUR (€)Fully-AutomatedOldPET Bottle1Medium-scaleLow</v>
      </c>
      <c r="B1165" t="s">
        <v>130</v>
      </c>
      <c r="C1165" t="s">
        <v>130</v>
      </c>
      <c r="D1165" t="s">
        <v>15</v>
      </c>
      <c r="E1165" s="12" t="s">
        <v>182</v>
      </c>
      <c r="F1165" t="s">
        <v>187</v>
      </c>
      <c r="G1165" t="s">
        <v>12</v>
      </c>
      <c r="H1165" t="s">
        <v>72</v>
      </c>
      <c r="I1165" t="s">
        <v>175</v>
      </c>
      <c r="J1165" s="12">
        <v>1</v>
      </c>
      <c r="K1165" t="s">
        <v>62</v>
      </c>
      <c r="L1165" t="s">
        <v>13</v>
      </c>
      <c r="M1165" t="s">
        <v>200</v>
      </c>
      <c r="O1165" t="s">
        <v>205</v>
      </c>
      <c r="P1165">
        <v>24</v>
      </c>
      <c r="Q1165" t="s">
        <v>204</v>
      </c>
      <c r="R1165" s="6">
        <v>0.89390120993235456</v>
      </c>
      <c r="S1165" s="6">
        <v>20.828146471301082</v>
      </c>
      <c r="T1165" s="6">
        <v>7.6541122529932064</v>
      </c>
      <c r="U1165" s="6">
        <v>74.312507232991535</v>
      </c>
      <c r="V1165" s="6">
        <v>9.8699941911804701E-2</v>
      </c>
      <c r="W1165" s="6">
        <v>4.7411388398735266</v>
      </c>
      <c r="X1165" s="6">
        <v>2.5905872718958523</v>
      </c>
      <c r="Y1165" s="6">
        <v>24.889217681792996</v>
      </c>
    </row>
    <row r="1166" spans="1:25" x14ac:dyDescent="0.25">
      <c r="A1166" t="str">
        <f t="shared" si="18"/>
        <v>RTD Ice TeaFranceDecemberEUR (€)Fully-AutomatedOldPET Bottle1Medium-scaleMedium</v>
      </c>
      <c r="B1166" t="s">
        <v>130</v>
      </c>
      <c r="C1166" t="s">
        <v>130</v>
      </c>
      <c r="D1166" t="s">
        <v>15</v>
      </c>
      <c r="E1166" s="12" t="s">
        <v>182</v>
      </c>
      <c r="F1166" t="s">
        <v>187</v>
      </c>
      <c r="G1166" t="s">
        <v>12</v>
      </c>
      <c r="H1166" t="s">
        <v>72</v>
      </c>
      <c r="I1166" t="s">
        <v>175</v>
      </c>
      <c r="J1166" s="12">
        <v>1</v>
      </c>
      <c r="K1166" t="s">
        <v>62</v>
      </c>
      <c r="L1166" t="s">
        <v>63</v>
      </c>
      <c r="M1166" t="s">
        <v>200</v>
      </c>
      <c r="O1166" t="s">
        <v>205</v>
      </c>
      <c r="P1166">
        <v>24</v>
      </c>
      <c r="Q1166" t="s">
        <v>204</v>
      </c>
      <c r="R1166" s="6">
        <v>0.9280309573229153</v>
      </c>
      <c r="S1166" s="6">
        <v>21.624021771320269</v>
      </c>
      <c r="T1166" s="6">
        <v>7.9460949016990279</v>
      </c>
      <c r="U1166" s="6">
        <v>77.148115653482321</v>
      </c>
      <c r="V1166" s="6">
        <v>0.10225449484469851</v>
      </c>
      <c r="W1166" s="6">
        <v>4.9106735010768281</v>
      </c>
      <c r="X1166" s="6">
        <v>2.6838548885052793</v>
      </c>
      <c r="Y1166" s="6">
        <v>25.784539624514849</v>
      </c>
    </row>
    <row r="1167" spans="1:25" x14ac:dyDescent="0.25">
      <c r="A1167" t="str">
        <f t="shared" si="18"/>
        <v>RTD Ice TeaFranceDecemberEUR (€)Fully-AutomatedOldPET Bottle1Medium-scaleHigh</v>
      </c>
      <c r="B1167" t="s">
        <v>130</v>
      </c>
      <c r="C1167" t="s">
        <v>130</v>
      </c>
      <c r="D1167" t="s">
        <v>15</v>
      </c>
      <c r="E1167" s="12" t="s">
        <v>182</v>
      </c>
      <c r="F1167" t="s">
        <v>187</v>
      </c>
      <c r="G1167" t="s">
        <v>12</v>
      </c>
      <c r="H1167" t="s">
        <v>72</v>
      </c>
      <c r="I1167" t="s">
        <v>175</v>
      </c>
      <c r="J1167" s="12">
        <v>1</v>
      </c>
      <c r="K1167" t="s">
        <v>62</v>
      </c>
      <c r="L1167" t="s">
        <v>11</v>
      </c>
      <c r="M1167" t="s">
        <v>200</v>
      </c>
      <c r="O1167" t="s">
        <v>205</v>
      </c>
      <c r="P1167">
        <v>24</v>
      </c>
      <c r="Q1167" t="s">
        <v>204</v>
      </c>
      <c r="R1167" s="6">
        <v>0.96489108450472072</v>
      </c>
      <c r="S1167" s="6">
        <v>22.483567095340984</v>
      </c>
      <c r="T1167" s="6">
        <v>8.2614361623013135</v>
      </c>
      <c r="U1167" s="6">
        <v>80.210572747612346</v>
      </c>
      <c r="V1167" s="6">
        <v>0.1060934120122238</v>
      </c>
      <c r="W1167" s="6">
        <v>5.0937709351763933</v>
      </c>
      <c r="X1167" s="6">
        <v>2.7845839144434614</v>
      </c>
      <c r="Y1167" s="6">
        <v>26.751487322654448</v>
      </c>
    </row>
    <row r="1168" spans="1:25" x14ac:dyDescent="0.25">
      <c r="A1168" t="str">
        <f t="shared" si="18"/>
        <v>RTD Ice TeaFranceDecemberEUR (€)Fully-AutomatedOldPET Bottle1Small-scaleLow</v>
      </c>
      <c r="B1168" t="s">
        <v>130</v>
      </c>
      <c r="C1168" t="s">
        <v>130</v>
      </c>
      <c r="D1168" t="s">
        <v>15</v>
      </c>
      <c r="E1168" s="12" t="s">
        <v>182</v>
      </c>
      <c r="F1168" t="s">
        <v>187</v>
      </c>
      <c r="G1168" t="s">
        <v>12</v>
      </c>
      <c r="H1168" t="s">
        <v>72</v>
      </c>
      <c r="I1168" t="s">
        <v>175</v>
      </c>
      <c r="J1168" s="12">
        <v>1</v>
      </c>
      <c r="K1168" t="s">
        <v>60</v>
      </c>
      <c r="L1168" t="s">
        <v>13</v>
      </c>
      <c r="M1168" t="s">
        <v>200</v>
      </c>
      <c r="O1168" t="s">
        <v>205</v>
      </c>
      <c r="P1168">
        <v>24</v>
      </c>
      <c r="Q1168" t="s">
        <v>204</v>
      </c>
      <c r="R1168" s="6">
        <v>0.89607713585828042</v>
      </c>
      <c r="S1168" s="6">
        <v>20.873276028235175</v>
      </c>
      <c r="T1168" s="6">
        <v>7.6749667152071641</v>
      </c>
      <c r="U1168" s="6">
        <v>74.508069999735369</v>
      </c>
      <c r="V1168" s="6">
        <v>9.9985716322579105E-2</v>
      </c>
      <c r="W1168" s="6">
        <v>4.8034762429400883</v>
      </c>
      <c r="X1168" s="6">
        <v>2.625720747058129</v>
      </c>
      <c r="Y1168" s="6">
        <v>25.225455103891505</v>
      </c>
    </row>
    <row r="1169" spans="1:25" x14ac:dyDescent="0.25">
      <c r="A1169" t="str">
        <f t="shared" si="18"/>
        <v>RTD Ice TeaFranceDecemberEUR (€)Fully-AutomatedOldPET Bottle1Small-scaleMedium</v>
      </c>
      <c r="B1169" t="s">
        <v>130</v>
      </c>
      <c r="C1169" t="s">
        <v>130</v>
      </c>
      <c r="D1169" t="s">
        <v>15</v>
      </c>
      <c r="E1169" s="12" t="s">
        <v>182</v>
      </c>
      <c r="F1169" t="s">
        <v>187</v>
      </c>
      <c r="G1169" t="s">
        <v>12</v>
      </c>
      <c r="H1169" t="s">
        <v>72</v>
      </c>
      <c r="I1169" t="s">
        <v>175</v>
      </c>
      <c r="J1169" s="12">
        <v>1</v>
      </c>
      <c r="K1169" t="s">
        <v>60</v>
      </c>
      <c r="L1169" t="s">
        <v>63</v>
      </c>
      <c r="M1169" t="s">
        <v>200</v>
      </c>
      <c r="O1169" t="s">
        <v>205</v>
      </c>
      <c r="P1169">
        <v>24</v>
      </c>
      <c r="Q1169" t="s">
        <v>204</v>
      </c>
      <c r="R1169" s="6">
        <v>0.93020688324884127</v>
      </c>
      <c r="S1169" s="6">
        <v>21.669151328254358</v>
      </c>
      <c r="T1169" s="6">
        <v>7.9669493639129847</v>
      </c>
      <c r="U1169" s="6">
        <v>77.343678420226126</v>
      </c>
      <c r="V1169" s="6">
        <v>0.10354026925547292</v>
      </c>
      <c r="W1169" s="6">
        <v>4.9730109041433908</v>
      </c>
      <c r="X1169" s="6">
        <v>2.7189883636675565</v>
      </c>
      <c r="Y1169" s="6">
        <v>26.120777046613355</v>
      </c>
    </row>
    <row r="1170" spans="1:25" x14ac:dyDescent="0.25">
      <c r="A1170" t="str">
        <f t="shared" si="18"/>
        <v>RTD Ice TeaFranceDecemberEUR (€)Fully-AutomatedOldPET Bottle1Small-scaleHigh</v>
      </c>
      <c r="B1170" t="s">
        <v>130</v>
      </c>
      <c r="C1170" t="s">
        <v>130</v>
      </c>
      <c r="D1170" t="s">
        <v>15</v>
      </c>
      <c r="E1170" s="12" t="s">
        <v>182</v>
      </c>
      <c r="F1170" t="s">
        <v>187</v>
      </c>
      <c r="G1170" t="s">
        <v>12</v>
      </c>
      <c r="H1170" t="s">
        <v>72</v>
      </c>
      <c r="I1170" t="s">
        <v>175</v>
      </c>
      <c r="J1170" s="12">
        <v>1</v>
      </c>
      <c r="K1170" t="s">
        <v>60</v>
      </c>
      <c r="L1170" t="s">
        <v>11</v>
      </c>
      <c r="M1170" t="s">
        <v>200</v>
      </c>
      <c r="O1170" t="s">
        <v>205</v>
      </c>
      <c r="P1170">
        <v>24</v>
      </c>
      <c r="Q1170" t="s">
        <v>204</v>
      </c>
      <c r="R1170" s="6">
        <v>0.96706701043064658</v>
      </c>
      <c r="S1170" s="6">
        <v>22.52869665227508</v>
      </c>
      <c r="T1170" s="6">
        <v>8.2822906245152694</v>
      </c>
      <c r="U1170" s="6">
        <v>80.40613551435618</v>
      </c>
      <c r="V1170" s="6">
        <v>0.10737918642299824</v>
      </c>
      <c r="W1170" s="6">
        <v>5.1561083382429551</v>
      </c>
      <c r="X1170" s="6">
        <v>2.8197173896057381</v>
      </c>
      <c r="Y1170" s="6">
        <v>27.087724744752961</v>
      </c>
    </row>
    <row r="1171" spans="1:25" x14ac:dyDescent="0.25">
      <c r="A1171" t="str">
        <f t="shared" si="18"/>
        <v>RTD Ice TeaFranceDecemberEUR (€)Fully-AutomatedOldPET Bottle1.5High-scaleLow</v>
      </c>
      <c r="B1171" t="s">
        <v>130</v>
      </c>
      <c r="C1171" t="s">
        <v>130</v>
      </c>
      <c r="D1171" t="s">
        <v>15</v>
      </c>
      <c r="E1171" s="12" t="s">
        <v>182</v>
      </c>
      <c r="F1171" t="s">
        <v>187</v>
      </c>
      <c r="G1171" t="s">
        <v>12</v>
      </c>
      <c r="H1171" t="s">
        <v>72</v>
      </c>
      <c r="I1171" t="s">
        <v>175</v>
      </c>
      <c r="J1171" s="12">
        <v>1.5</v>
      </c>
      <c r="K1171" t="s">
        <v>107</v>
      </c>
      <c r="L1171" t="s">
        <v>13</v>
      </c>
      <c r="M1171" t="s">
        <v>199</v>
      </c>
      <c r="O1171" t="s">
        <v>205</v>
      </c>
      <c r="P1171">
        <v>4</v>
      </c>
      <c r="Q1171" t="s">
        <v>198</v>
      </c>
      <c r="R1171" s="6">
        <v>0.892595654376799</v>
      </c>
      <c r="S1171" s="6">
        <v>20.801068737140625</v>
      </c>
      <c r="T1171" s="6">
        <v>7.6415995756648325</v>
      </c>
      <c r="U1171" s="6">
        <v>74.195169572945233</v>
      </c>
      <c r="V1171" s="6">
        <v>0.11236216353576667</v>
      </c>
      <c r="W1171" s="6">
        <v>3.5060691555779187</v>
      </c>
      <c r="X1171" s="6">
        <v>2.2932991208105014</v>
      </c>
      <c r="Y1171" s="6">
        <v>21.600103303611732</v>
      </c>
    </row>
    <row r="1172" spans="1:25" x14ac:dyDescent="0.25">
      <c r="A1172" t="str">
        <f t="shared" si="18"/>
        <v>RTD Ice TeaFranceDecemberEUR (€)Fully-AutomatedOldPET Bottle1.5High-scaleMedium</v>
      </c>
      <c r="B1172" t="s">
        <v>130</v>
      </c>
      <c r="C1172" t="s">
        <v>130</v>
      </c>
      <c r="D1172" t="s">
        <v>15</v>
      </c>
      <c r="E1172" s="12" t="s">
        <v>182</v>
      </c>
      <c r="F1172" t="s">
        <v>187</v>
      </c>
      <c r="G1172" t="s">
        <v>12</v>
      </c>
      <c r="H1172" t="s">
        <v>72</v>
      </c>
      <c r="I1172" t="s">
        <v>175</v>
      </c>
      <c r="J1172" s="12">
        <v>1.5</v>
      </c>
      <c r="K1172" t="s">
        <v>107</v>
      </c>
      <c r="L1172" t="s">
        <v>63</v>
      </c>
      <c r="M1172" t="s">
        <v>199</v>
      </c>
      <c r="O1172" t="s">
        <v>205</v>
      </c>
      <c r="P1172">
        <v>4</v>
      </c>
      <c r="Q1172" t="s">
        <v>198</v>
      </c>
      <c r="R1172" s="6">
        <v>0.92672540176735962</v>
      </c>
      <c r="S1172" s="6">
        <v>21.596944037159815</v>
      </c>
      <c r="T1172" s="6">
        <v>7.9335822243706549</v>
      </c>
      <c r="U1172" s="6">
        <v>77.030777993436004</v>
      </c>
      <c r="V1172" s="6">
        <v>0.11633733998877398</v>
      </c>
      <c r="W1172" s="6">
        <v>3.6279194971118254</v>
      </c>
      <c r="X1172" s="6">
        <v>2.3737426820420944</v>
      </c>
      <c r="Y1172" s="6">
        <v>22.357068955591345</v>
      </c>
    </row>
    <row r="1173" spans="1:25" x14ac:dyDescent="0.25">
      <c r="A1173" t="str">
        <f t="shared" si="18"/>
        <v>RTD Ice TeaFranceDecemberEUR (€)Fully-AutomatedOldPET Bottle1.5High-scaleHigh</v>
      </c>
      <c r="B1173" t="s">
        <v>130</v>
      </c>
      <c r="C1173" t="s">
        <v>130</v>
      </c>
      <c r="D1173" t="s">
        <v>15</v>
      </c>
      <c r="E1173" s="12" t="s">
        <v>182</v>
      </c>
      <c r="F1173" t="s">
        <v>187</v>
      </c>
      <c r="G1173" t="s">
        <v>12</v>
      </c>
      <c r="H1173" t="s">
        <v>72</v>
      </c>
      <c r="I1173" t="s">
        <v>175</v>
      </c>
      <c r="J1173" s="12">
        <v>1.5</v>
      </c>
      <c r="K1173" t="s">
        <v>107</v>
      </c>
      <c r="L1173" t="s">
        <v>11</v>
      </c>
      <c r="M1173" t="s">
        <v>199</v>
      </c>
      <c r="O1173" t="s">
        <v>205</v>
      </c>
      <c r="P1173">
        <v>4</v>
      </c>
      <c r="Q1173" t="s">
        <v>198</v>
      </c>
      <c r="R1173" s="6">
        <v>0.96358552894916505</v>
      </c>
      <c r="S1173" s="6">
        <v>22.45648936118053</v>
      </c>
      <c r="T1173" s="6">
        <v>8.2489234849729414</v>
      </c>
      <c r="U1173" s="6">
        <v>80.093235087566029</v>
      </c>
      <c r="V1173" s="6">
        <v>0.12063053055802193</v>
      </c>
      <c r="W1173" s="6">
        <v>3.759517865968443</v>
      </c>
      <c r="X1173" s="6">
        <v>2.4606217281722156</v>
      </c>
      <c r="Y1173" s="6">
        <v>23.174591859729325</v>
      </c>
    </row>
    <row r="1174" spans="1:25" x14ac:dyDescent="0.25">
      <c r="A1174" t="str">
        <f t="shared" si="18"/>
        <v>RTD Ice TeaFranceDecemberEUR (€)Fully-AutomatedOldPET Bottle1.5Medium-scaleLow</v>
      </c>
      <c r="B1174" t="s">
        <v>130</v>
      </c>
      <c r="C1174" t="s">
        <v>130</v>
      </c>
      <c r="D1174" t="s">
        <v>15</v>
      </c>
      <c r="E1174" s="12" t="s">
        <v>182</v>
      </c>
      <c r="F1174" t="s">
        <v>187</v>
      </c>
      <c r="G1174" t="s">
        <v>12</v>
      </c>
      <c r="H1174" t="s">
        <v>72</v>
      </c>
      <c r="I1174" t="s">
        <v>175</v>
      </c>
      <c r="J1174" s="12">
        <v>1.5</v>
      </c>
      <c r="K1174" t="s">
        <v>62</v>
      </c>
      <c r="L1174" t="s">
        <v>13</v>
      </c>
      <c r="M1174" t="s">
        <v>199</v>
      </c>
      <c r="O1174" t="s">
        <v>205</v>
      </c>
      <c r="P1174">
        <v>4</v>
      </c>
      <c r="Q1174" t="s">
        <v>198</v>
      </c>
      <c r="R1174" s="6">
        <v>0.89390120993235456</v>
      </c>
      <c r="S1174" s="6">
        <v>20.828146471301082</v>
      </c>
      <c r="T1174" s="6">
        <v>7.6541122529932064</v>
      </c>
      <c r="U1174" s="6">
        <v>74.312507232991535</v>
      </c>
      <c r="V1174" s="6">
        <v>0.11344928474788787</v>
      </c>
      <c r="W1174" s="6">
        <v>3.5420231457701505</v>
      </c>
      <c r="X1174" s="6">
        <v>2.317390646636063</v>
      </c>
      <c r="Y1174" s="6">
        <v>21.826385070645074</v>
      </c>
    </row>
    <row r="1175" spans="1:25" x14ac:dyDescent="0.25">
      <c r="A1175" t="str">
        <f t="shared" si="18"/>
        <v>RTD Ice TeaFranceDecemberEUR (€)Fully-AutomatedOldPET Bottle1.5Medium-scaleMedium</v>
      </c>
      <c r="B1175" t="s">
        <v>130</v>
      </c>
      <c r="C1175" t="s">
        <v>130</v>
      </c>
      <c r="D1175" t="s">
        <v>15</v>
      </c>
      <c r="E1175" s="12" t="s">
        <v>182</v>
      </c>
      <c r="F1175" t="s">
        <v>187</v>
      </c>
      <c r="G1175" t="s">
        <v>12</v>
      </c>
      <c r="H1175" t="s">
        <v>72</v>
      </c>
      <c r="I1175" t="s">
        <v>175</v>
      </c>
      <c r="J1175" s="12">
        <v>1.5</v>
      </c>
      <c r="K1175" t="s">
        <v>62</v>
      </c>
      <c r="L1175" t="s">
        <v>63</v>
      </c>
      <c r="M1175" t="s">
        <v>199</v>
      </c>
      <c r="O1175" t="s">
        <v>205</v>
      </c>
      <c r="P1175">
        <v>4</v>
      </c>
      <c r="Q1175" t="s">
        <v>198</v>
      </c>
      <c r="R1175" s="6">
        <v>0.9280309573229153</v>
      </c>
      <c r="S1175" s="6">
        <v>21.624021771320269</v>
      </c>
      <c r="T1175" s="6">
        <v>7.9460949016990279</v>
      </c>
      <c r="U1175" s="6">
        <v>77.148115653482321</v>
      </c>
      <c r="V1175" s="6">
        <v>0.11742446120089521</v>
      </c>
      <c r="W1175" s="6">
        <v>3.6638734873040577</v>
      </c>
      <c r="X1175" s="6">
        <v>2.3978342078676564</v>
      </c>
      <c r="Y1175" s="6">
        <v>22.583350722624687</v>
      </c>
    </row>
    <row r="1176" spans="1:25" x14ac:dyDescent="0.25">
      <c r="A1176" t="str">
        <f t="shared" si="18"/>
        <v>RTD Ice TeaFranceDecemberEUR (€)Fully-AutomatedOldPET Bottle1.5Medium-scaleHigh</v>
      </c>
      <c r="B1176" t="s">
        <v>130</v>
      </c>
      <c r="C1176" t="s">
        <v>130</v>
      </c>
      <c r="D1176" t="s">
        <v>15</v>
      </c>
      <c r="E1176" s="12" t="s">
        <v>182</v>
      </c>
      <c r="F1176" t="s">
        <v>187</v>
      </c>
      <c r="G1176" t="s">
        <v>12</v>
      </c>
      <c r="H1176" t="s">
        <v>72</v>
      </c>
      <c r="I1176" t="s">
        <v>175</v>
      </c>
      <c r="J1176" s="12">
        <v>1.5</v>
      </c>
      <c r="K1176" t="s">
        <v>62</v>
      </c>
      <c r="L1176" t="s">
        <v>11</v>
      </c>
      <c r="M1176" t="s">
        <v>199</v>
      </c>
      <c r="O1176" t="s">
        <v>205</v>
      </c>
      <c r="P1176">
        <v>4</v>
      </c>
      <c r="Q1176" t="s">
        <v>198</v>
      </c>
      <c r="R1176" s="6">
        <v>0.96489108450472072</v>
      </c>
      <c r="S1176" s="6">
        <v>22.483567095340984</v>
      </c>
      <c r="T1176" s="6">
        <v>8.2614361623013135</v>
      </c>
      <c r="U1176" s="6">
        <v>80.210572747612346</v>
      </c>
      <c r="V1176" s="6">
        <v>0.12171765177014314</v>
      </c>
      <c r="W1176" s="6">
        <v>3.7954718561606766</v>
      </c>
      <c r="X1176" s="6">
        <v>2.4847132539977772</v>
      </c>
      <c r="Y1176" s="6">
        <v>23.400873626762667</v>
      </c>
    </row>
    <row r="1177" spans="1:25" x14ac:dyDescent="0.25">
      <c r="A1177" t="str">
        <f t="shared" si="18"/>
        <v>RTD Ice TeaFranceDecemberEUR (€)Fully-AutomatedOldPET Bottle1.5Small-scaleLow</v>
      </c>
      <c r="B1177" t="s">
        <v>130</v>
      </c>
      <c r="C1177" t="s">
        <v>130</v>
      </c>
      <c r="D1177" t="s">
        <v>15</v>
      </c>
      <c r="E1177" s="12" t="s">
        <v>182</v>
      </c>
      <c r="F1177" t="s">
        <v>187</v>
      </c>
      <c r="G1177" t="s">
        <v>12</v>
      </c>
      <c r="H1177" t="s">
        <v>72</v>
      </c>
      <c r="I1177" t="s">
        <v>175</v>
      </c>
      <c r="J1177" s="12">
        <v>1.5</v>
      </c>
      <c r="K1177" t="s">
        <v>60</v>
      </c>
      <c r="L1177" t="s">
        <v>13</v>
      </c>
      <c r="M1177" t="s">
        <v>199</v>
      </c>
      <c r="O1177" t="s">
        <v>205</v>
      </c>
      <c r="P1177">
        <v>4</v>
      </c>
      <c r="Q1177" t="s">
        <v>198</v>
      </c>
      <c r="R1177" s="6">
        <v>0.89607713585828042</v>
      </c>
      <c r="S1177" s="6">
        <v>20.873276028235175</v>
      </c>
      <c r="T1177" s="6">
        <v>7.6749667152071641</v>
      </c>
      <c r="U1177" s="6">
        <v>74.508069999735369</v>
      </c>
      <c r="V1177" s="6">
        <v>0.11526115343475657</v>
      </c>
      <c r="W1177" s="6">
        <v>3.6019464627572053</v>
      </c>
      <c r="X1177" s="6">
        <v>2.3575431896786649</v>
      </c>
      <c r="Y1177" s="6">
        <v>22.20352134903397</v>
      </c>
    </row>
    <row r="1178" spans="1:25" x14ac:dyDescent="0.25">
      <c r="A1178" t="str">
        <f t="shared" si="18"/>
        <v>RTD Ice TeaFranceDecemberEUR (€)Fully-AutomatedOldPET Bottle1.5Small-scaleMedium</v>
      </c>
      <c r="B1178" t="s">
        <v>130</v>
      </c>
      <c r="C1178" t="s">
        <v>130</v>
      </c>
      <c r="D1178" t="s">
        <v>15</v>
      </c>
      <c r="E1178" s="12" t="s">
        <v>182</v>
      </c>
      <c r="F1178" t="s">
        <v>187</v>
      </c>
      <c r="G1178" t="s">
        <v>12</v>
      </c>
      <c r="H1178" t="s">
        <v>72</v>
      </c>
      <c r="I1178" t="s">
        <v>175</v>
      </c>
      <c r="J1178" s="12">
        <v>1.5</v>
      </c>
      <c r="K1178" t="s">
        <v>60</v>
      </c>
      <c r="L1178" t="s">
        <v>63</v>
      </c>
      <c r="M1178" t="s">
        <v>199</v>
      </c>
      <c r="O1178" t="s">
        <v>205</v>
      </c>
      <c r="P1178">
        <v>4</v>
      </c>
      <c r="Q1178" t="s">
        <v>198</v>
      </c>
      <c r="R1178" s="6">
        <v>0.93020688324884127</v>
      </c>
      <c r="S1178" s="6">
        <v>21.669151328254358</v>
      </c>
      <c r="T1178" s="6">
        <v>7.9669493639129847</v>
      </c>
      <c r="U1178" s="6">
        <v>77.343678420226126</v>
      </c>
      <c r="V1178" s="6">
        <v>0.11923632988776392</v>
      </c>
      <c r="W1178" s="6">
        <v>3.7237968042911116</v>
      </c>
      <c r="X1178" s="6">
        <v>2.437986750910258</v>
      </c>
      <c r="Y1178" s="6">
        <v>22.960487001013583</v>
      </c>
    </row>
    <row r="1179" spans="1:25" x14ac:dyDescent="0.25">
      <c r="A1179" t="str">
        <f t="shared" si="18"/>
        <v>RTD Ice TeaFranceDecemberEUR (€)Fully-AutomatedOldPET Bottle1.5Small-scaleHigh</v>
      </c>
      <c r="B1179" t="s">
        <v>130</v>
      </c>
      <c r="C1179" t="s">
        <v>130</v>
      </c>
      <c r="D1179" t="s">
        <v>15</v>
      </c>
      <c r="E1179" s="12" t="s">
        <v>182</v>
      </c>
      <c r="F1179" t="s">
        <v>187</v>
      </c>
      <c r="G1179" t="s">
        <v>12</v>
      </c>
      <c r="H1179" t="s">
        <v>72</v>
      </c>
      <c r="I1179" t="s">
        <v>175</v>
      </c>
      <c r="J1179" s="12">
        <v>1.5</v>
      </c>
      <c r="K1179" t="s">
        <v>60</v>
      </c>
      <c r="L1179" t="s">
        <v>11</v>
      </c>
      <c r="M1179" t="s">
        <v>199</v>
      </c>
      <c r="O1179" t="s">
        <v>205</v>
      </c>
      <c r="P1179">
        <v>4</v>
      </c>
      <c r="Q1179" t="s">
        <v>198</v>
      </c>
      <c r="R1179" s="6">
        <v>0.96706701043064658</v>
      </c>
      <c r="S1179" s="6">
        <v>22.52869665227508</v>
      </c>
      <c r="T1179" s="6">
        <v>8.2822906245152694</v>
      </c>
      <c r="U1179" s="6">
        <v>80.40613551435618</v>
      </c>
      <c r="V1179" s="6">
        <v>0.12352952045701182</v>
      </c>
      <c r="W1179" s="6">
        <v>3.8553951731477301</v>
      </c>
      <c r="X1179" s="6">
        <v>2.5248657970403792</v>
      </c>
      <c r="Y1179" s="6">
        <v>23.778009905151563</v>
      </c>
    </row>
    <row r="1180" spans="1:25" x14ac:dyDescent="0.25">
      <c r="A1180" t="str">
        <f t="shared" si="18"/>
        <v>RTD Ice TeaFranceDecemberEUR (€)Fully-AutomatedOldPET Bottle1.5High-scaleLow</v>
      </c>
      <c r="B1180" t="s">
        <v>130</v>
      </c>
      <c r="C1180" t="s">
        <v>130</v>
      </c>
      <c r="D1180" t="s">
        <v>15</v>
      </c>
      <c r="E1180" s="12" t="s">
        <v>182</v>
      </c>
      <c r="F1180" t="s">
        <v>187</v>
      </c>
      <c r="G1180" t="s">
        <v>12</v>
      </c>
      <c r="H1180" t="s">
        <v>72</v>
      </c>
      <c r="I1180" t="s">
        <v>175</v>
      </c>
      <c r="J1180" s="12">
        <v>1.5</v>
      </c>
      <c r="K1180" t="s">
        <v>107</v>
      </c>
      <c r="L1180" t="s">
        <v>13</v>
      </c>
      <c r="M1180" t="s">
        <v>200</v>
      </c>
      <c r="O1180" t="s">
        <v>205</v>
      </c>
      <c r="P1180">
        <v>4</v>
      </c>
      <c r="Q1180" t="s">
        <v>198</v>
      </c>
      <c r="R1180" s="6">
        <v>0.892595654376799</v>
      </c>
      <c r="S1180" s="6">
        <v>20.801068737140625</v>
      </c>
      <c r="T1180" s="6">
        <v>7.6415995756648325</v>
      </c>
      <c r="U1180" s="6">
        <v>74.195169572945233</v>
      </c>
      <c r="V1180" s="6">
        <v>0.10050800290498114</v>
      </c>
      <c r="W1180" s="6">
        <v>4.1478983912649987</v>
      </c>
      <c r="X1180" s="6">
        <v>2.249511402707042</v>
      </c>
      <c r="Y1180" s="6">
        <v>21.642067935822915</v>
      </c>
    </row>
    <row r="1181" spans="1:25" x14ac:dyDescent="0.25">
      <c r="A1181" t="str">
        <f t="shared" si="18"/>
        <v>RTD Ice TeaFranceDecemberEUR (€)Fully-AutomatedOldPET Bottle1.5High-scaleMedium</v>
      </c>
      <c r="B1181" t="s">
        <v>130</v>
      </c>
      <c r="C1181" t="s">
        <v>130</v>
      </c>
      <c r="D1181" t="s">
        <v>15</v>
      </c>
      <c r="E1181" s="12" t="s">
        <v>182</v>
      </c>
      <c r="F1181" t="s">
        <v>187</v>
      </c>
      <c r="G1181" t="s">
        <v>12</v>
      </c>
      <c r="H1181" t="s">
        <v>72</v>
      </c>
      <c r="I1181" t="s">
        <v>175</v>
      </c>
      <c r="J1181" s="12">
        <v>1.5</v>
      </c>
      <c r="K1181" t="s">
        <v>107</v>
      </c>
      <c r="L1181" t="s">
        <v>63</v>
      </c>
      <c r="M1181" t="s">
        <v>200</v>
      </c>
      <c r="O1181" t="s">
        <v>205</v>
      </c>
      <c r="P1181">
        <v>4</v>
      </c>
      <c r="Q1181" t="s">
        <v>198</v>
      </c>
      <c r="R1181" s="6">
        <v>0.92672540176735962</v>
      </c>
      <c r="S1181" s="6">
        <v>21.596944037159815</v>
      </c>
      <c r="T1181" s="6">
        <v>7.9335822243706549</v>
      </c>
      <c r="U1181" s="6">
        <v>77.030777993436004</v>
      </c>
      <c r="V1181" s="6">
        <v>0.10412874582945396</v>
      </c>
      <c r="W1181" s="6">
        <v>4.2951734470687013</v>
      </c>
      <c r="X1181" s="6">
        <v>2.3300081905855374</v>
      </c>
      <c r="Y1181" s="6">
        <v>22.415776012287729</v>
      </c>
    </row>
    <row r="1182" spans="1:25" x14ac:dyDescent="0.25">
      <c r="A1182" t="str">
        <f t="shared" si="18"/>
        <v>RTD Ice TeaFranceDecemberEUR (€)Fully-AutomatedOldPET Bottle1.5High-scaleHigh</v>
      </c>
      <c r="B1182" t="s">
        <v>130</v>
      </c>
      <c r="C1182" t="s">
        <v>130</v>
      </c>
      <c r="D1182" t="s">
        <v>15</v>
      </c>
      <c r="E1182" s="12" t="s">
        <v>182</v>
      </c>
      <c r="F1182" t="s">
        <v>187</v>
      </c>
      <c r="G1182" t="s">
        <v>12</v>
      </c>
      <c r="H1182" t="s">
        <v>72</v>
      </c>
      <c r="I1182" t="s">
        <v>175</v>
      </c>
      <c r="J1182" s="12">
        <v>1.5</v>
      </c>
      <c r="K1182" t="s">
        <v>107</v>
      </c>
      <c r="L1182" t="s">
        <v>11</v>
      </c>
      <c r="M1182" t="s">
        <v>200</v>
      </c>
      <c r="O1182" t="s">
        <v>205</v>
      </c>
      <c r="P1182">
        <v>4</v>
      </c>
      <c r="Q1182" t="s">
        <v>198</v>
      </c>
      <c r="R1182" s="6">
        <v>0.96358552894916505</v>
      </c>
      <c r="S1182" s="6">
        <v>22.45648936118053</v>
      </c>
      <c r="T1182" s="6">
        <v>8.2489234849729414</v>
      </c>
      <c r="U1182" s="6">
        <v>80.093235087566029</v>
      </c>
      <c r="V1182" s="6">
        <v>0.10803914818788467</v>
      </c>
      <c r="W1182" s="6">
        <v>4.4542305073366979</v>
      </c>
      <c r="X1182" s="6">
        <v>2.4169447214943136</v>
      </c>
      <c r="Y1182" s="6">
        <v>23.251380734869734</v>
      </c>
    </row>
    <row r="1183" spans="1:25" x14ac:dyDescent="0.25">
      <c r="B1183" t="s">
        <v>130</v>
      </c>
      <c r="C1183" t="s">
        <v>130</v>
      </c>
      <c r="D1183" t="s">
        <v>15</v>
      </c>
      <c r="E1183" s="12" t="s">
        <v>182</v>
      </c>
      <c r="F1183" t="s">
        <v>187</v>
      </c>
      <c r="G1183" t="s">
        <v>12</v>
      </c>
      <c r="H1183" t="s">
        <v>72</v>
      </c>
      <c r="I1183" t="s">
        <v>175</v>
      </c>
      <c r="J1183" s="12">
        <v>1.5</v>
      </c>
      <c r="K1183" t="s">
        <v>62</v>
      </c>
      <c r="L1183" t="s">
        <v>13</v>
      </c>
      <c r="M1183" t="s">
        <v>200</v>
      </c>
      <c r="O1183" t="s">
        <v>205</v>
      </c>
      <c r="P1183">
        <v>4</v>
      </c>
      <c r="Q1183" t="s">
        <v>198</v>
      </c>
      <c r="R1183" s="6">
        <v>0.89390120993235456</v>
      </c>
      <c r="S1183" s="6">
        <v>20.828146471301082</v>
      </c>
      <c r="T1183" s="6">
        <v>7.6541122529932064</v>
      </c>
    </row>
  </sheetData>
  <autoFilter ref="A1:Y1183" xr:uid="{880EC791-7143-4116-BB60-CE46C8881998}"/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77497-929C-4BF1-BC65-D07177BDAC98}">
  <sheetPr codeName="shtBackup"/>
  <dimension ref="A1:O2656"/>
  <sheetViews>
    <sheetView workbookViewId="0"/>
  </sheetViews>
  <sheetFormatPr defaultColWidth="15.8984375" defaultRowHeight="13.8" x14ac:dyDescent="0.25"/>
  <cols>
    <col min="1" max="1" width="31.19921875" bestFit="1" customWidth="1"/>
    <col min="2" max="2" width="18.19921875" customWidth="1"/>
    <col min="9" max="9" width="18.3984375" customWidth="1"/>
  </cols>
  <sheetData>
    <row r="1" spans="1:15" ht="26.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7</v>
      </c>
      <c r="G1" s="1" t="s">
        <v>18</v>
      </c>
      <c r="H1" s="18" t="s">
        <v>74</v>
      </c>
      <c r="I1" s="1" t="s">
        <v>9</v>
      </c>
      <c r="J1" s="2" t="s">
        <v>10</v>
      </c>
      <c r="K1" s="2" t="s">
        <v>146</v>
      </c>
      <c r="L1" s="2" t="s">
        <v>175</v>
      </c>
      <c r="M1" s="2" t="s">
        <v>148</v>
      </c>
      <c r="N1" s="2" t="s">
        <v>149</v>
      </c>
      <c r="O1" s="2" t="s">
        <v>150</v>
      </c>
    </row>
    <row r="2" spans="1:15" x14ac:dyDescent="0.25">
      <c r="A2" t="s">
        <v>131</v>
      </c>
      <c r="B2" t="s">
        <v>14</v>
      </c>
      <c r="C2" s="12" t="s">
        <v>109</v>
      </c>
      <c r="D2" t="s">
        <v>4</v>
      </c>
      <c r="E2" t="s">
        <v>12</v>
      </c>
      <c r="F2" t="s">
        <v>72</v>
      </c>
      <c r="G2" t="s">
        <v>166</v>
      </c>
      <c r="H2" s="94">
        <v>0.22500000000000001</v>
      </c>
      <c r="I2" t="s">
        <v>107</v>
      </c>
      <c r="J2" t="s">
        <v>13</v>
      </c>
    </row>
    <row r="3" spans="1:15" x14ac:dyDescent="0.25">
      <c r="A3" t="s">
        <v>131</v>
      </c>
      <c r="B3" t="s">
        <v>14</v>
      </c>
      <c r="C3" s="12" t="s">
        <v>109</v>
      </c>
      <c r="D3" t="s">
        <v>4</v>
      </c>
      <c r="E3" t="s">
        <v>12</v>
      </c>
      <c r="F3" t="s">
        <v>72</v>
      </c>
      <c r="G3" t="s">
        <v>166</v>
      </c>
      <c r="H3" s="94">
        <v>0.22500000000000001</v>
      </c>
      <c r="I3" t="s">
        <v>107</v>
      </c>
      <c r="J3" t="s">
        <v>63</v>
      </c>
    </row>
    <row r="4" spans="1:15" x14ac:dyDescent="0.25">
      <c r="A4" t="s">
        <v>131</v>
      </c>
      <c r="B4" t="s">
        <v>14</v>
      </c>
      <c r="C4" s="12" t="s">
        <v>109</v>
      </c>
      <c r="D4" t="s">
        <v>4</v>
      </c>
      <c r="E4" t="s">
        <v>12</v>
      </c>
      <c r="F4" t="s">
        <v>72</v>
      </c>
      <c r="G4" t="s">
        <v>166</v>
      </c>
      <c r="H4" s="94">
        <v>0.22500000000000001</v>
      </c>
      <c r="I4" t="s">
        <v>107</v>
      </c>
      <c r="J4" t="s">
        <v>11</v>
      </c>
    </row>
    <row r="5" spans="1:15" x14ac:dyDescent="0.25">
      <c r="A5" t="s">
        <v>131</v>
      </c>
      <c r="B5" t="s">
        <v>14</v>
      </c>
      <c r="C5" s="12" t="s">
        <v>109</v>
      </c>
      <c r="D5" t="s">
        <v>4</v>
      </c>
      <c r="E5" t="s">
        <v>12</v>
      </c>
      <c r="F5" t="s">
        <v>72</v>
      </c>
      <c r="G5" t="s">
        <v>166</v>
      </c>
      <c r="H5" s="94">
        <v>0.22500000000000001</v>
      </c>
      <c r="I5" t="s">
        <v>62</v>
      </c>
      <c r="J5" t="s">
        <v>13</v>
      </c>
    </row>
    <row r="6" spans="1:15" x14ac:dyDescent="0.25">
      <c r="A6" t="s">
        <v>131</v>
      </c>
      <c r="B6" t="s">
        <v>14</v>
      </c>
      <c r="C6" s="12" t="s">
        <v>109</v>
      </c>
      <c r="D6" t="s">
        <v>4</v>
      </c>
      <c r="E6" t="s">
        <v>12</v>
      </c>
      <c r="F6" t="s">
        <v>72</v>
      </c>
      <c r="G6" t="s">
        <v>166</v>
      </c>
      <c r="H6" s="94">
        <v>0.22500000000000001</v>
      </c>
      <c r="I6" t="s">
        <v>62</v>
      </c>
      <c r="J6" t="s">
        <v>63</v>
      </c>
    </row>
    <row r="7" spans="1:15" x14ac:dyDescent="0.25">
      <c r="A7" t="s">
        <v>131</v>
      </c>
      <c r="B7" t="s">
        <v>14</v>
      </c>
      <c r="C7" s="12" t="s">
        <v>109</v>
      </c>
      <c r="D7" t="s">
        <v>4</v>
      </c>
      <c r="E7" t="s">
        <v>12</v>
      </c>
      <c r="F7" t="s">
        <v>72</v>
      </c>
      <c r="G7" t="s">
        <v>166</v>
      </c>
      <c r="H7" s="94">
        <v>0.22500000000000001</v>
      </c>
      <c r="I7" t="s">
        <v>62</v>
      </c>
      <c r="J7" t="s">
        <v>11</v>
      </c>
    </row>
    <row r="8" spans="1:15" x14ac:dyDescent="0.25">
      <c r="A8" t="s">
        <v>131</v>
      </c>
      <c r="B8" t="s">
        <v>14</v>
      </c>
      <c r="C8" s="12" t="s">
        <v>109</v>
      </c>
      <c r="D8" t="s">
        <v>4</v>
      </c>
      <c r="E8" t="s">
        <v>12</v>
      </c>
      <c r="F8" t="s">
        <v>72</v>
      </c>
      <c r="G8" t="s">
        <v>166</v>
      </c>
      <c r="H8" s="94">
        <v>0.22500000000000001</v>
      </c>
      <c r="I8" t="s">
        <v>60</v>
      </c>
      <c r="J8" t="s">
        <v>13</v>
      </c>
    </row>
    <row r="9" spans="1:15" x14ac:dyDescent="0.25">
      <c r="A9" t="s">
        <v>131</v>
      </c>
      <c r="B9" t="s">
        <v>14</v>
      </c>
      <c r="C9" s="12" t="s">
        <v>109</v>
      </c>
      <c r="D9" t="s">
        <v>4</v>
      </c>
      <c r="E9" t="s">
        <v>12</v>
      </c>
      <c r="F9" t="s">
        <v>72</v>
      </c>
      <c r="G9" t="s">
        <v>166</v>
      </c>
      <c r="H9" s="94">
        <v>0.22500000000000001</v>
      </c>
      <c r="I9" t="s">
        <v>60</v>
      </c>
      <c r="J9" t="s">
        <v>63</v>
      </c>
    </row>
    <row r="10" spans="1:15" x14ac:dyDescent="0.25">
      <c r="A10" t="s">
        <v>131</v>
      </c>
      <c r="B10" t="s">
        <v>14</v>
      </c>
      <c r="C10" s="12" t="s">
        <v>109</v>
      </c>
      <c r="D10" t="s">
        <v>4</v>
      </c>
      <c r="E10" t="s">
        <v>12</v>
      </c>
      <c r="F10" t="s">
        <v>72</v>
      </c>
      <c r="G10" t="s">
        <v>166</v>
      </c>
      <c r="H10" s="94">
        <v>0.22500000000000001</v>
      </c>
      <c r="I10" t="s">
        <v>60</v>
      </c>
      <c r="J10" t="s">
        <v>11</v>
      </c>
    </row>
    <row r="11" spans="1:15" x14ac:dyDescent="0.25">
      <c r="A11" t="s">
        <v>131</v>
      </c>
      <c r="B11" t="s">
        <v>14</v>
      </c>
      <c r="C11" s="12" t="s">
        <v>109</v>
      </c>
      <c r="D11" t="s">
        <v>4</v>
      </c>
      <c r="E11" t="s">
        <v>12</v>
      </c>
      <c r="F11" t="s">
        <v>72</v>
      </c>
      <c r="G11" t="s">
        <v>166</v>
      </c>
      <c r="H11" s="94">
        <v>0.43</v>
      </c>
      <c r="I11" t="s">
        <v>107</v>
      </c>
      <c r="J11" t="s">
        <v>13</v>
      </c>
    </row>
    <row r="12" spans="1:15" x14ac:dyDescent="0.25">
      <c r="A12" t="s">
        <v>131</v>
      </c>
      <c r="B12" t="s">
        <v>14</v>
      </c>
      <c r="C12" s="12" t="s">
        <v>109</v>
      </c>
      <c r="D12" t="s">
        <v>4</v>
      </c>
      <c r="E12" t="s">
        <v>12</v>
      </c>
      <c r="F12" t="s">
        <v>72</v>
      </c>
      <c r="G12" t="s">
        <v>166</v>
      </c>
      <c r="H12" s="94">
        <v>0.43</v>
      </c>
      <c r="I12" t="s">
        <v>107</v>
      </c>
      <c r="J12" t="s">
        <v>63</v>
      </c>
    </row>
    <row r="13" spans="1:15" x14ac:dyDescent="0.25">
      <c r="A13" t="s">
        <v>131</v>
      </c>
      <c r="B13" t="s">
        <v>14</v>
      </c>
      <c r="C13" s="12" t="s">
        <v>109</v>
      </c>
      <c r="D13" t="s">
        <v>4</v>
      </c>
      <c r="E13" t="s">
        <v>12</v>
      </c>
      <c r="F13" t="s">
        <v>72</v>
      </c>
      <c r="G13" t="s">
        <v>166</v>
      </c>
      <c r="H13" s="94">
        <v>0.43</v>
      </c>
      <c r="I13" t="s">
        <v>107</v>
      </c>
      <c r="J13" t="s">
        <v>11</v>
      </c>
    </row>
    <row r="14" spans="1:15" x14ac:dyDescent="0.25">
      <c r="A14" t="s">
        <v>131</v>
      </c>
      <c r="B14" t="s">
        <v>14</v>
      </c>
      <c r="C14" s="12" t="s">
        <v>109</v>
      </c>
      <c r="D14" t="s">
        <v>4</v>
      </c>
      <c r="E14" t="s">
        <v>12</v>
      </c>
      <c r="F14" t="s">
        <v>72</v>
      </c>
      <c r="G14" t="s">
        <v>166</v>
      </c>
      <c r="H14" s="94">
        <v>0.43</v>
      </c>
      <c r="I14" t="s">
        <v>62</v>
      </c>
      <c r="J14" t="s">
        <v>13</v>
      </c>
    </row>
    <row r="15" spans="1:15" x14ac:dyDescent="0.25">
      <c r="A15" t="s">
        <v>131</v>
      </c>
      <c r="B15" t="s">
        <v>14</v>
      </c>
      <c r="C15" s="12" t="s">
        <v>109</v>
      </c>
      <c r="D15" t="s">
        <v>4</v>
      </c>
      <c r="E15" t="s">
        <v>12</v>
      </c>
      <c r="F15" t="s">
        <v>72</v>
      </c>
      <c r="G15" t="s">
        <v>166</v>
      </c>
      <c r="H15" s="94">
        <v>0.43</v>
      </c>
      <c r="I15" t="s">
        <v>62</v>
      </c>
      <c r="J15" t="s">
        <v>63</v>
      </c>
    </row>
    <row r="16" spans="1:15" x14ac:dyDescent="0.25">
      <c r="A16" t="s">
        <v>131</v>
      </c>
      <c r="B16" t="s">
        <v>14</v>
      </c>
      <c r="C16" s="12" t="s">
        <v>109</v>
      </c>
      <c r="D16" t="s">
        <v>4</v>
      </c>
      <c r="E16" t="s">
        <v>12</v>
      </c>
      <c r="F16" t="s">
        <v>72</v>
      </c>
      <c r="G16" t="s">
        <v>166</v>
      </c>
      <c r="H16" s="94">
        <v>0.43</v>
      </c>
      <c r="I16" t="s">
        <v>62</v>
      </c>
      <c r="J16" t="s">
        <v>11</v>
      </c>
    </row>
    <row r="17" spans="1:10" x14ac:dyDescent="0.25">
      <c r="A17" t="s">
        <v>131</v>
      </c>
      <c r="B17" t="s">
        <v>14</v>
      </c>
      <c r="C17" s="12" t="s">
        <v>109</v>
      </c>
      <c r="D17" t="s">
        <v>4</v>
      </c>
      <c r="E17" t="s">
        <v>12</v>
      </c>
      <c r="F17" t="s">
        <v>72</v>
      </c>
      <c r="G17" t="s">
        <v>166</v>
      </c>
      <c r="H17" s="94">
        <v>0.43</v>
      </c>
      <c r="I17" t="s">
        <v>60</v>
      </c>
      <c r="J17" t="s">
        <v>13</v>
      </c>
    </row>
    <row r="18" spans="1:10" x14ac:dyDescent="0.25">
      <c r="A18" t="s">
        <v>131</v>
      </c>
      <c r="B18" t="s">
        <v>14</v>
      </c>
      <c r="C18" s="12" t="s">
        <v>109</v>
      </c>
      <c r="D18" t="s">
        <v>4</v>
      </c>
      <c r="E18" t="s">
        <v>12</v>
      </c>
      <c r="F18" t="s">
        <v>72</v>
      </c>
      <c r="G18" t="s">
        <v>166</v>
      </c>
      <c r="H18" s="94">
        <v>0.43</v>
      </c>
      <c r="I18" t="s">
        <v>60</v>
      </c>
      <c r="J18" t="s">
        <v>63</v>
      </c>
    </row>
    <row r="19" spans="1:10" x14ac:dyDescent="0.25">
      <c r="A19" t="s">
        <v>131</v>
      </c>
      <c r="B19" t="s">
        <v>14</v>
      </c>
      <c r="C19" s="12" t="s">
        <v>109</v>
      </c>
      <c r="D19" t="s">
        <v>4</v>
      </c>
      <c r="E19" t="s">
        <v>12</v>
      </c>
      <c r="F19" t="s">
        <v>72</v>
      </c>
      <c r="G19" t="s">
        <v>166</v>
      </c>
      <c r="H19" s="94">
        <v>0.43</v>
      </c>
      <c r="I19" t="s">
        <v>60</v>
      </c>
      <c r="J19" t="s">
        <v>11</v>
      </c>
    </row>
    <row r="20" spans="1:10" x14ac:dyDescent="0.25">
      <c r="A20" t="s">
        <v>131</v>
      </c>
      <c r="B20" t="s">
        <v>14</v>
      </c>
      <c r="C20" s="12" t="s">
        <v>109</v>
      </c>
      <c r="D20" t="s">
        <v>4</v>
      </c>
      <c r="E20" t="s">
        <v>12</v>
      </c>
      <c r="F20" t="s">
        <v>16</v>
      </c>
      <c r="G20" t="s">
        <v>166</v>
      </c>
      <c r="H20" s="94">
        <v>0.22500000000000001</v>
      </c>
      <c r="I20" t="s">
        <v>107</v>
      </c>
      <c r="J20" t="s">
        <v>13</v>
      </c>
    </row>
    <row r="21" spans="1:10" x14ac:dyDescent="0.25">
      <c r="A21" t="s">
        <v>131</v>
      </c>
      <c r="B21" t="s">
        <v>14</v>
      </c>
      <c r="C21" s="12" t="s">
        <v>109</v>
      </c>
      <c r="D21" t="s">
        <v>4</v>
      </c>
      <c r="E21" t="s">
        <v>12</v>
      </c>
      <c r="F21" t="s">
        <v>16</v>
      </c>
      <c r="G21" t="s">
        <v>166</v>
      </c>
      <c r="H21" s="94">
        <v>0.22500000000000001</v>
      </c>
      <c r="I21" t="s">
        <v>107</v>
      </c>
      <c r="J21" t="s">
        <v>63</v>
      </c>
    </row>
    <row r="22" spans="1:10" x14ac:dyDescent="0.25">
      <c r="A22" t="s">
        <v>131</v>
      </c>
      <c r="B22" t="s">
        <v>14</v>
      </c>
      <c r="C22" s="12" t="s">
        <v>109</v>
      </c>
      <c r="D22" t="s">
        <v>4</v>
      </c>
      <c r="E22" t="s">
        <v>12</v>
      </c>
      <c r="F22" t="s">
        <v>16</v>
      </c>
      <c r="G22" t="s">
        <v>166</v>
      </c>
      <c r="H22" s="94">
        <v>0.22500000000000001</v>
      </c>
      <c r="I22" t="s">
        <v>107</v>
      </c>
      <c r="J22" t="s">
        <v>11</v>
      </c>
    </row>
    <row r="23" spans="1:10" x14ac:dyDescent="0.25">
      <c r="A23" t="s">
        <v>131</v>
      </c>
      <c r="B23" t="s">
        <v>14</v>
      </c>
      <c r="C23" s="12" t="s">
        <v>109</v>
      </c>
      <c r="D23" t="s">
        <v>4</v>
      </c>
      <c r="E23" t="s">
        <v>12</v>
      </c>
      <c r="F23" t="s">
        <v>16</v>
      </c>
      <c r="G23" t="s">
        <v>166</v>
      </c>
      <c r="H23" s="94">
        <v>0.22500000000000001</v>
      </c>
      <c r="I23" t="s">
        <v>62</v>
      </c>
      <c r="J23" t="s">
        <v>13</v>
      </c>
    </row>
    <row r="24" spans="1:10" x14ac:dyDescent="0.25">
      <c r="A24" t="s">
        <v>131</v>
      </c>
      <c r="B24" t="s">
        <v>14</v>
      </c>
      <c r="C24" s="12" t="s">
        <v>109</v>
      </c>
      <c r="D24" t="s">
        <v>4</v>
      </c>
      <c r="E24" t="s">
        <v>12</v>
      </c>
      <c r="F24" t="s">
        <v>16</v>
      </c>
      <c r="G24" t="s">
        <v>166</v>
      </c>
      <c r="H24" s="94">
        <v>0.22500000000000001</v>
      </c>
      <c r="I24" t="s">
        <v>62</v>
      </c>
      <c r="J24" t="s">
        <v>63</v>
      </c>
    </row>
    <row r="25" spans="1:10" x14ac:dyDescent="0.25">
      <c r="A25" t="s">
        <v>131</v>
      </c>
      <c r="B25" t="s">
        <v>14</v>
      </c>
      <c r="C25" s="12" t="s">
        <v>109</v>
      </c>
      <c r="D25" t="s">
        <v>4</v>
      </c>
      <c r="E25" t="s">
        <v>12</v>
      </c>
      <c r="F25" t="s">
        <v>16</v>
      </c>
      <c r="G25" t="s">
        <v>166</v>
      </c>
      <c r="H25" s="94">
        <v>0.22500000000000001</v>
      </c>
      <c r="I25" t="s">
        <v>62</v>
      </c>
      <c r="J25" t="s">
        <v>11</v>
      </c>
    </row>
    <row r="26" spans="1:10" x14ac:dyDescent="0.25">
      <c r="A26" t="s">
        <v>131</v>
      </c>
      <c r="B26" t="s">
        <v>14</v>
      </c>
      <c r="C26" s="12" t="s">
        <v>109</v>
      </c>
      <c r="D26" t="s">
        <v>4</v>
      </c>
      <c r="E26" t="s">
        <v>12</v>
      </c>
      <c r="F26" t="s">
        <v>16</v>
      </c>
      <c r="G26" t="s">
        <v>166</v>
      </c>
      <c r="H26" s="94">
        <v>0.22500000000000001</v>
      </c>
      <c r="I26" t="s">
        <v>60</v>
      </c>
      <c r="J26" t="s">
        <v>13</v>
      </c>
    </row>
    <row r="27" spans="1:10" x14ac:dyDescent="0.25">
      <c r="A27" t="s">
        <v>131</v>
      </c>
      <c r="B27" t="s">
        <v>14</v>
      </c>
      <c r="C27" s="12" t="s">
        <v>109</v>
      </c>
      <c r="D27" t="s">
        <v>4</v>
      </c>
      <c r="E27" t="s">
        <v>12</v>
      </c>
      <c r="F27" t="s">
        <v>16</v>
      </c>
      <c r="G27" t="s">
        <v>166</v>
      </c>
      <c r="H27" s="94">
        <v>0.22500000000000001</v>
      </c>
      <c r="I27" t="s">
        <v>60</v>
      </c>
      <c r="J27" t="s">
        <v>63</v>
      </c>
    </row>
    <row r="28" spans="1:10" x14ac:dyDescent="0.25">
      <c r="A28" t="s">
        <v>131</v>
      </c>
      <c r="B28" t="s">
        <v>14</v>
      </c>
      <c r="C28" s="12" t="s">
        <v>109</v>
      </c>
      <c r="D28" t="s">
        <v>4</v>
      </c>
      <c r="E28" t="s">
        <v>12</v>
      </c>
      <c r="F28" t="s">
        <v>16</v>
      </c>
      <c r="G28" t="s">
        <v>166</v>
      </c>
      <c r="H28" s="94">
        <v>0.22500000000000001</v>
      </c>
      <c r="I28" t="s">
        <v>60</v>
      </c>
      <c r="J28" t="s">
        <v>11</v>
      </c>
    </row>
    <row r="29" spans="1:10" x14ac:dyDescent="0.25">
      <c r="A29" t="s">
        <v>131</v>
      </c>
      <c r="B29" t="s">
        <v>14</v>
      </c>
      <c r="C29" s="12" t="s">
        <v>109</v>
      </c>
      <c r="D29" t="s">
        <v>4</v>
      </c>
      <c r="E29" t="s">
        <v>12</v>
      </c>
      <c r="F29" t="s">
        <v>16</v>
      </c>
      <c r="G29" t="s">
        <v>166</v>
      </c>
      <c r="H29" s="94">
        <v>0.43</v>
      </c>
      <c r="I29" t="s">
        <v>107</v>
      </c>
      <c r="J29" t="s">
        <v>13</v>
      </c>
    </row>
    <row r="30" spans="1:10" x14ac:dyDescent="0.25">
      <c r="A30" t="s">
        <v>131</v>
      </c>
      <c r="B30" t="s">
        <v>14</v>
      </c>
      <c r="C30" s="12" t="s">
        <v>109</v>
      </c>
      <c r="D30" t="s">
        <v>4</v>
      </c>
      <c r="E30" t="s">
        <v>12</v>
      </c>
      <c r="F30" t="s">
        <v>16</v>
      </c>
      <c r="G30" t="s">
        <v>166</v>
      </c>
      <c r="H30" s="94">
        <v>0.43</v>
      </c>
      <c r="I30" t="s">
        <v>107</v>
      </c>
      <c r="J30" t="s">
        <v>63</v>
      </c>
    </row>
    <row r="31" spans="1:10" x14ac:dyDescent="0.25">
      <c r="A31" t="s">
        <v>131</v>
      </c>
      <c r="B31" t="s">
        <v>14</v>
      </c>
      <c r="C31" s="12" t="s">
        <v>109</v>
      </c>
      <c r="D31" t="s">
        <v>4</v>
      </c>
      <c r="E31" t="s">
        <v>12</v>
      </c>
      <c r="F31" t="s">
        <v>16</v>
      </c>
      <c r="G31" t="s">
        <v>166</v>
      </c>
      <c r="H31" s="94">
        <v>0.43</v>
      </c>
      <c r="I31" t="s">
        <v>107</v>
      </c>
      <c r="J31" t="s">
        <v>11</v>
      </c>
    </row>
    <row r="32" spans="1:10" x14ac:dyDescent="0.25">
      <c r="A32" t="s">
        <v>131</v>
      </c>
      <c r="B32" t="s">
        <v>14</v>
      </c>
      <c r="C32" s="12" t="s">
        <v>109</v>
      </c>
      <c r="D32" t="s">
        <v>4</v>
      </c>
      <c r="E32" t="s">
        <v>12</v>
      </c>
      <c r="F32" t="s">
        <v>16</v>
      </c>
      <c r="G32" t="s">
        <v>166</v>
      </c>
      <c r="H32" s="94">
        <v>0.43</v>
      </c>
      <c r="I32" t="s">
        <v>62</v>
      </c>
      <c r="J32" t="s">
        <v>13</v>
      </c>
    </row>
    <row r="33" spans="1:10" x14ac:dyDescent="0.25">
      <c r="A33" t="s">
        <v>131</v>
      </c>
      <c r="B33" t="s">
        <v>14</v>
      </c>
      <c r="C33" s="12" t="s">
        <v>109</v>
      </c>
      <c r="D33" t="s">
        <v>4</v>
      </c>
      <c r="E33" t="s">
        <v>12</v>
      </c>
      <c r="F33" t="s">
        <v>16</v>
      </c>
      <c r="G33" t="s">
        <v>166</v>
      </c>
      <c r="H33" s="94">
        <v>0.43</v>
      </c>
      <c r="I33" t="s">
        <v>62</v>
      </c>
      <c r="J33" t="s">
        <v>63</v>
      </c>
    </row>
    <row r="34" spans="1:10" x14ac:dyDescent="0.25">
      <c r="A34" t="s">
        <v>131</v>
      </c>
      <c r="B34" t="s">
        <v>14</v>
      </c>
      <c r="C34" s="12" t="s">
        <v>109</v>
      </c>
      <c r="D34" t="s">
        <v>4</v>
      </c>
      <c r="E34" t="s">
        <v>12</v>
      </c>
      <c r="F34" t="s">
        <v>16</v>
      </c>
      <c r="G34" t="s">
        <v>166</v>
      </c>
      <c r="H34" s="94">
        <v>0.43</v>
      </c>
      <c r="I34" t="s">
        <v>62</v>
      </c>
      <c r="J34" t="s">
        <v>11</v>
      </c>
    </row>
    <row r="35" spans="1:10" x14ac:dyDescent="0.25">
      <c r="A35" t="s">
        <v>131</v>
      </c>
      <c r="B35" t="s">
        <v>14</v>
      </c>
      <c r="C35" s="12" t="s">
        <v>109</v>
      </c>
      <c r="D35" t="s">
        <v>4</v>
      </c>
      <c r="E35" t="s">
        <v>12</v>
      </c>
      <c r="F35" t="s">
        <v>16</v>
      </c>
      <c r="G35" t="s">
        <v>166</v>
      </c>
      <c r="H35" s="94">
        <v>0.43</v>
      </c>
      <c r="I35" t="s">
        <v>60</v>
      </c>
      <c r="J35" t="s">
        <v>13</v>
      </c>
    </row>
    <row r="36" spans="1:10" x14ac:dyDescent="0.25">
      <c r="A36" t="s">
        <v>131</v>
      </c>
      <c r="B36" t="s">
        <v>14</v>
      </c>
      <c r="C36" s="12" t="s">
        <v>109</v>
      </c>
      <c r="D36" t="s">
        <v>4</v>
      </c>
      <c r="E36" t="s">
        <v>12</v>
      </c>
      <c r="F36" t="s">
        <v>16</v>
      </c>
      <c r="G36" t="s">
        <v>166</v>
      </c>
      <c r="H36" s="94">
        <v>0.43</v>
      </c>
      <c r="I36" t="s">
        <v>60</v>
      </c>
      <c r="J36" t="s">
        <v>63</v>
      </c>
    </row>
    <row r="37" spans="1:10" x14ac:dyDescent="0.25">
      <c r="A37" t="s">
        <v>131</v>
      </c>
      <c r="B37" t="s">
        <v>14</v>
      </c>
      <c r="C37" s="12" t="s">
        <v>109</v>
      </c>
      <c r="D37" t="s">
        <v>4</v>
      </c>
      <c r="E37" t="s">
        <v>12</v>
      </c>
      <c r="F37" t="s">
        <v>16</v>
      </c>
      <c r="G37" t="s">
        <v>166</v>
      </c>
      <c r="H37" s="94">
        <v>0.43</v>
      </c>
      <c r="I37" t="s">
        <v>60</v>
      </c>
      <c r="J37" t="s">
        <v>11</v>
      </c>
    </row>
    <row r="38" spans="1:10" x14ac:dyDescent="0.25">
      <c r="A38" t="s">
        <v>131</v>
      </c>
      <c r="B38" t="s">
        <v>14</v>
      </c>
      <c r="C38" s="12" t="s">
        <v>109</v>
      </c>
      <c r="D38" t="s">
        <v>4</v>
      </c>
      <c r="E38" t="s">
        <v>12</v>
      </c>
      <c r="F38" t="s">
        <v>8</v>
      </c>
      <c r="G38" t="s">
        <v>166</v>
      </c>
      <c r="H38" s="94">
        <v>0.22500000000000001</v>
      </c>
      <c r="I38" t="s">
        <v>107</v>
      </c>
      <c r="J38" t="s">
        <v>13</v>
      </c>
    </row>
    <row r="39" spans="1:10" x14ac:dyDescent="0.25">
      <c r="A39" t="s">
        <v>131</v>
      </c>
      <c r="B39" t="s">
        <v>14</v>
      </c>
      <c r="C39" s="12" t="s">
        <v>109</v>
      </c>
      <c r="D39" t="s">
        <v>4</v>
      </c>
      <c r="E39" t="s">
        <v>12</v>
      </c>
      <c r="F39" t="s">
        <v>8</v>
      </c>
      <c r="G39" t="s">
        <v>166</v>
      </c>
      <c r="H39" s="94">
        <v>0.22500000000000001</v>
      </c>
      <c r="I39" t="s">
        <v>107</v>
      </c>
      <c r="J39" t="s">
        <v>63</v>
      </c>
    </row>
    <row r="40" spans="1:10" x14ac:dyDescent="0.25">
      <c r="A40" t="s">
        <v>131</v>
      </c>
      <c r="B40" t="s">
        <v>14</v>
      </c>
      <c r="C40" s="12" t="s">
        <v>109</v>
      </c>
      <c r="D40" t="s">
        <v>4</v>
      </c>
      <c r="E40" t="s">
        <v>12</v>
      </c>
      <c r="F40" t="s">
        <v>8</v>
      </c>
      <c r="G40" t="s">
        <v>166</v>
      </c>
      <c r="H40" s="94">
        <v>0.22500000000000001</v>
      </c>
      <c r="I40" t="s">
        <v>107</v>
      </c>
      <c r="J40" t="s">
        <v>11</v>
      </c>
    </row>
    <row r="41" spans="1:10" x14ac:dyDescent="0.25">
      <c r="A41" t="s">
        <v>131</v>
      </c>
      <c r="B41" t="s">
        <v>14</v>
      </c>
      <c r="C41" s="12" t="s">
        <v>109</v>
      </c>
      <c r="D41" t="s">
        <v>4</v>
      </c>
      <c r="E41" t="s">
        <v>12</v>
      </c>
      <c r="F41" t="s">
        <v>8</v>
      </c>
      <c r="G41" t="s">
        <v>166</v>
      </c>
      <c r="H41" s="94">
        <v>0.22500000000000001</v>
      </c>
      <c r="I41" t="s">
        <v>62</v>
      </c>
      <c r="J41" t="s">
        <v>13</v>
      </c>
    </row>
    <row r="42" spans="1:10" x14ac:dyDescent="0.25">
      <c r="A42" t="s">
        <v>131</v>
      </c>
      <c r="B42" t="s">
        <v>14</v>
      </c>
      <c r="C42" s="12" t="s">
        <v>109</v>
      </c>
      <c r="D42" t="s">
        <v>4</v>
      </c>
      <c r="E42" t="s">
        <v>12</v>
      </c>
      <c r="F42" t="s">
        <v>8</v>
      </c>
      <c r="G42" t="s">
        <v>166</v>
      </c>
      <c r="H42" s="94">
        <v>0.22500000000000001</v>
      </c>
      <c r="I42" t="s">
        <v>62</v>
      </c>
      <c r="J42" t="s">
        <v>63</v>
      </c>
    </row>
    <row r="43" spans="1:10" x14ac:dyDescent="0.25">
      <c r="A43" t="s">
        <v>131</v>
      </c>
      <c r="B43" t="s">
        <v>14</v>
      </c>
      <c r="C43" s="12" t="s">
        <v>109</v>
      </c>
      <c r="D43" t="s">
        <v>4</v>
      </c>
      <c r="E43" t="s">
        <v>12</v>
      </c>
      <c r="F43" t="s">
        <v>8</v>
      </c>
      <c r="G43" t="s">
        <v>166</v>
      </c>
      <c r="H43" s="94">
        <v>0.22500000000000001</v>
      </c>
      <c r="I43" t="s">
        <v>62</v>
      </c>
      <c r="J43" t="s">
        <v>11</v>
      </c>
    </row>
    <row r="44" spans="1:10" x14ac:dyDescent="0.25">
      <c r="A44" t="s">
        <v>131</v>
      </c>
      <c r="B44" t="s">
        <v>14</v>
      </c>
      <c r="C44" s="12" t="s">
        <v>109</v>
      </c>
      <c r="D44" t="s">
        <v>4</v>
      </c>
      <c r="E44" t="s">
        <v>12</v>
      </c>
      <c r="F44" t="s">
        <v>8</v>
      </c>
      <c r="G44" t="s">
        <v>166</v>
      </c>
      <c r="H44" s="94">
        <v>0.22500000000000001</v>
      </c>
      <c r="I44" t="s">
        <v>60</v>
      </c>
      <c r="J44" t="s">
        <v>13</v>
      </c>
    </row>
    <row r="45" spans="1:10" x14ac:dyDescent="0.25">
      <c r="A45" t="s">
        <v>131</v>
      </c>
      <c r="B45" t="s">
        <v>14</v>
      </c>
      <c r="C45" s="12" t="s">
        <v>109</v>
      </c>
      <c r="D45" t="s">
        <v>4</v>
      </c>
      <c r="E45" t="s">
        <v>12</v>
      </c>
      <c r="F45" t="s">
        <v>8</v>
      </c>
      <c r="G45" t="s">
        <v>166</v>
      </c>
      <c r="H45" s="94">
        <v>0.22500000000000001</v>
      </c>
      <c r="I45" t="s">
        <v>60</v>
      </c>
      <c r="J45" t="s">
        <v>63</v>
      </c>
    </row>
    <row r="46" spans="1:10" x14ac:dyDescent="0.25">
      <c r="A46" t="s">
        <v>131</v>
      </c>
      <c r="B46" t="s">
        <v>14</v>
      </c>
      <c r="C46" s="12" t="s">
        <v>109</v>
      </c>
      <c r="D46" t="s">
        <v>4</v>
      </c>
      <c r="E46" t="s">
        <v>12</v>
      </c>
      <c r="F46" t="s">
        <v>8</v>
      </c>
      <c r="G46" t="s">
        <v>166</v>
      </c>
      <c r="H46" s="94">
        <v>0.22500000000000001</v>
      </c>
      <c r="I46" t="s">
        <v>60</v>
      </c>
      <c r="J46" t="s">
        <v>11</v>
      </c>
    </row>
    <row r="47" spans="1:10" x14ac:dyDescent="0.25">
      <c r="A47" t="s">
        <v>131</v>
      </c>
      <c r="B47" t="s">
        <v>14</v>
      </c>
      <c r="C47" s="12" t="s">
        <v>109</v>
      </c>
      <c r="D47" t="s">
        <v>4</v>
      </c>
      <c r="E47" t="s">
        <v>12</v>
      </c>
      <c r="F47" t="s">
        <v>8</v>
      </c>
      <c r="G47" t="s">
        <v>166</v>
      </c>
      <c r="H47" s="94">
        <v>0.43</v>
      </c>
      <c r="I47" t="s">
        <v>107</v>
      </c>
      <c r="J47" t="s">
        <v>13</v>
      </c>
    </row>
    <row r="48" spans="1:10" x14ac:dyDescent="0.25">
      <c r="A48" t="s">
        <v>131</v>
      </c>
      <c r="B48" t="s">
        <v>14</v>
      </c>
      <c r="C48" s="12" t="s">
        <v>109</v>
      </c>
      <c r="D48" t="s">
        <v>4</v>
      </c>
      <c r="E48" t="s">
        <v>12</v>
      </c>
      <c r="F48" t="s">
        <v>8</v>
      </c>
      <c r="G48" t="s">
        <v>166</v>
      </c>
      <c r="H48" s="94">
        <v>0.43</v>
      </c>
      <c r="I48" t="s">
        <v>107</v>
      </c>
      <c r="J48" t="s">
        <v>63</v>
      </c>
    </row>
    <row r="49" spans="1:10" x14ac:dyDescent="0.25">
      <c r="A49" t="s">
        <v>131</v>
      </c>
      <c r="B49" t="s">
        <v>14</v>
      </c>
      <c r="C49" s="12" t="s">
        <v>109</v>
      </c>
      <c r="D49" t="s">
        <v>4</v>
      </c>
      <c r="E49" t="s">
        <v>12</v>
      </c>
      <c r="F49" t="s">
        <v>8</v>
      </c>
      <c r="G49" t="s">
        <v>166</v>
      </c>
      <c r="H49" s="94">
        <v>0.43</v>
      </c>
      <c r="I49" t="s">
        <v>107</v>
      </c>
      <c r="J49" t="s">
        <v>11</v>
      </c>
    </row>
    <row r="50" spans="1:10" x14ac:dyDescent="0.25">
      <c r="A50" t="s">
        <v>131</v>
      </c>
      <c r="B50" t="s">
        <v>14</v>
      </c>
      <c r="C50" s="12" t="s">
        <v>109</v>
      </c>
      <c r="D50" t="s">
        <v>4</v>
      </c>
      <c r="E50" t="s">
        <v>12</v>
      </c>
      <c r="F50" t="s">
        <v>8</v>
      </c>
      <c r="G50" t="s">
        <v>166</v>
      </c>
      <c r="H50" s="94">
        <v>0.43</v>
      </c>
      <c r="I50" t="s">
        <v>62</v>
      </c>
      <c r="J50" t="s">
        <v>13</v>
      </c>
    </row>
    <row r="51" spans="1:10" x14ac:dyDescent="0.25">
      <c r="A51" t="s">
        <v>131</v>
      </c>
      <c r="B51" t="s">
        <v>14</v>
      </c>
      <c r="C51" s="12" t="s">
        <v>109</v>
      </c>
      <c r="D51" t="s">
        <v>4</v>
      </c>
      <c r="E51" t="s">
        <v>12</v>
      </c>
      <c r="F51" t="s">
        <v>8</v>
      </c>
      <c r="G51" t="s">
        <v>166</v>
      </c>
      <c r="H51" s="94">
        <v>0.43</v>
      </c>
      <c r="I51" t="s">
        <v>62</v>
      </c>
      <c r="J51" t="s">
        <v>63</v>
      </c>
    </row>
    <row r="52" spans="1:10" x14ac:dyDescent="0.25">
      <c r="A52" t="s">
        <v>131</v>
      </c>
      <c r="B52" t="s">
        <v>14</v>
      </c>
      <c r="C52" s="12" t="s">
        <v>109</v>
      </c>
      <c r="D52" t="s">
        <v>4</v>
      </c>
      <c r="E52" t="s">
        <v>12</v>
      </c>
      <c r="F52" t="s">
        <v>8</v>
      </c>
      <c r="G52" t="s">
        <v>166</v>
      </c>
      <c r="H52" s="94">
        <v>0.43</v>
      </c>
      <c r="I52" t="s">
        <v>62</v>
      </c>
      <c r="J52" t="s">
        <v>11</v>
      </c>
    </row>
    <row r="53" spans="1:10" x14ac:dyDescent="0.25">
      <c r="A53" t="s">
        <v>131</v>
      </c>
      <c r="B53" t="s">
        <v>14</v>
      </c>
      <c r="C53" s="12" t="s">
        <v>109</v>
      </c>
      <c r="D53" t="s">
        <v>4</v>
      </c>
      <c r="E53" t="s">
        <v>12</v>
      </c>
      <c r="F53" t="s">
        <v>8</v>
      </c>
      <c r="G53" t="s">
        <v>166</v>
      </c>
      <c r="H53" s="94">
        <v>0.43</v>
      </c>
      <c r="I53" t="s">
        <v>60</v>
      </c>
      <c r="J53" t="s">
        <v>13</v>
      </c>
    </row>
    <row r="54" spans="1:10" x14ac:dyDescent="0.25">
      <c r="A54" t="s">
        <v>131</v>
      </c>
      <c r="B54" t="s">
        <v>14</v>
      </c>
      <c r="C54" s="12" t="s">
        <v>109</v>
      </c>
      <c r="D54" t="s">
        <v>4</v>
      </c>
      <c r="E54" t="s">
        <v>12</v>
      </c>
      <c r="F54" t="s">
        <v>8</v>
      </c>
      <c r="G54" t="s">
        <v>166</v>
      </c>
      <c r="H54" s="94">
        <v>0.43</v>
      </c>
      <c r="I54" t="s">
        <v>60</v>
      </c>
      <c r="J54" t="s">
        <v>63</v>
      </c>
    </row>
    <row r="55" spans="1:10" x14ac:dyDescent="0.25">
      <c r="A55" t="s">
        <v>131</v>
      </c>
      <c r="B55" t="s">
        <v>14</v>
      </c>
      <c r="C55" s="12" t="s">
        <v>109</v>
      </c>
      <c r="D55" t="s">
        <v>4</v>
      </c>
      <c r="E55" t="s">
        <v>12</v>
      </c>
      <c r="F55" t="s">
        <v>8</v>
      </c>
      <c r="G55" t="s">
        <v>166</v>
      </c>
      <c r="H55" s="94">
        <v>0.43</v>
      </c>
      <c r="I55" t="s">
        <v>60</v>
      </c>
      <c r="J55" t="s">
        <v>11</v>
      </c>
    </row>
    <row r="56" spans="1:10" x14ac:dyDescent="0.25">
      <c r="A56" t="s">
        <v>131</v>
      </c>
      <c r="B56" t="s">
        <v>14</v>
      </c>
      <c r="C56" s="12" t="s">
        <v>109</v>
      </c>
      <c r="D56" t="s">
        <v>4</v>
      </c>
      <c r="E56" t="s">
        <v>6</v>
      </c>
      <c r="F56" t="s">
        <v>72</v>
      </c>
      <c r="G56" t="s">
        <v>166</v>
      </c>
      <c r="H56" s="94">
        <v>0.22500000000000001</v>
      </c>
      <c r="I56" t="s">
        <v>107</v>
      </c>
      <c r="J56" t="s">
        <v>13</v>
      </c>
    </row>
    <row r="57" spans="1:10" x14ac:dyDescent="0.25">
      <c r="A57" t="s">
        <v>131</v>
      </c>
      <c r="B57" t="s">
        <v>14</v>
      </c>
      <c r="C57" s="12" t="s">
        <v>109</v>
      </c>
      <c r="D57" t="s">
        <v>4</v>
      </c>
      <c r="E57" t="s">
        <v>6</v>
      </c>
      <c r="F57" t="s">
        <v>72</v>
      </c>
      <c r="G57" t="s">
        <v>166</v>
      </c>
      <c r="H57" s="94">
        <v>0.22500000000000001</v>
      </c>
      <c r="I57" t="s">
        <v>107</v>
      </c>
      <c r="J57" t="s">
        <v>63</v>
      </c>
    </row>
    <row r="58" spans="1:10" x14ac:dyDescent="0.25">
      <c r="A58" t="s">
        <v>131</v>
      </c>
      <c r="B58" t="s">
        <v>14</v>
      </c>
      <c r="C58" s="12" t="s">
        <v>109</v>
      </c>
      <c r="D58" t="s">
        <v>4</v>
      </c>
      <c r="E58" t="s">
        <v>6</v>
      </c>
      <c r="F58" t="s">
        <v>72</v>
      </c>
      <c r="G58" t="s">
        <v>166</v>
      </c>
      <c r="H58" s="94">
        <v>0.22500000000000001</v>
      </c>
      <c r="I58" t="s">
        <v>107</v>
      </c>
      <c r="J58" t="s">
        <v>11</v>
      </c>
    </row>
    <row r="59" spans="1:10" x14ac:dyDescent="0.25">
      <c r="A59" t="s">
        <v>131</v>
      </c>
      <c r="B59" t="s">
        <v>14</v>
      </c>
      <c r="C59" s="12" t="s">
        <v>109</v>
      </c>
      <c r="D59" t="s">
        <v>4</v>
      </c>
      <c r="E59" t="s">
        <v>6</v>
      </c>
      <c r="F59" t="s">
        <v>72</v>
      </c>
      <c r="G59" t="s">
        <v>166</v>
      </c>
      <c r="H59" s="94">
        <v>0.22500000000000001</v>
      </c>
      <c r="I59" t="s">
        <v>62</v>
      </c>
      <c r="J59" t="s">
        <v>13</v>
      </c>
    </row>
    <row r="60" spans="1:10" x14ac:dyDescent="0.25">
      <c r="A60" t="s">
        <v>131</v>
      </c>
      <c r="B60" t="s">
        <v>14</v>
      </c>
      <c r="C60" s="12" t="s">
        <v>109</v>
      </c>
      <c r="D60" t="s">
        <v>4</v>
      </c>
      <c r="E60" t="s">
        <v>6</v>
      </c>
      <c r="F60" t="s">
        <v>72</v>
      </c>
      <c r="G60" t="s">
        <v>166</v>
      </c>
      <c r="H60" s="94">
        <v>0.22500000000000001</v>
      </c>
      <c r="I60" t="s">
        <v>62</v>
      </c>
      <c r="J60" t="s">
        <v>63</v>
      </c>
    </row>
    <row r="61" spans="1:10" x14ac:dyDescent="0.25">
      <c r="A61" t="s">
        <v>131</v>
      </c>
      <c r="B61" t="s">
        <v>14</v>
      </c>
      <c r="C61" s="12" t="s">
        <v>109</v>
      </c>
      <c r="D61" t="s">
        <v>4</v>
      </c>
      <c r="E61" t="s">
        <v>6</v>
      </c>
      <c r="F61" t="s">
        <v>72</v>
      </c>
      <c r="G61" t="s">
        <v>166</v>
      </c>
      <c r="H61" s="94">
        <v>0.22500000000000001</v>
      </c>
      <c r="I61" t="s">
        <v>62</v>
      </c>
      <c r="J61" t="s">
        <v>11</v>
      </c>
    </row>
    <row r="62" spans="1:10" x14ac:dyDescent="0.25">
      <c r="A62" t="s">
        <v>131</v>
      </c>
      <c r="B62" t="s">
        <v>14</v>
      </c>
      <c r="C62" s="12" t="s">
        <v>109</v>
      </c>
      <c r="D62" t="s">
        <v>4</v>
      </c>
      <c r="E62" t="s">
        <v>6</v>
      </c>
      <c r="F62" t="s">
        <v>72</v>
      </c>
      <c r="G62" t="s">
        <v>166</v>
      </c>
      <c r="H62" s="94">
        <v>0.22500000000000001</v>
      </c>
      <c r="I62" t="s">
        <v>60</v>
      </c>
      <c r="J62" t="s">
        <v>13</v>
      </c>
    </row>
    <row r="63" spans="1:10" x14ac:dyDescent="0.25">
      <c r="A63" t="s">
        <v>131</v>
      </c>
      <c r="B63" t="s">
        <v>14</v>
      </c>
      <c r="C63" s="12" t="s">
        <v>109</v>
      </c>
      <c r="D63" t="s">
        <v>4</v>
      </c>
      <c r="E63" t="s">
        <v>6</v>
      </c>
      <c r="F63" t="s">
        <v>72</v>
      </c>
      <c r="G63" t="s">
        <v>166</v>
      </c>
      <c r="H63" s="94">
        <v>0.22500000000000001</v>
      </c>
      <c r="I63" t="s">
        <v>60</v>
      </c>
      <c r="J63" t="s">
        <v>63</v>
      </c>
    </row>
    <row r="64" spans="1:10" x14ac:dyDescent="0.25">
      <c r="A64" t="s">
        <v>131</v>
      </c>
      <c r="B64" t="s">
        <v>14</v>
      </c>
      <c r="C64" s="12" t="s">
        <v>109</v>
      </c>
      <c r="D64" t="s">
        <v>4</v>
      </c>
      <c r="E64" t="s">
        <v>6</v>
      </c>
      <c r="F64" t="s">
        <v>72</v>
      </c>
      <c r="G64" t="s">
        <v>166</v>
      </c>
      <c r="H64" s="94">
        <v>0.22500000000000001</v>
      </c>
      <c r="I64" t="s">
        <v>60</v>
      </c>
      <c r="J64" t="s">
        <v>11</v>
      </c>
    </row>
    <row r="65" spans="1:10" x14ac:dyDescent="0.25">
      <c r="A65" t="s">
        <v>131</v>
      </c>
      <c r="B65" t="s">
        <v>14</v>
      </c>
      <c r="C65" s="12" t="s">
        <v>109</v>
      </c>
      <c r="D65" t="s">
        <v>4</v>
      </c>
      <c r="E65" t="s">
        <v>6</v>
      </c>
      <c r="F65" t="s">
        <v>72</v>
      </c>
      <c r="G65" t="s">
        <v>166</v>
      </c>
      <c r="H65" s="94">
        <v>0.43</v>
      </c>
      <c r="I65" t="s">
        <v>107</v>
      </c>
      <c r="J65" t="s">
        <v>13</v>
      </c>
    </row>
    <row r="66" spans="1:10" x14ac:dyDescent="0.25">
      <c r="A66" t="s">
        <v>131</v>
      </c>
      <c r="B66" t="s">
        <v>14</v>
      </c>
      <c r="C66" s="12" t="s">
        <v>109</v>
      </c>
      <c r="D66" t="s">
        <v>4</v>
      </c>
      <c r="E66" t="s">
        <v>6</v>
      </c>
      <c r="F66" t="s">
        <v>72</v>
      </c>
      <c r="G66" t="s">
        <v>166</v>
      </c>
      <c r="H66" s="94">
        <v>0.43</v>
      </c>
      <c r="I66" t="s">
        <v>107</v>
      </c>
      <c r="J66" t="s">
        <v>63</v>
      </c>
    </row>
    <row r="67" spans="1:10" x14ac:dyDescent="0.25">
      <c r="A67" t="s">
        <v>131</v>
      </c>
      <c r="B67" t="s">
        <v>14</v>
      </c>
      <c r="C67" s="12" t="s">
        <v>109</v>
      </c>
      <c r="D67" t="s">
        <v>4</v>
      </c>
      <c r="E67" t="s">
        <v>6</v>
      </c>
      <c r="F67" t="s">
        <v>72</v>
      </c>
      <c r="G67" t="s">
        <v>166</v>
      </c>
      <c r="H67" s="94">
        <v>0.43</v>
      </c>
      <c r="I67" t="s">
        <v>107</v>
      </c>
      <c r="J67" t="s">
        <v>11</v>
      </c>
    </row>
    <row r="68" spans="1:10" x14ac:dyDescent="0.25">
      <c r="A68" t="s">
        <v>131</v>
      </c>
      <c r="B68" t="s">
        <v>14</v>
      </c>
      <c r="C68" s="12" t="s">
        <v>109</v>
      </c>
      <c r="D68" t="s">
        <v>4</v>
      </c>
      <c r="E68" t="s">
        <v>6</v>
      </c>
      <c r="F68" t="s">
        <v>72</v>
      </c>
      <c r="G68" t="s">
        <v>166</v>
      </c>
      <c r="H68" s="94">
        <v>0.43</v>
      </c>
      <c r="I68" t="s">
        <v>62</v>
      </c>
      <c r="J68" t="s">
        <v>13</v>
      </c>
    </row>
    <row r="69" spans="1:10" x14ac:dyDescent="0.25">
      <c r="A69" t="s">
        <v>131</v>
      </c>
      <c r="B69" t="s">
        <v>14</v>
      </c>
      <c r="C69" s="12" t="s">
        <v>109</v>
      </c>
      <c r="D69" t="s">
        <v>4</v>
      </c>
      <c r="E69" t="s">
        <v>6</v>
      </c>
      <c r="F69" t="s">
        <v>72</v>
      </c>
      <c r="G69" t="s">
        <v>166</v>
      </c>
      <c r="H69" s="94">
        <v>0.43</v>
      </c>
      <c r="I69" t="s">
        <v>62</v>
      </c>
      <c r="J69" t="s">
        <v>63</v>
      </c>
    </row>
    <row r="70" spans="1:10" x14ac:dyDescent="0.25">
      <c r="A70" t="s">
        <v>131</v>
      </c>
      <c r="B70" t="s">
        <v>14</v>
      </c>
      <c r="C70" s="12" t="s">
        <v>109</v>
      </c>
      <c r="D70" t="s">
        <v>4</v>
      </c>
      <c r="E70" t="s">
        <v>6</v>
      </c>
      <c r="F70" t="s">
        <v>72</v>
      </c>
      <c r="G70" t="s">
        <v>166</v>
      </c>
      <c r="H70" s="94">
        <v>0.43</v>
      </c>
      <c r="I70" t="s">
        <v>62</v>
      </c>
      <c r="J70" t="s">
        <v>11</v>
      </c>
    </row>
    <row r="71" spans="1:10" x14ac:dyDescent="0.25">
      <c r="A71" t="s">
        <v>131</v>
      </c>
      <c r="B71" t="s">
        <v>14</v>
      </c>
      <c r="C71" s="12" t="s">
        <v>109</v>
      </c>
      <c r="D71" t="s">
        <v>4</v>
      </c>
      <c r="E71" t="s">
        <v>6</v>
      </c>
      <c r="F71" t="s">
        <v>72</v>
      </c>
      <c r="G71" t="s">
        <v>166</v>
      </c>
      <c r="H71" s="94">
        <v>0.43</v>
      </c>
      <c r="I71" t="s">
        <v>60</v>
      </c>
      <c r="J71" t="s">
        <v>13</v>
      </c>
    </row>
    <row r="72" spans="1:10" x14ac:dyDescent="0.25">
      <c r="A72" t="s">
        <v>131</v>
      </c>
      <c r="B72" t="s">
        <v>14</v>
      </c>
      <c r="C72" s="12" t="s">
        <v>109</v>
      </c>
      <c r="D72" t="s">
        <v>4</v>
      </c>
      <c r="E72" t="s">
        <v>6</v>
      </c>
      <c r="F72" t="s">
        <v>72</v>
      </c>
      <c r="G72" t="s">
        <v>166</v>
      </c>
      <c r="H72" s="94">
        <v>0.43</v>
      </c>
      <c r="I72" t="s">
        <v>60</v>
      </c>
      <c r="J72" t="s">
        <v>63</v>
      </c>
    </row>
    <row r="73" spans="1:10" x14ac:dyDescent="0.25">
      <c r="A73" t="s">
        <v>131</v>
      </c>
      <c r="B73" t="s">
        <v>14</v>
      </c>
      <c r="C73" s="12" t="s">
        <v>109</v>
      </c>
      <c r="D73" t="s">
        <v>4</v>
      </c>
      <c r="E73" t="s">
        <v>6</v>
      </c>
      <c r="F73" t="s">
        <v>72</v>
      </c>
      <c r="G73" t="s">
        <v>166</v>
      </c>
      <c r="H73" s="94">
        <v>0.43</v>
      </c>
      <c r="I73" t="s">
        <v>60</v>
      </c>
      <c r="J73" t="s">
        <v>11</v>
      </c>
    </row>
    <row r="74" spans="1:10" x14ac:dyDescent="0.25">
      <c r="A74" t="s">
        <v>131</v>
      </c>
      <c r="B74" t="s">
        <v>14</v>
      </c>
      <c r="C74" s="12" t="s">
        <v>109</v>
      </c>
      <c r="D74" t="s">
        <v>4</v>
      </c>
      <c r="E74" t="s">
        <v>6</v>
      </c>
      <c r="F74" t="s">
        <v>16</v>
      </c>
      <c r="G74" t="s">
        <v>166</v>
      </c>
      <c r="H74" s="94">
        <v>0.22500000000000001</v>
      </c>
      <c r="I74" t="s">
        <v>107</v>
      </c>
      <c r="J74" t="s">
        <v>13</v>
      </c>
    </row>
    <row r="75" spans="1:10" x14ac:dyDescent="0.25">
      <c r="A75" t="s">
        <v>131</v>
      </c>
      <c r="B75" t="s">
        <v>14</v>
      </c>
      <c r="C75" s="12" t="s">
        <v>109</v>
      </c>
      <c r="D75" t="s">
        <v>4</v>
      </c>
      <c r="E75" t="s">
        <v>6</v>
      </c>
      <c r="F75" t="s">
        <v>16</v>
      </c>
      <c r="G75" t="s">
        <v>166</v>
      </c>
      <c r="H75" s="94">
        <v>0.22500000000000001</v>
      </c>
      <c r="I75" t="s">
        <v>107</v>
      </c>
      <c r="J75" t="s">
        <v>63</v>
      </c>
    </row>
    <row r="76" spans="1:10" x14ac:dyDescent="0.25">
      <c r="A76" t="s">
        <v>131</v>
      </c>
      <c r="B76" t="s">
        <v>14</v>
      </c>
      <c r="C76" s="12" t="s">
        <v>109</v>
      </c>
      <c r="D76" t="s">
        <v>4</v>
      </c>
      <c r="E76" t="s">
        <v>6</v>
      </c>
      <c r="F76" t="s">
        <v>16</v>
      </c>
      <c r="G76" t="s">
        <v>166</v>
      </c>
      <c r="H76" s="94">
        <v>0.22500000000000001</v>
      </c>
      <c r="I76" t="s">
        <v>107</v>
      </c>
      <c r="J76" t="s">
        <v>11</v>
      </c>
    </row>
    <row r="77" spans="1:10" x14ac:dyDescent="0.25">
      <c r="A77" t="s">
        <v>131</v>
      </c>
      <c r="B77" t="s">
        <v>14</v>
      </c>
      <c r="C77" s="12" t="s">
        <v>109</v>
      </c>
      <c r="D77" t="s">
        <v>4</v>
      </c>
      <c r="E77" t="s">
        <v>6</v>
      </c>
      <c r="F77" t="s">
        <v>16</v>
      </c>
      <c r="G77" t="s">
        <v>166</v>
      </c>
      <c r="H77" s="94">
        <v>0.22500000000000001</v>
      </c>
      <c r="I77" t="s">
        <v>62</v>
      </c>
      <c r="J77" t="s">
        <v>13</v>
      </c>
    </row>
    <row r="78" spans="1:10" x14ac:dyDescent="0.25">
      <c r="A78" t="s">
        <v>131</v>
      </c>
      <c r="B78" t="s">
        <v>14</v>
      </c>
      <c r="C78" s="12" t="s">
        <v>109</v>
      </c>
      <c r="D78" t="s">
        <v>4</v>
      </c>
      <c r="E78" t="s">
        <v>6</v>
      </c>
      <c r="F78" t="s">
        <v>16</v>
      </c>
      <c r="G78" t="s">
        <v>166</v>
      </c>
      <c r="H78" s="94">
        <v>0.22500000000000001</v>
      </c>
      <c r="I78" t="s">
        <v>62</v>
      </c>
      <c r="J78" t="s">
        <v>63</v>
      </c>
    </row>
    <row r="79" spans="1:10" x14ac:dyDescent="0.25">
      <c r="A79" t="s">
        <v>131</v>
      </c>
      <c r="B79" t="s">
        <v>14</v>
      </c>
      <c r="C79" s="12" t="s">
        <v>109</v>
      </c>
      <c r="D79" t="s">
        <v>4</v>
      </c>
      <c r="E79" t="s">
        <v>6</v>
      </c>
      <c r="F79" t="s">
        <v>16</v>
      </c>
      <c r="G79" t="s">
        <v>166</v>
      </c>
      <c r="H79" s="94">
        <v>0.22500000000000001</v>
      </c>
      <c r="I79" t="s">
        <v>62</v>
      </c>
      <c r="J79" t="s">
        <v>11</v>
      </c>
    </row>
    <row r="80" spans="1:10" x14ac:dyDescent="0.25">
      <c r="A80" t="s">
        <v>131</v>
      </c>
      <c r="B80" t="s">
        <v>14</v>
      </c>
      <c r="C80" s="12" t="s">
        <v>109</v>
      </c>
      <c r="D80" t="s">
        <v>4</v>
      </c>
      <c r="E80" t="s">
        <v>6</v>
      </c>
      <c r="F80" t="s">
        <v>16</v>
      </c>
      <c r="G80" t="s">
        <v>166</v>
      </c>
      <c r="H80" s="94">
        <v>0.22500000000000001</v>
      </c>
      <c r="I80" t="s">
        <v>60</v>
      </c>
      <c r="J80" t="s">
        <v>13</v>
      </c>
    </row>
    <row r="81" spans="1:10" x14ac:dyDescent="0.25">
      <c r="A81" t="s">
        <v>131</v>
      </c>
      <c r="B81" t="s">
        <v>14</v>
      </c>
      <c r="C81" s="12" t="s">
        <v>109</v>
      </c>
      <c r="D81" t="s">
        <v>4</v>
      </c>
      <c r="E81" t="s">
        <v>6</v>
      </c>
      <c r="F81" t="s">
        <v>16</v>
      </c>
      <c r="G81" t="s">
        <v>166</v>
      </c>
      <c r="H81" s="94">
        <v>0.22500000000000001</v>
      </c>
      <c r="I81" t="s">
        <v>60</v>
      </c>
      <c r="J81" t="s">
        <v>63</v>
      </c>
    </row>
    <row r="82" spans="1:10" x14ac:dyDescent="0.25">
      <c r="A82" t="s">
        <v>131</v>
      </c>
      <c r="B82" t="s">
        <v>14</v>
      </c>
      <c r="C82" s="12" t="s">
        <v>109</v>
      </c>
      <c r="D82" t="s">
        <v>4</v>
      </c>
      <c r="E82" t="s">
        <v>6</v>
      </c>
      <c r="F82" t="s">
        <v>16</v>
      </c>
      <c r="G82" t="s">
        <v>166</v>
      </c>
      <c r="H82" s="94">
        <v>0.22500000000000001</v>
      </c>
      <c r="I82" t="s">
        <v>60</v>
      </c>
      <c r="J82" t="s">
        <v>11</v>
      </c>
    </row>
    <row r="83" spans="1:10" x14ac:dyDescent="0.25">
      <c r="A83" t="s">
        <v>131</v>
      </c>
      <c r="B83" t="s">
        <v>14</v>
      </c>
      <c r="C83" s="12" t="s">
        <v>109</v>
      </c>
      <c r="D83" t="s">
        <v>4</v>
      </c>
      <c r="E83" t="s">
        <v>6</v>
      </c>
      <c r="F83" t="s">
        <v>16</v>
      </c>
      <c r="G83" t="s">
        <v>166</v>
      </c>
      <c r="H83" s="94">
        <v>0.43</v>
      </c>
      <c r="I83" t="s">
        <v>107</v>
      </c>
      <c r="J83" t="s">
        <v>13</v>
      </c>
    </row>
    <row r="84" spans="1:10" x14ac:dyDescent="0.25">
      <c r="A84" t="s">
        <v>131</v>
      </c>
      <c r="B84" t="s">
        <v>14</v>
      </c>
      <c r="C84" s="12" t="s">
        <v>109</v>
      </c>
      <c r="D84" t="s">
        <v>4</v>
      </c>
      <c r="E84" t="s">
        <v>6</v>
      </c>
      <c r="F84" t="s">
        <v>16</v>
      </c>
      <c r="G84" t="s">
        <v>166</v>
      </c>
      <c r="H84" s="94">
        <v>0.43</v>
      </c>
      <c r="I84" t="s">
        <v>107</v>
      </c>
      <c r="J84" t="s">
        <v>63</v>
      </c>
    </row>
    <row r="85" spans="1:10" x14ac:dyDescent="0.25">
      <c r="A85" t="s">
        <v>131</v>
      </c>
      <c r="B85" t="s">
        <v>14</v>
      </c>
      <c r="C85" s="12" t="s">
        <v>109</v>
      </c>
      <c r="D85" t="s">
        <v>4</v>
      </c>
      <c r="E85" t="s">
        <v>6</v>
      </c>
      <c r="F85" t="s">
        <v>16</v>
      </c>
      <c r="G85" t="s">
        <v>166</v>
      </c>
      <c r="H85" s="94">
        <v>0.43</v>
      </c>
      <c r="I85" t="s">
        <v>107</v>
      </c>
      <c r="J85" t="s">
        <v>11</v>
      </c>
    </row>
    <row r="86" spans="1:10" x14ac:dyDescent="0.25">
      <c r="A86" t="s">
        <v>131</v>
      </c>
      <c r="B86" t="s">
        <v>14</v>
      </c>
      <c r="C86" s="12" t="s">
        <v>109</v>
      </c>
      <c r="D86" t="s">
        <v>4</v>
      </c>
      <c r="E86" t="s">
        <v>6</v>
      </c>
      <c r="F86" t="s">
        <v>16</v>
      </c>
      <c r="G86" t="s">
        <v>166</v>
      </c>
      <c r="H86" s="94">
        <v>0.43</v>
      </c>
      <c r="I86" t="s">
        <v>62</v>
      </c>
      <c r="J86" t="s">
        <v>13</v>
      </c>
    </row>
    <row r="87" spans="1:10" x14ac:dyDescent="0.25">
      <c r="A87" t="s">
        <v>131</v>
      </c>
      <c r="B87" t="s">
        <v>14</v>
      </c>
      <c r="C87" s="12" t="s">
        <v>109</v>
      </c>
      <c r="D87" t="s">
        <v>4</v>
      </c>
      <c r="E87" t="s">
        <v>6</v>
      </c>
      <c r="F87" t="s">
        <v>16</v>
      </c>
      <c r="G87" t="s">
        <v>166</v>
      </c>
      <c r="H87" s="94">
        <v>0.43</v>
      </c>
      <c r="I87" t="s">
        <v>62</v>
      </c>
      <c r="J87" t="s">
        <v>63</v>
      </c>
    </row>
    <row r="88" spans="1:10" x14ac:dyDescent="0.25">
      <c r="A88" t="s">
        <v>131</v>
      </c>
      <c r="B88" t="s">
        <v>14</v>
      </c>
      <c r="C88" s="12" t="s">
        <v>109</v>
      </c>
      <c r="D88" t="s">
        <v>4</v>
      </c>
      <c r="E88" t="s">
        <v>6</v>
      </c>
      <c r="F88" t="s">
        <v>16</v>
      </c>
      <c r="G88" t="s">
        <v>166</v>
      </c>
      <c r="H88" s="94">
        <v>0.43</v>
      </c>
      <c r="I88" t="s">
        <v>62</v>
      </c>
      <c r="J88" t="s">
        <v>11</v>
      </c>
    </row>
    <row r="89" spans="1:10" x14ac:dyDescent="0.25">
      <c r="A89" t="s">
        <v>131</v>
      </c>
      <c r="B89" t="s">
        <v>14</v>
      </c>
      <c r="C89" s="12" t="s">
        <v>109</v>
      </c>
      <c r="D89" t="s">
        <v>4</v>
      </c>
      <c r="E89" t="s">
        <v>6</v>
      </c>
      <c r="F89" t="s">
        <v>16</v>
      </c>
      <c r="G89" t="s">
        <v>166</v>
      </c>
      <c r="H89" s="94">
        <v>0.43</v>
      </c>
      <c r="I89" t="s">
        <v>60</v>
      </c>
      <c r="J89" t="s">
        <v>13</v>
      </c>
    </row>
    <row r="90" spans="1:10" x14ac:dyDescent="0.25">
      <c r="A90" t="s">
        <v>131</v>
      </c>
      <c r="B90" t="s">
        <v>14</v>
      </c>
      <c r="C90" s="12" t="s">
        <v>109</v>
      </c>
      <c r="D90" t="s">
        <v>4</v>
      </c>
      <c r="E90" t="s">
        <v>6</v>
      </c>
      <c r="F90" t="s">
        <v>16</v>
      </c>
      <c r="G90" t="s">
        <v>166</v>
      </c>
      <c r="H90" s="94">
        <v>0.43</v>
      </c>
      <c r="I90" t="s">
        <v>60</v>
      </c>
      <c r="J90" t="s">
        <v>63</v>
      </c>
    </row>
    <row r="91" spans="1:10" x14ac:dyDescent="0.25">
      <c r="A91" t="s">
        <v>131</v>
      </c>
      <c r="B91" t="s">
        <v>14</v>
      </c>
      <c r="C91" s="12" t="s">
        <v>109</v>
      </c>
      <c r="D91" t="s">
        <v>4</v>
      </c>
      <c r="E91" t="s">
        <v>6</v>
      </c>
      <c r="F91" t="s">
        <v>16</v>
      </c>
      <c r="G91" t="s">
        <v>166</v>
      </c>
      <c r="H91" s="94">
        <v>0.43</v>
      </c>
      <c r="I91" t="s">
        <v>60</v>
      </c>
      <c r="J91" t="s">
        <v>11</v>
      </c>
    </row>
    <row r="92" spans="1:10" x14ac:dyDescent="0.25">
      <c r="A92" t="s">
        <v>131</v>
      </c>
      <c r="B92" t="s">
        <v>14</v>
      </c>
      <c r="C92" s="12" t="s">
        <v>109</v>
      </c>
      <c r="D92" t="s">
        <v>4</v>
      </c>
      <c r="E92" t="s">
        <v>6</v>
      </c>
      <c r="F92" t="s">
        <v>8</v>
      </c>
      <c r="G92" t="s">
        <v>166</v>
      </c>
      <c r="H92" s="94">
        <v>0.22500000000000001</v>
      </c>
      <c r="I92" t="s">
        <v>107</v>
      </c>
      <c r="J92" t="s">
        <v>13</v>
      </c>
    </row>
    <row r="93" spans="1:10" x14ac:dyDescent="0.25">
      <c r="A93" t="s">
        <v>131</v>
      </c>
      <c r="B93" t="s">
        <v>14</v>
      </c>
      <c r="C93" s="12" t="s">
        <v>109</v>
      </c>
      <c r="D93" t="s">
        <v>4</v>
      </c>
      <c r="E93" t="s">
        <v>6</v>
      </c>
      <c r="F93" t="s">
        <v>8</v>
      </c>
      <c r="G93" t="s">
        <v>166</v>
      </c>
      <c r="H93" s="94">
        <v>0.22500000000000001</v>
      </c>
      <c r="I93" t="s">
        <v>107</v>
      </c>
      <c r="J93" t="s">
        <v>63</v>
      </c>
    </row>
    <row r="94" spans="1:10" x14ac:dyDescent="0.25">
      <c r="A94" t="s">
        <v>131</v>
      </c>
      <c r="B94" t="s">
        <v>14</v>
      </c>
      <c r="C94" s="12" t="s">
        <v>109</v>
      </c>
      <c r="D94" t="s">
        <v>4</v>
      </c>
      <c r="E94" t="s">
        <v>6</v>
      </c>
      <c r="F94" t="s">
        <v>8</v>
      </c>
      <c r="G94" t="s">
        <v>166</v>
      </c>
      <c r="H94" s="94">
        <v>0.22500000000000001</v>
      </c>
      <c r="I94" t="s">
        <v>107</v>
      </c>
      <c r="J94" t="s">
        <v>11</v>
      </c>
    </row>
    <row r="95" spans="1:10" x14ac:dyDescent="0.25">
      <c r="A95" t="s">
        <v>131</v>
      </c>
      <c r="B95" t="s">
        <v>14</v>
      </c>
      <c r="C95" s="12" t="s">
        <v>109</v>
      </c>
      <c r="D95" t="s">
        <v>4</v>
      </c>
      <c r="E95" t="s">
        <v>6</v>
      </c>
      <c r="F95" t="s">
        <v>8</v>
      </c>
      <c r="G95" t="s">
        <v>166</v>
      </c>
      <c r="H95" s="94">
        <v>0.22500000000000001</v>
      </c>
      <c r="I95" t="s">
        <v>62</v>
      </c>
      <c r="J95" t="s">
        <v>13</v>
      </c>
    </row>
    <row r="96" spans="1:10" x14ac:dyDescent="0.25">
      <c r="A96" t="s">
        <v>131</v>
      </c>
      <c r="B96" t="s">
        <v>14</v>
      </c>
      <c r="C96" s="12" t="s">
        <v>109</v>
      </c>
      <c r="D96" t="s">
        <v>4</v>
      </c>
      <c r="E96" t="s">
        <v>6</v>
      </c>
      <c r="F96" t="s">
        <v>8</v>
      </c>
      <c r="G96" t="s">
        <v>166</v>
      </c>
      <c r="H96" s="94">
        <v>0.22500000000000001</v>
      </c>
      <c r="I96" t="s">
        <v>62</v>
      </c>
      <c r="J96" t="s">
        <v>63</v>
      </c>
    </row>
    <row r="97" spans="1:10" x14ac:dyDescent="0.25">
      <c r="A97" t="s">
        <v>131</v>
      </c>
      <c r="B97" t="s">
        <v>14</v>
      </c>
      <c r="C97" s="12" t="s">
        <v>109</v>
      </c>
      <c r="D97" t="s">
        <v>4</v>
      </c>
      <c r="E97" t="s">
        <v>6</v>
      </c>
      <c r="F97" t="s">
        <v>8</v>
      </c>
      <c r="G97" t="s">
        <v>166</v>
      </c>
      <c r="H97" s="94">
        <v>0.22500000000000001</v>
      </c>
      <c r="I97" t="s">
        <v>62</v>
      </c>
      <c r="J97" t="s">
        <v>11</v>
      </c>
    </row>
    <row r="98" spans="1:10" x14ac:dyDescent="0.25">
      <c r="A98" t="s">
        <v>131</v>
      </c>
      <c r="B98" t="s">
        <v>14</v>
      </c>
      <c r="C98" s="12" t="s">
        <v>109</v>
      </c>
      <c r="D98" t="s">
        <v>4</v>
      </c>
      <c r="E98" t="s">
        <v>6</v>
      </c>
      <c r="F98" t="s">
        <v>8</v>
      </c>
      <c r="G98" t="s">
        <v>166</v>
      </c>
      <c r="H98" s="94">
        <v>0.22500000000000001</v>
      </c>
      <c r="I98" t="s">
        <v>60</v>
      </c>
      <c r="J98" t="s">
        <v>13</v>
      </c>
    </row>
    <row r="99" spans="1:10" x14ac:dyDescent="0.25">
      <c r="A99" t="s">
        <v>131</v>
      </c>
      <c r="B99" t="s">
        <v>14</v>
      </c>
      <c r="C99" s="12" t="s">
        <v>109</v>
      </c>
      <c r="D99" t="s">
        <v>4</v>
      </c>
      <c r="E99" t="s">
        <v>6</v>
      </c>
      <c r="F99" t="s">
        <v>8</v>
      </c>
      <c r="G99" t="s">
        <v>166</v>
      </c>
      <c r="H99" s="94">
        <v>0.22500000000000001</v>
      </c>
      <c r="I99" t="s">
        <v>60</v>
      </c>
      <c r="J99" t="s">
        <v>63</v>
      </c>
    </row>
    <row r="100" spans="1:10" x14ac:dyDescent="0.25">
      <c r="A100" t="s">
        <v>131</v>
      </c>
      <c r="B100" t="s">
        <v>14</v>
      </c>
      <c r="C100" s="12" t="s">
        <v>109</v>
      </c>
      <c r="D100" t="s">
        <v>4</v>
      </c>
      <c r="E100" t="s">
        <v>6</v>
      </c>
      <c r="F100" t="s">
        <v>8</v>
      </c>
      <c r="G100" t="s">
        <v>166</v>
      </c>
      <c r="H100" s="94">
        <v>0.22500000000000001</v>
      </c>
      <c r="I100" t="s">
        <v>60</v>
      </c>
      <c r="J100" t="s">
        <v>11</v>
      </c>
    </row>
    <row r="101" spans="1:10" x14ac:dyDescent="0.25">
      <c r="A101" t="s">
        <v>131</v>
      </c>
      <c r="B101" t="s">
        <v>14</v>
      </c>
      <c r="C101" s="12" t="s">
        <v>109</v>
      </c>
      <c r="D101" t="s">
        <v>4</v>
      </c>
      <c r="E101" t="s">
        <v>6</v>
      </c>
      <c r="F101" t="s">
        <v>8</v>
      </c>
      <c r="G101" t="s">
        <v>166</v>
      </c>
      <c r="H101" s="94">
        <v>0.43</v>
      </c>
      <c r="I101" t="s">
        <v>107</v>
      </c>
      <c r="J101" t="s">
        <v>13</v>
      </c>
    </row>
    <row r="102" spans="1:10" x14ac:dyDescent="0.25">
      <c r="A102" t="s">
        <v>131</v>
      </c>
      <c r="B102" t="s">
        <v>14</v>
      </c>
      <c r="C102" s="12" t="s">
        <v>109</v>
      </c>
      <c r="D102" t="s">
        <v>4</v>
      </c>
      <c r="E102" t="s">
        <v>6</v>
      </c>
      <c r="F102" t="s">
        <v>8</v>
      </c>
      <c r="G102" t="s">
        <v>166</v>
      </c>
      <c r="H102" s="94">
        <v>0.43</v>
      </c>
      <c r="I102" t="s">
        <v>107</v>
      </c>
      <c r="J102" t="s">
        <v>63</v>
      </c>
    </row>
    <row r="103" spans="1:10" x14ac:dyDescent="0.25">
      <c r="A103" t="s">
        <v>131</v>
      </c>
      <c r="B103" t="s">
        <v>14</v>
      </c>
      <c r="C103" s="12" t="s">
        <v>109</v>
      </c>
      <c r="D103" t="s">
        <v>4</v>
      </c>
      <c r="E103" t="s">
        <v>6</v>
      </c>
      <c r="F103" t="s">
        <v>8</v>
      </c>
      <c r="G103" t="s">
        <v>166</v>
      </c>
      <c r="H103" s="94">
        <v>0.43</v>
      </c>
      <c r="I103" t="s">
        <v>107</v>
      </c>
      <c r="J103" t="s">
        <v>11</v>
      </c>
    </row>
    <row r="104" spans="1:10" x14ac:dyDescent="0.25">
      <c r="A104" t="s">
        <v>131</v>
      </c>
      <c r="B104" t="s">
        <v>14</v>
      </c>
      <c r="C104" s="12" t="s">
        <v>109</v>
      </c>
      <c r="D104" t="s">
        <v>4</v>
      </c>
      <c r="E104" t="s">
        <v>6</v>
      </c>
      <c r="F104" t="s">
        <v>8</v>
      </c>
      <c r="G104" t="s">
        <v>166</v>
      </c>
      <c r="H104" s="94">
        <v>0.43</v>
      </c>
      <c r="I104" t="s">
        <v>62</v>
      </c>
      <c r="J104" t="s">
        <v>13</v>
      </c>
    </row>
    <row r="105" spans="1:10" x14ac:dyDescent="0.25">
      <c r="A105" t="s">
        <v>131</v>
      </c>
      <c r="B105" t="s">
        <v>14</v>
      </c>
      <c r="C105" s="12" t="s">
        <v>109</v>
      </c>
      <c r="D105" t="s">
        <v>4</v>
      </c>
      <c r="E105" t="s">
        <v>6</v>
      </c>
      <c r="F105" t="s">
        <v>8</v>
      </c>
      <c r="G105" t="s">
        <v>166</v>
      </c>
      <c r="H105" s="94">
        <v>0.43</v>
      </c>
      <c r="I105" t="s">
        <v>62</v>
      </c>
      <c r="J105" t="s">
        <v>63</v>
      </c>
    </row>
    <row r="106" spans="1:10" x14ac:dyDescent="0.25">
      <c r="A106" t="s">
        <v>131</v>
      </c>
      <c r="B106" t="s">
        <v>14</v>
      </c>
      <c r="C106" s="12" t="s">
        <v>109</v>
      </c>
      <c r="D106" t="s">
        <v>4</v>
      </c>
      <c r="E106" t="s">
        <v>6</v>
      </c>
      <c r="F106" t="s">
        <v>8</v>
      </c>
      <c r="G106" t="s">
        <v>166</v>
      </c>
      <c r="H106" s="94">
        <v>0.43</v>
      </c>
      <c r="I106" t="s">
        <v>62</v>
      </c>
      <c r="J106" t="s">
        <v>11</v>
      </c>
    </row>
    <row r="107" spans="1:10" x14ac:dyDescent="0.25">
      <c r="A107" t="s">
        <v>131</v>
      </c>
      <c r="B107" t="s">
        <v>14</v>
      </c>
      <c r="C107" s="12" t="s">
        <v>109</v>
      </c>
      <c r="D107" t="s">
        <v>4</v>
      </c>
      <c r="E107" t="s">
        <v>6</v>
      </c>
      <c r="F107" t="s">
        <v>8</v>
      </c>
      <c r="G107" t="s">
        <v>166</v>
      </c>
      <c r="H107" s="94">
        <v>0.43</v>
      </c>
      <c r="I107" t="s">
        <v>60</v>
      </c>
      <c r="J107" t="s">
        <v>13</v>
      </c>
    </row>
    <row r="108" spans="1:10" x14ac:dyDescent="0.25">
      <c r="A108" t="s">
        <v>131</v>
      </c>
      <c r="B108" t="s">
        <v>14</v>
      </c>
      <c r="C108" s="12" t="s">
        <v>109</v>
      </c>
      <c r="D108" t="s">
        <v>4</v>
      </c>
      <c r="E108" t="s">
        <v>6</v>
      </c>
      <c r="F108" t="s">
        <v>8</v>
      </c>
      <c r="G108" t="s">
        <v>166</v>
      </c>
      <c r="H108" s="94">
        <v>0.43</v>
      </c>
      <c r="I108" t="s">
        <v>60</v>
      </c>
      <c r="J108" t="s">
        <v>63</v>
      </c>
    </row>
    <row r="109" spans="1:10" x14ac:dyDescent="0.25">
      <c r="A109" t="s">
        <v>131</v>
      </c>
      <c r="B109" t="s">
        <v>14</v>
      </c>
      <c r="C109" s="12" t="s">
        <v>109</v>
      </c>
      <c r="D109" t="s">
        <v>4</v>
      </c>
      <c r="E109" t="s">
        <v>6</v>
      </c>
      <c r="F109" t="s">
        <v>8</v>
      </c>
      <c r="G109" t="s">
        <v>166</v>
      </c>
      <c r="H109" s="94">
        <v>0.43</v>
      </c>
      <c r="I109" t="s">
        <v>60</v>
      </c>
      <c r="J109" t="s">
        <v>11</v>
      </c>
    </row>
    <row r="110" spans="1:10" x14ac:dyDescent="0.25">
      <c r="A110" t="s">
        <v>131</v>
      </c>
      <c r="B110" t="s">
        <v>167</v>
      </c>
      <c r="C110" s="12" t="s">
        <v>109</v>
      </c>
      <c r="D110" t="s">
        <v>4</v>
      </c>
      <c r="E110" t="s">
        <v>12</v>
      </c>
      <c r="F110" t="s">
        <v>72</v>
      </c>
      <c r="G110" t="s">
        <v>166</v>
      </c>
      <c r="H110" s="94">
        <v>0.22500000000000001</v>
      </c>
      <c r="I110" t="s">
        <v>107</v>
      </c>
      <c r="J110" t="s">
        <v>13</v>
      </c>
    </row>
    <row r="111" spans="1:10" x14ac:dyDescent="0.25">
      <c r="A111" t="s">
        <v>131</v>
      </c>
      <c r="B111" t="s">
        <v>167</v>
      </c>
      <c r="C111" s="12" t="s">
        <v>109</v>
      </c>
      <c r="D111" t="s">
        <v>4</v>
      </c>
      <c r="E111" t="s">
        <v>12</v>
      </c>
      <c r="F111" t="s">
        <v>72</v>
      </c>
      <c r="G111" t="s">
        <v>166</v>
      </c>
      <c r="H111" s="94">
        <v>0.22500000000000001</v>
      </c>
      <c r="I111" t="s">
        <v>107</v>
      </c>
      <c r="J111" t="s">
        <v>63</v>
      </c>
    </row>
    <row r="112" spans="1:10" x14ac:dyDescent="0.25">
      <c r="A112" t="s">
        <v>131</v>
      </c>
      <c r="B112" t="s">
        <v>167</v>
      </c>
      <c r="C112" s="12" t="s">
        <v>109</v>
      </c>
      <c r="D112" t="s">
        <v>4</v>
      </c>
      <c r="E112" t="s">
        <v>12</v>
      </c>
      <c r="F112" t="s">
        <v>72</v>
      </c>
      <c r="G112" t="s">
        <v>166</v>
      </c>
      <c r="H112" s="94">
        <v>0.22500000000000001</v>
      </c>
      <c r="I112" t="s">
        <v>107</v>
      </c>
      <c r="J112" t="s">
        <v>11</v>
      </c>
    </row>
    <row r="113" spans="1:10" x14ac:dyDescent="0.25">
      <c r="A113" t="s">
        <v>131</v>
      </c>
      <c r="B113" t="s">
        <v>167</v>
      </c>
      <c r="C113" s="12" t="s">
        <v>109</v>
      </c>
      <c r="D113" t="s">
        <v>4</v>
      </c>
      <c r="E113" t="s">
        <v>12</v>
      </c>
      <c r="F113" t="s">
        <v>72</v>
      </c>
      <c r="G113" t="s">
        <v>166</v>
      </c>
      <c r="H113" s="94">
        <v>0.22500000000000001</v>
      </c>
      <c r="I113" t="s">
        <v>62</v>
      </c>
      <c r="J113" t="s">
        <v>13</v>
      </c>
    </row>
    <row r="114" spans="1:10" x14ac:dyDescent="0.25">
      <c r="A114" t="s">
        <v>131</v>
      </c>
      <c r="B114" t="s">
        <v>167</v>
      </c>
      <c r="C114" s="12" t="s">
        <v>109</v>
      </c>
      <c r="D114" t="s">
        <v>4</v>
      </c>
      <c r="E114" t="s">
        <v>12</v>
      </c>
      <c r="F114" t="s">
        <v>72</v>
      </c>
      <c r="G114" t="s">
        <v>166</v>
      </c>
      <c r="H114" s="94">
        <v>0.22500000000000001</v>
      </c>
      <c r="I114" t="s">
        <v>62</v>
      </c>
      <c r="J114" t="s">
        <v>63</v>
      </c>
    </row>
    <row r="115" spans="1:10" x14ac:dyDescent="0.25">
      <c r="A115" t="s">
        <v>131</v>
      </c>
      <c r="B115" t="s">
        <v>167</v>
      </c>
      <c r="C115" s="12" t="s">
        <v>109</v>
      </c>
      <c r="D115" t="s">
        <v>4</v>
      </c>
      <c r="E115" t="s">
        <v>12</v>
      </c>
      <c r="F115" t="s">
        <v>72</v>
      </c>
      <c r="G115" t="s">
        <v>166</v>
      </c>
      <c r="H115" s="94">
        <v>0.22500000000000001</v>
      </c>
      <c r="I115" t="s">
        <v>62</v>
      </c>
      <c r="J115" t="s">
        <v>11</v>
      </c>
    </row>
    <row r="116" spans="1:10" x14ac:dyDescent="0.25">
      <c r="A116" t="s">
        <v>131</v>
      </c>
      <c r="B116" t="s">
        <v>167</v>
      </c>
      <c r="C116" s="12" t="s">
        <v>109</v>
      </c>
      <c r="D116" t="s">
        <v>4</v>
      </c>
      <c r="E116" t="s">
        <v>12</v>
      </c>
      <c r="F116" t="s">
        <v>72</v>
      </c>
      <c r="G116" t="s">
        <v>166</v>
      </c>
      <c r="H116" s="94">
        <v>0.22500000000000001</v>
      </c>
      <c r="I116" t="s">
        <v>60</v>
      </c>
      <c r="J116" t="s">
        <v>13</v>
      </c>
    </row>
    <row r="117" spans="1:10" x14ac:dyDescent="0.25">
      <c r="A117" t="s">
        <v>131</v>
      </c>
      <c r="B117" t="s">
        <v>167</v>
      </c>
      <c r="C117" s="12" t="s">
        <v>109</v>
      </c>
      <c r="D117" t="s">
        <v>4</v>
      </c>
      <c r="E117" t="s">
        <v>12</v>
      </c>
      <c r="F117" t="s">
        <v>72</v>
      </c>
      <c r="G117" t="s">
        <v>166</v>
      </c>
      <c r="H117" s="94">
        <v>0.22500000000000001</v>
      </c>
      <c r="I117" t="s">
        <v>60</v>
      </c>
      <c r="J117" t="s">
        <v>63</v>
      </c>
    </row>
    <row r="118" spans="1:10" x14ac:dyDescent="0.25">
      <c r="A118" t="s">
        <v>131</v>
      </c>
      <c r="B118" t="s">
        <v>167</v>
      </c>
      <c r="C118" s="12" t="s">
        <v>109</v>
      </c>
      <c r="D118" t="s">
        <v>4</v>
      </c>
      <c r="E118" t="s">
        <v>12</v>
      </c>
      <c r="F118" t="s">
        <v>72</v>
      </c>
      <c r="G118" t="s">
        <v>166</v>
      </c>
      <c r="H118" s="94">
        <v>0.22500000000000001</v>
      </c>
      <c r="I118" t="s">
        <v>60</v>
      </c>
      <c r="J118" t="s">
        <v>11</v>
      </c>
    </row>
    <row r="119" spans="1:10" x14ac:dyDescent="0.25">
      <c r="A119" t="s">
        <v>131</v>
      </c>
      <c r="B119" t="s">
        <v>167</v>
      </c>
      <c r="C119" s="12" t="s">
        <v>109</v>
      </c>
      <c r="D119" t="s">
        <v>4</v>
      </c>
      <c r="E119" t="s">
        <v>12</v>
      </c>
      <c r="F119" t="s">
        <v>72</v>
      </c>
      <c r="G119" t="s">
        <v>166</v>
      </c>
      <c r="H119" s="94">
        <v>0.43</v>
      </c>
      <c r="I119" t="s">
        <v>107</v>
      </c>
      <c r="J119" t="s">
        <v>13</v>
      </c>
    </row>
    <row r="120" spans="1:10" x14ac:dyDescent="0.25">
      <c r="A120" t="s">
        <v>131</v>
      </c>
      <c r="B120" t="s">
        <v>167</v>
      </c>
      <c r="C120" s="12" t="s">
        <v>109</v>
      </c>
      <c r="D120" t="s">
        <v>4</v>
      </c>
      <c r="E120" t="s">
        <v>12</v>
      </c>
      <c r="F120" t="s">
        <v>72</v>
      </c>
      <c r="G120" t="s">
        <v>166</v>
      </c>
      <c r="H120" s="94">
        <v>0.43</v>
      </c>
      <c r="I120" t="s">
        <v>107</v>
      </c>
      <c r="J120" t="s">
        <v>63</v>
      </c>
    </row>
    <row r="121" spans="1:10" x14ac:dyDescent="0.25">
      <c r="A121" t="s">
        <v>131</v>
      </c>
      <c r="B121" t="s">
        <v>167</v>
      </c>
      <c r="C121" s="12" t="s">
        <v>109</v>
      </c>
      <c r="D121" t="s">
        <v>4</v>
      </c>
      <c r="E121" t="s">
        <v>12</v>
      </c>
      <c r="F121" t="s">
        <v>72</v>
      </c>
      <c r="G121" t="s">
        <v>166</v>
      </c>
      <c r="H121" s="94">
        <v>0.43</v>
      </c>
      <c r="I121" t="s">
        <v>107</v>
      </c>
      <c r="J121" t="s">
        <v>11</v>
      </c>
    </row>
    <row r="122" spans="1:10" x14ac:dyDescent="0.25">
      <c r="A122" t="s">
        <v>131</v>
      </c>
      <c r="B122" t="s">
        <v>167</v>
      </c>
      <c r="C122" s="12" t="s">
        <v>109</v>
      </c>
      <c r="D122" t="s">
        <v>4</v>
      </c>
      <c r="E122" t="s">
        <v>12</v>
      </c>
      <c r="F122" t="s">
        <v>72</v>
      </c>
      <c r="G122" t="s">
        <v>166</v>
      </c>
      <c r="H122" s="94">
        <v>0.43</v>
      </c>
      <c r="I122" t="s">
        <v>62</v>
      </c>
      <c r="J122" t="s">
        <v>13</v>
      </c>
    </row>
    <row r="123" spans="1:10" x14ac:dyDescent="0.25">
      <c r="A123" t="s">
        <v>131</v>
      </c>
      <c r="B123" t="s">
        <v>167</v>
      </c>
      <c r="C123" s="12" t="s">
        <v>109</v>
      </c>
      <c r="D123" t="s">
        <v>4</v>
      </c>
      <c r="E123" t="s">
        <v>12</v>
      </c>
      <c r="F123" t="s">
        <v>72</v>
      </c>
      <c r="G123" t="s">
        <v>166</v>
      </c>
      <c r="H123" s="94">
        <v>0.43</v>
      </c>
      <c r="I123" t="s">
        <v>62</v>
      </c>
      <c r="J123" t="s">
        <v>63</v>
      </c>
    </row>
    <row r="124" spans="1:10" x14ac:dyDescent="0.25">
      <c r="A124" t="s">
        <v>131</v>
      </c>
      <c r="B124" t="s">
        <v>167</v>
      </c>
      <c r="C124" s="12" t="s">
        <v>109</v>
      </c>
      <c r="D124" t="s">
        <v>4</v>
      </c>
      <c r="E124" t="s">
        <v>12</v>
      </c>
      <c r="F124" t="s">
        <v>72</v>
      </c>
      <c r="G124" t="s">
        <v>166</v>
      </c>
      <c r="H124" s="94">
        <v>0.43</v>
      </c>
      <c r="I124" t="s">
        <v>62</v>
      </c>
      <c r="J124" t="s">
        <v>11</v>
      </c>
    </row>
    <row r="125" spans="1:10" x14ac:dyDescent="0.25">
      <c r="A125" t="s">
        <v>131</v>
      </c>
      <c r="B125" t="s">
        <v>167</v>
      </c>
      <c r="C125" s="12" t="s">
        <v>109</v>
      </c>
      <c r="D125" t="s">
        <v>4</v>
      </c>
      <c r="E125" t="s">
        <v>12</v>
      </c>
      <c r="F125" t="s">
        <v>72</v>
      </c>
      <c r="G125" t="s">
        <v>166</v>
      </c>
      <c r="H125" s="94">
        <v>0.43</v>
      </c>
      <c r="I125" t="s">
        <v>60</v>
      </c>
      <c r="J125" t="s">
        <v>13</v>
      </c>
    </row>
    <row r="126" spans="1:10" x14ac:dyDescent="0.25">
      <c r="A126" t="s">
        <v>131</v>
      </c>
      <c r="B126" t="s">
        <v>167</v>
      </c>
      <c r="C126" s="12" t="s">
        <v>109</v>
      </c>
      <c r="D126" t="s">
        <v>4</v>
      </c>
      <c r="E126" t="s">
        <v>12</v>
      </c>
      <c r="F126" t="s">
        <v>72</v>
      </c>
      <c r="G126" t="s">
        <v>166</v>
      </c>
      <c r="H126" s="94">
        <v>0.43</v>
      </c>
      <c r="I126" t="s">
        <v>60</v>
      </c>
      <c r="J126" t="s">
        <v>63</v>
      </c>
    </row>
    <row r="127" spans="1:10" x14ac:dyDescent="0.25">
      <c r="A127" t="s">
        <v>131</v>
      </c>
      <c r="B127" t="s">
        <v>167</v>
      </c>
      <c r="C127" s="12" t="s">
        <v>109</v>
      </c>
      <c r="D127" t="s">
        <v>4</v>
      </c>
      <c r="E127" t="s">
        <v>12</v>
      </c>
      <c r="F127" t="s">
        <v>72</v>
      </c>
      <c r="G127" t="s">
        <v>166</v>
      </c>
      <c r="H127" s="94">
        <v>0.43</v>
      </c>
      <c r="I127" t="s">
        <v>60</v>
      </c>
      <c r="J127" t="s">
        <v>11</v>
      </c>
    </row>
    <row r="128" spans="1:10" x14ac:dyDescent="0.25">
      <c r="A128" t="s">
        <v>131</v>
      </c>
      <c r="B128" t="s">
        <v>167</v>
      </c>
      <c r="C128" s="12" t="s">
        <v>109</v>
      </c>
      <c r="D128" t="s">
        <v>4</v>
      </c>
      <c r="E128" t="s">
        <v>12</v>
      </c>
      <c r="F128" t="s">
        <v>16</v>
      </c>
      <c r="G128" t="s">
        <v>166</v>
      </c>
      <c r="H128" s="94">
        <v>0.22500000000000001</v>
      </c>
      <c r="I128" t="s">
        <v>107</v>
      </c>
      <c r="J128" t="s">
        <v>13</v>
      </c>
    </row>
    <row r="129" spans="1:10" x14ac:dyDescent="0.25">
      <c r="A129" t="s">
        <v>131</v>
      </c>
      <c r="B129" t="s">
        <v>167</v>
      </c>
      <c r="C129" s="12" t="s">
        <v>109</v>
      </c>
      <c r="D129" t="s">
        <v>4</v>
      </c>
      <c r="E129" t="s">
        <v>12</v>
      </c>
      <c r="F129" t="s">
        <v>16</v>
      </c>
      <c r="G129" t="s">
        <v>166</v>
      </c>
      <c r="H129" s="94">
        <v>0.22500000000000001</v>
      </c>
      <c r="I129" t="s">
        <v>107</v>
      </c>
      <c r="J129" t="s">
        <v>63</v>
      </c>
    </row>
    <row r="130" spans="1:10" x14ac:dyDescent="0.25">
      <c r="A130" t="s">
        <v>131</v>
      </c>
      <c r="B130" t="s">
        <v>167</v>
      </c>
      <c r="C130" s="12" t="s">
        <v>109</v>
      </c>
      <c r="D130" t="s">
        <v>4</v>
      </c>
      <c r="E130" t="s">
        <v>12</v>
      </c>
      <c r="F130" t="s">
        <v>16</v>
      </c>
      <c r="G130" t="s">
        <v>166</v>
      </c>
      <c r="H130" s="94">
        <v>0.22500000000000001</v>
      </c>
      <c r="I130" t="s">
        <v>107</v>
      </c>
      <c r="J130" t="s">
        <v>11</v>
      </c>
    </row>
    <row r="131" spans="1:10" x14ac:dyDescent="0.25">
      <c r="A131" t="s">
        <v>131</v>
      </c>
      <c r="B131" t="s">
        <v>167</v>
      </c>
      <c r="C131" s="12" t="s">
        <v>109</v>
      </c>
      <c r="D131" t="s">
        <v>4</v>
      </c>
      <c r="E131" t="s">
        <v>12</v>
      </c>
      <c r="F131" t="s">
        <v>16</v>
      </c>
      <c r="G131" t="s">
        <v>166</v>
      </c>
      <c r="H131" s="94">
        <v>0.22500000000000001</v>
      </c>
      <c r="I131" t="s">
        <v>62</v>
      </c>
      <c r="J131" t="s">
        <v>13</v>
      </c>
    </row>
    <row r="132" spans="1:10" x14ac:dyDescent="0.25">
      <c r="A132" t="s">
        <v>131</v>
      </c>
      <c r="B132" t="s">
        <v>167</v>
      </c>
      <c r="C132" s="12" t="s">
        <v>109</v>
      </c>
      <c r="D132" t="s">
        <v>4</v>
      </c>
      <c r="E132" t="s">
        <v>12</v>
      </c>
      <c r="F132" t="s">
        <v>16</v>
      </c>
      <c r="G132" t="s">
        <v>166</v>
      </c>
      <c r="H132" s="94">
        <v>0.22500000000000001</v>
      </c>
      <c r="I132" t="s">
        <v>62</v>
      </c>
      <c r="J132" t="s">
        <v>63</v>
      </c>
    </row>
    <row r="133" spans="1:10" x14ac:dyDescent="0.25">
      <c r="A133" t="s">
        <v>131</v>
      </c>
      <c r="B133" t="s">
        <v>167</v>
      </c>
      <c r="C133" s="12" t="s">
        <v>109</v>
      </c>
      <c r="D133" t="s">
        <v>4</v>
      </c>
      <c r="E133" t="s">
        <v>12</v>
      </c>
      <c r="F133" t="s">
        <v>16</v>
      </c>
      <c r="G133" t="s">
        <v>166</v>
      </c>
      <c r="H133" s="94">
        <v>0.22500000000000001</v>
      </c>
      <c r="I133" t="s">
        <v>62</v>
      </c>
      <c r="J133" t="s">
        <v>11</v>
      </c>
    </row>
    <row r="134" spans="1:10" x14ac:dyDescent="0.25">
      <c r="A134" t="s">
        <v>131</v>
      </c>
      <c r="B134" t="s">
        <v>167</v>
      </c>
      <c r="C134" s="12" t="s">
        <v>109</v>
      </c>
      <c r="D134" t="s">
        <v>4</v>
      </c>
      <c r="E134" t="s">
        <v>12</v>
      </c>
      <c r="F134" t="s">
        <v>16</v>
      </c>
      <c r="G134" t="s">
        <v>166</v>
      </c>
      <c r="H134" s="94">
        <v>0.22500000000000001</v>
      </c>
      <c r="I134" t="s">
        <v>60</v>
      </c>
      <c r="J134" t="s">
        <v>13</v>
      </c>
    </row>
    <row r="135" spans="1:10" x14ac:dyDescent="0.25">
      <c r="A135" t="s">
        <v>131</v>
      </c>
      <c r="B135" t="s">
        <v>167</v>
      </c>
      <c r="C135" s="12" t="s">
        <v>109</v>
      </c>
      <c r="D135" t="s">
        <v>4</v>
      </c>
      <c r="E135" t="s">
        <v>12</v>
      </c>
      <c r="F135" t="s">
        <v>16</v>
      </c>
      <c r="G135" t="s">
        <v>166</v>
      </c>
      <c r="H135" s="94">
        <v>0.22500000000000001</v>
      </c>
      <c r="I135" t="s">
        <v>60</v>
      </c>
      <c r="J135" t="s">
        <v>63</v>
      </c>
    </row>
    <row r="136" spans="1:10" x14ac:dyDescent="0.25">
      <c r="A136" t="s">
        <v>131</v>
      </c>
      <c r="B136" t="s">
        <v>167</v>
      </c>
      <c r="C136" s="12" t="s">
        <v>109</v>
      </c>
      <c r="D136" t="s">
        <v>4</v>
      </c>
      <c r="E136" t="s">
        <v>12</v>
      </c>
      <c r="F136" t="s">
        <v>16</v>
      </c>
      <c r="G136" t="s">
        <v>166</v>
      </c>
      <c r="H136" s="94">
        <v>0.22500000000000001</v>
      </c>
      <c r="I136" t="s">
        <v>60</v>
      </c>
      <c r="J136" t="s">
        <v>11</v>
      </c>
    </row>
    <row r="137" spans="1:10" x14ac:dyDescent="0.25">
      <c r="A137" t="s">
        <v>131</v>
      </c>
      <c r="B137" t="s">
        <v>167</v>
      </c>
      <c r="C137" s="12" t="s">
        <v>109</v>
      </c>
      <c r="D137" t="s">
        <v>4</v>
      </c>
      <c r="E137" t="s">
        <v>12</v>
      </c>
      <c r="F137" t="s">
        <v>16</v>
      </c>
      <c r="G137" t="s">
        <v>166</v>
      </c>
      <c r="H137" s="94">
        <v>0.43</v>
      </c>
      <c r="I137" t="s">
        <v>107</v>
      </c>
      <c r="J137" t="s">
        <v>13</v>
      </c>
    </row>
    <row r="138" spans="1:10" x14ac:dyDescent="0.25">
      <c r="A138" t="s">
        <v>131</v>
      </c>
      <c r="B138" t="s">
        <v>167</v>
      </c>
      <c r="C138" s="12" t="s">
        <v>109</v>
      </c>
      <c r="D138" t="s">
        <v>4</v>
      </c>
      <c r="E138" t="s">
        <v>12</v>
      </c>
      <c r="F138" t="s">
        <v>16</v>
      </c>
      <c r="G138" t="s">
        <v>166</v>
      </c>
      <c r="H138" s="94">
        <v>0.43</v>
      </c>
      <c r="I138" t="s">
        <v>107</v>
      </c>
      <c r="J138" t="s">
        <v>63</v>
      </c>
    </row>
    <row r="139" spans="1:10" x14ac:dyDescent="0.25">
      <c r="A139" t="s">
        <v>131</v>
      </c>
      <c r="B139" t="s">
        <v>167</v>
      </c>
      <c r="C139" s="12" t="s">
        <v>109</v>
      </c>
      <c r="D139" t="s">
        <v>4</v>
      </c>
      <c r="E139" t="s">
        <v>12</v>
      </c>
      <c r="F139" t="s">
        <v>16</v>
      </c>
      <c r="G139" t="s">
        <v>166</v>
      </c>
      <c r="H139" s="94">
        <v>0.43</v>
      </c>
      <c r="I139" t="s">
        <v>107</v>
      </c>
      <c r="J139" t="s">
        <v>11</v>
      </c>
    </row>
    <row r="140" spans="1:10" x14ac:dyDescent="0.25">
      <c r="A140" t="s">
        <v>131</v>
      </c>
      <c r="B140" t="s">
        <v>167</v>
      </c>
      <c r="C140" s="12" t="s">
        <v>109</v>
      </c>
      <c r="D140" t="s">
        <v>4</v>
      </c>
      <c r="E140" t="s">
        <v>12</v>
      </c>
      <c r="F140" t="s">
        <v>16</v>
      </c>
      <c r="G140" t="s">
        <v>166</v>
      </c>
      <c r="H140" s="94">
        <v>0.43</v>
      </c>
      <c r="I140" t="s">
        <v>62</v>
      </c>
      <c r="J140" t="s">
        <v>13</v>
      </c>
    </row>
    <row r="141" spans="1:10" x14ac:dyDescent="0.25">
      <c r="A141" t="s">
        <v>131</v>
      </c>
      <c r="B141" t="s">
        <v>167</v>
      </c>
      <c r="C141" s="12" t="s">
        <v>109</v>
      </c>
      <c r="D141" t="s">
        <v>4</v>
      </c>
      <c r="E141" t="s">
        <v>12</v>
      </c>
      <c r="F141" t="s">
        <v>16</v>
      </c>
      <c r="G141" t="s">
        <v>166</v>
      </c>
      <c r="H141" s="94">
        <v>0.43</v>
      </c>
      <c r="I141" t="s">
        <v>62</v>
      </c>
      <c r="J141" t="s">
        <v>63</v>
      </c>
    </row>
    <row r="142" spans="1:10" x14ac:dyDescent="0.25">
      <c r="A142" t="s">
        <v>131</v>
      </c>
      <c r="B142" t="s">
        <v>167</v>
      </c>
      <c r="C142" s="12" t="s">
        <v>109</v>
      </c>
      <c r="D142" t="s">
        <v>4</v>
      </c>
      <c r="E142" t="s">
        <v>12</v>
      </c>
      <c r="F142" t="s">
        <v>16</v>
      </c>
      <c r="G142" t="s">
        <v>166</v>
      </c>
      <c r="H142" s="94">
        <v>0.43</v>
      </c>
      <c r="I142" t="s">
        <v>62</v>
      </c>
      <c r="J142" t="s">
        <v>11</v>
      </c>
    </row>
    <row r="143" spans="1:10" x14ac:dyDescent="0.25">
      <c r="A143" t="s">
        <v>131</v>
      </c>
      <c r="B143" t="s">
        <v>167</v>
      </c>
      <c r="C143" s="12" t="s">
        <v>109</v>
      </c>
      <c r="D143" t="s">
        <v>4</v>
      </c>
      <c r="E143" t="s">
        <v>12</v>
      </c>
      <c r="F143" t="s">
        <v>16</v>
      </c>
      <c r="G143" t="s">
        <v>166</v>
      </c>
      <c r="H143" s="94">
        <v>0.43</v>
      </c>
      <c r="I143" t="s">
        <v>60</v>
      </c>
      <c r="J143" t="s">
        <v>13</v>
      </c>
    </row>
    <row r="144" spans="1:10" x14ac:dyDescent="0.25">
      <c r="A144" t="s">
        <v>131</v>
      </c>
      <c r="B144" t="s">
        <v>167</v>
      </c>
      <c r="C144" s="12" t="s">
        <v>109</v>
      </c>
      <c r="D144" t="s">
        <v>4</v>
      </c>
      <c r="E144" t="s">
        <v>12</v>
      </c>
      <c r="F144" t="s">
        <v>16</v>
      </c>
      <c r="G144" t="s">
        <v>166</v>
      </c>
      <c r="H144" s="94">
        <v>0.43</v>
      </c>
      <c r="I144" t="s">
        <v>60</v>
      </c>
      <c r="J144" t="s">
        <v>63</v>
      </c>
    </row>
    <row r="145" spans="1:10" x14ac:dyDescent="0.25">
      <c r="A145" t="s">
        <v>131</v>
      </c>
      <c r="B145" t="s">
        <v>167</v>
      </c>
      <c r="C145" s="12" t="s">
        <v>109</v>
      </c>
      <c r="D145" t="s">
        <v>4</v>
      </c>
      <c r="E145" t="s">
        <v>12</v>
      </c>
      <c r="F145" t="s">
        <v>16</v>
      </c>
      <c r="G145" t="s">
        <v>166</v>
      </c>
      <c r="H145" s="94">
        <v>0.43</v>
      </c>
      <c r="I145" t="s">
        <v>60</v>
      </c>
      <c r="J145" t="s">
        <v>11</v>
      </c>
    </row>
    <row r="146" spans="1:10" x14ac:dyDescent="0.25">
      <c r="A146" t="s">
        <v>131</v>
      </c>
      <c r="B146" t="s">
        <v>167</v>
      </c>
      <c r="C146" s="12" t="s">
        <v>109</v>
      </c>
      <c r="D146" t="s">
        <v>4</v>
      </c>
      <c r="E146" t="s">
        <v>12</v>
      </c>
      <c r="F146" t="s">
        <v>8</v>
      </c>
      <c r="G146" t="s">
        <v>166</v>
      </c>
      <c r="H146" s="94">
        <v>0.22500000000000001</v>
      </c>
      <c r="I146" t="s">
        <v>107</v>
      </c>
      <c r="J146" t="s">
        <v>13</v>
      </c>
    </row>
    <row r="147" spans="1:10" x14ac:dyDescent="0.25">
      <c r="A147" t="s">
        <v>131</v>
      </c>
      <c r="B147" t="s">
        <v>167</v>
      </c>
      <c r="C147" s="12" t="s">
        <v>109</v>
      </c>
      <c r="D147" t="s">
        <v>4</v>
      </c>
      <c r="E147" t="s">
        <v>12</v>
      </c>
      <c r="F147" t="s">
        <v>8</v>
      </c>
      <c r="G147" t="s">
        <v>166</v>
      </c>
      <c r="H147" s="94">
        <v>0.22500000000000001</v>
      </c>
      <c r="I147" t="s">
        <v>107</v>
      </c>
      <c r="J147" t="s">
        <v>63</v>
      </c>
    </row>
    <row r="148" spans="1:10" x14ac:dyDescent="0.25">
      <c r="A148" t="s">
        <v>131</v>
      </c>
      <c r="B148" t="s">
        <v>167</v>
      </c>
      <c r="C148" s="12" t="s">
        <v>109</v>
      </c>
      <c r="D148" t="s">
        <v>4</v>
      </c>
      <c r="E148" t="s">
        <v>12</v>
      </c>
      <c r="F148" t="s">
        <v>8</v>
      </c>
      <c r="G148" t="s">
        <v>166</v>
      </c>
      <c r="H148" s="94">
        <v>0.22500000000000001</v>
      </c>
      <c r="I148" t="s">
        <v>107</v>
      </c>
      <c r="J148" t="s">
        <v>11</v>
      </c>
    </row>
    <row r="149" spans="1:10" x14ac:dyDescent="0.25">
      <c r="A149" t="s">
        <v>131</v>
      </c>
      <c r="B149" t="s">
        <v>167</v>
      </c>
      <c r="C149" s="12" t="s">
        <v>109</v>
      </c>
      <c r="D149" t="s">
        <v>4</v>
      </c>
      <c r="E149" t="s">
        <v>12</v>
      </c>
      <c r="F149" t="s">
        <v>8</v>
      </c>
      <c r="G149" t="s">
        <v>166</v>
      </c>
      <c r="H149" s="94">
        <v>0.22500000000000001</v>
      </c>
      <c r="I149" t="s">
        <v>62</v>
      </c>
      <c r="J149" t="s">
        <v>13</v>
      </c>
    </row>
    <row r="150" spans="1:10" x14ac:dyDescent="0.25">
      <c r="A150" t="s">
        <v>131</v>
      </c>
      <c r="B150" t="s">
        <v>167</v>
      </c>
      <c r="C150" s="12" t="s">
        <v>109</v>
      </c>
      <c r="D150" t="s">
        <v>4</v>
      </c>
      <c r="E150" t="s">
        <v>12</v>
      </c>
      <c r="F150" t="s">
        <v>8</v>
      </c>
      <c r="G150" t="s">
        <v>166</v>
      </c>
      <c r="H150" s="94">
        <v>0.22500000000000001</v>
      </c>
      <c r="I150" t="s">
        <v>62</v>
      </c>
      <c r="J150" t="s">
        <v>63</v>
      </c>
    </row>
    <row r="151" spans="1:10" x14ac:dyDescent="0.25">
      <c r="A151" t="s">
        <v>131</v>
      </c>
      <c r="B151" t="s">
        <v>167</v>
      </c>
      <c r="C151" s="12" t="s">
        <v>109</v>
      </c>
      <c r="D151" t="s">
        <v>4</v>
      </c>
      <c r="E151" t="s">
        <v>12</v>
      </c>
      <c r="F151" t="s">
        <v>8</v>
      </c>
      <c r="G151" t="s">
        <v>166</v>
      </c>
      <c r="H151" s="94">
        <v>0.22500000000000001</v>
      </c>
      <c r="I151" t="s">
        <v>62</v>
      </c>
      <c r="J151" t="s">
        <v>11</v>
      </c>
    </row>
    <row r="152" spans="1:10" x14ac:dyDescent="0.25">
      <c r="A152" t="s">
        <v>131</v>
      </c>
      <c r="B152" t="s">
        <v>167</v>
      </c>
      <c r="C152" s="12" t="s">
        <v>109</v>
      </c>
      <c r="D152" t="s">
        <v>4</v>
      </c>
      <c r="E152" t="s">
        <v>12</v>
      </c>
      <c r="F152" t="s">
        <v>8</v>
      </c>
      <c r="G152" t="s">
        <v>166</v>
      </c>
      <c r="H152" s="94">
        <v>0.22500000000000001</v>
      </c>
      <c r="I152" t="s">
        <v>60</v>
      </c>
      <c r="J152" t="s">
        <v>13</v>
      </c>
    </row>
    <row r="153" spans="1:10" x14ac:dyDescent="0.25">
      <c r="A153" t="s">
        <v>131</v>
      </c>
      <c r="B153" t="s">
        <v>167</v>
      </c>
      <c r="C153" s="12" t="s">
        <v>109</v>
      </c>
      <c r="D153" t="s">
        <v>4</v>
      </c>
      <c r="E153" t="s">
        <v>12</v>
      </c>
      <c r="F153" t="s">
        <v>8</v>
      </c>
      <c r="G153" t="s">
        <v>166</v>
      </c>
      <c r="H153" s="94">
        <v>0.22500000000000001</v>
      </c>
      <c r="I153" t="s">
        <v>60</v>
      </c>
      <c r="J153" t="s">
        <v>63</v>
      </c>
    </row>
    <row r="154" spans="1:10" x14ac:dyDescent="0.25">
      <c r="A154" t="s">
        <v>131</v>
      </c>
      <c r="B154" t="s">
        <v>167</v>
      </c>
      <c r="C154" s="12" t="s">
        <v>109</v>
      </c>
      <c r="D154" t="s">
        <v>4</v>
      </c>
      <c r="E154" t="s">
        <v>12</v>
      </c>
      <c r="F154" t="s">
        <v>8</v>
      </c>
      <c r="G154" t="s">
        <v>166</v>
      </c>
      <c r="H154" s="94">
        <v>0.22500000000000001</v>
      </c>
      <c r="I154" t="s">
        <v>60</v>
      </c>
      <c r="J154" t="s">
        <v>11</v>
      </c>
    </row>
    <row r="155" spans="1:10" x14ac:dyDescent="0.25">
      <c r="A155" t="s">
        <v>131</v>
      </c>
      <c r="B155" t="s">
        <v>167</v>
      </c>
      <c r="C155" s="12" t="s">
        <v>109</v>
      </c>
      <c r="D155" t="s">
        <v>4</v>
      </c>
      <c r="E155" t="s">
        <v>12</v>
      </c>
      <c r="F155" t="s">
        <v>8</v>
      </c>
      <c r="G155" t="s">
        <v>166</v>
      </c>
      <c r="H155" s="94">
        <v>0.43</v>
      </c>
      <c r="I155" t="s">
        <v>107</v>
      </c>
      <c r="J155" t="s">
        <v>13</v>
      </c>
    </row>
    <row r="156" spans="1:10" x14ac:dyDescent="0.25">
      <c r="A156" t="s">
        <v>131</v>
      </c>
      <c r="B156" t="s">
        <v>167</v>
      </c>
      <c r="C156" s="12" t="s">
        <v>109</v>
      </c>
      <c r="D156" t="s">
        <v>4</v>
      </c>
      <c r="E156" t="s">
        <v>12</v>
      </c>
      <c r="F156" t="s">
        <v>8</v>
      </c>
      <c r="G156" t="s">
        <v>166</v>
      </c>
      <c r="H156" s="94">
        <v>0.43</v>
      </c>
      <c r="I156" t="s">
        <v>107</v>
      </c>
      <c r="J156" t="s">
        <v>63</v>
      </c>
    </row>
    <row r="157" spans="1:10" x14ac:dyDescent="0.25">
      <c r="A157" t="s">
        <v>131</v>
      </c>
      <c r="B157" t="s">
        <v>167</v>
      </c>
      <c r="C157" s="12" t="s">
        <v>109</v>
      </c>
      <c r="D157" t="s">
        <v>4</v>
      </c>
      <c r="E157" t="s">
        <v>12</v>
      </c>
      <c r="F157" t="s">
        <v>8</v>
      </c>
      <c r="G157" t="s">
        <v>166</v>
      </c>
      <c r="H157" s="94">
        <v>0.43</v>
      </c>
      <c r="I157" t="s">
        <v>107</v>
      </c>
      <c r="J157" t="s">
        <v>11</v>
      </c>
    </row>
    <row r="158" spans="1:10" x14ac:dyDescent="0.25">
      <c r="A158" t="s">
        <v>131</v>
      </c>
      <c r="B158" t="s">
        <v>167</v>
      </c>
      <c r="C158" s="12" t="s">
        <v>109</v>
      </c>
      <c r="D158" t="s">
        <v>4</v>
      </c>
      <c r="E158" t="s">
        <v>12</v>
      </c>
      <c r="F158" t="s">
        <v>8</v>
      </c>
      <c r="G158" t="s">
        <v>166</v>
      </c>
      <c r="H158" s="94">
        <v>0.43</v>
      </c>
      <c r="I158" t="s">
        <v>62</v>
      </c>
      <c r="J158" t="s">
        <v>13</v>
      </c>
    </row>
    <row r="159" spans="1:10" x14ac:dyDescent="0.25">
      <c r="A159" t="s">
        <v>131</v>
      </c>
      <c r="B159" t="s">
        <v>167</v>
      </c>
      <c r="C159" s="12" t="s">
        <v>109</v>
      </c>
      <c r="D159" t="s">
        <v>4</v>
      </c>
      <c r="E159" t="s">
        <v>12</v>
      </c>
      <c r="F159" t="s">
        <v>8</v>
      </c>
      <c r="G159" t="s">
        <v>166</v>
      </c>
      <c r="H159" s="94">
        <v>0.43</v>
      </c>
      <c r="I159" t="s">
        <v>62</v>
      </c>
      <c r="J159" t="s">
        <v>63</v>
      </c>
    </row>
    <row r="160" spans="1:10" x14ac:dyDescent="0.25">
      <c r="A160" t="s">
        <v>131</v>
      </c>
      <c r="B160" t="s">
        <v>167</v>
      </c>
      <c r="C160" s="12" t="s">
        <v>109</v>
      </c>
      <c r="D160" t="s">
        <v>4</v>
      </c>
      <c r="E160" t="s">
        <v>12</v>
      </c>
      <c r="F160" t="s">
        <v>8</v>
      </c>
      <c r="G160" t="s">
        <v>166</v>
      </c>
      <c r="H160" s="94">
        <v>0.43</v>
      </c>
      <c r="I160" t="s">
        <v>62</v>
      </c>
      <c r="J160" t="s">
        <v>11</v>
      </c>
    </row>
    <row r="161" spans="1:10" x14ac:dyDescent="0.25">
      <c r="A161" t="s">
        <v>131</v>
      </c>
      <c r="B161" t="s">
        <v>167</v>
      </c>
      <c r="C161" s="12" t="s">
        <v>109</v>
      </c>
      <c r="D161" t="s">
        <v>4</v>
      </c>
      <c r="E161" t="s">
        <v>12</v>
      </c>
      <c r="F161" t="s">
        <v>8</v>
      </c>
      <c r="G161" t="s">
        <v>166</v>
      </c>
      <c r="H161" s="94">
        <v>0.43</v>
      </c>
      <c r="I161" t="s">
        <v>60</v>
      </c>
      <c r="J161" t="s">
        <v>13</v>
      </c>
    </row>
    <row r="162" spans="1:10" x14ac:dyDescent="0.25">
      <c r="A162" t="s">
        <v>131</v>
      </c>
      <c r="B162" t="s">
        <v>167</v>
      </c>
      <c r="C162" s="12" t="s">
        <v>109</v>
      </c>
      <c r="D162" t="s">
        <v>4</v>
      </c>
      <c r="E162" t="s">
        <v>12</v>
      </c>
      <c r="F162" t="s">
        <v>8</v>
      </c>
      <c r="G162" t="s">
        <v>166</v>
      </c>
      <c r="H162" s="94">
        <v>0.43</v>
      </c>
      <c r="I162" t="s">
        <v>60</v>
      </c>
      <c r="J162" t="s">
        <v>63</v>
      </c>
    </row>
    <row r="163" spans="1:10" x14ac:dyDescent="0.25">
      <c r="A163" t="s">
        <v>131</v>
      </c>
      <c r="B163" t="s">
        <v>167</v>
      </c>
      <c r="C163" s="12" t="s">
        <v>109</v>
      </c>
      <c r="D163" t="s">
        <v>4</v>
      </c>
      <c r="E163" t="s">
        <v>12</v>
      </c>
      <c r="F163" t="s">
        <v>8</v>
      </c>
      <c r="G163" t="s">
        <v>166</v>
      </c>
      <c r="H163" s="94">
        <v>0.43</v>
      </c>
      <c r="I163" t="s">
        <v>60</v>
      </c>
      <c r="J163" t="s">
        <v>11</v>
      </c>
    </row>
    <row r="164" spans="1:10" x14ac:dyDescent="0.25">
      <c r="A164" t="s">
        <v>131</v>
      </c>
      <c r="B164" t="s">
        <v>167</v>
      </c>
      <c r="C164" s="12" t="s">
        <v>109</v>
      </c>
      <c r="D164" t="s">
        <v>4</v>
      </c>
      <c r="E164" t="s">
        <v>6</v>
      </c>
      <c r="F164" t="s">
        <v>72</v>
      </c>
      <c r="G164" t="s">
        <v>166</v>
      </c>
      <c r="H164" s="94">
        <v>0.22500000000000001</v>
      </c>
      <c r="I164" t="s">
        <v>107</v>
      </c>
      <c r="J164" t="s">
        <v>13</v>
      </c>
    </row>
    <row r="165" spans="1:10" x14ac:dyDescent="0.25">
      <c r="A165" t="s">
        <v>131</v>
      </c>
      <c r="B165" t="s">
        <v>167</v>
      </c>
      <c r="C165" s="12" t="s">
        <v>109</v>
      </c>
      <c r="D165" t="s">
        <v>4</v>
      </c>
      <c r="E165" t="s">
        <v>6</v>
      </c>
      <c r="F165" t="s">
        <v>72</v>
      </c>
      <c r="G165" t="s">
        <v>166</v>
      </c>
      <c r="H165" s="94">
        <v>0.22500000000000001</v>
      </c>
      <c r="I165" t="s">
        <v>107</v>
      </c>
      <c r="J165" t="s">
        <v>63</v>
      </c>
    </row>
    <row r="166" spans="1:10" x14ac:dyDescent="0.25">
      <c r="A166" t="s">
        <v>131</v>
      </c>
      <c r="B166" t="s">
        <v>167</v>
      </c>
      <c r="C166" s="12" t="s">
        <v>109</v>
      </c>
      <c r="D166" t="s">
        <v>4</v>
      </c>
      <c r="E166" t="s">
        <v>6</v>
      </c>
      <c r="F166" t="s">
        <v>72</v>
      </c>
      <c r="G166" t="s">
        <v>166</v>
      </c>
      <c r="H166" s="94">
        <v>0.22500000000000001</v>
      </c>
      <c r="I166" t="s">
        <v>107</v>
      </c>
      <c r="J166" t="s">
        <v>11</v>
      </c>
    </row>
    <row r="167" spans="1:10" x14ac:dyDescent="0.25">
      <c r="A167" t="s">
        <v>131</v>
      </c>
      <c r="B167" t="s">
        <v>167</v>
      </c>
      <c r="C167" s="12" t="s">
        <v>109</v>
      </c>
      <c r="D167" t="s">
        <v>4</v>
      </c>
      <c r="E167" t="s">
        <v>6</v>
      </c>
      <c r="F167" t="s">
        <v>72</v>
      </c>
      <c r="G167" t="s">
        <v>166</v>
      </c>
      <c r="H167" s="94">
        <v>0.22500000000000001</v>
      </c>
      <c r="I167" t="s">
        <v>62</v>
      </c>
      <c r="J167" t="s">
        <v>13</v>
      </c>
    </row>
    <row r="168" spans="1:10" x14ac:dyDescent="0.25">
      <c r="A168" t="s">
        <v>131</v>
      </c>
      <c r="B168" t="s">
        <v>167</v>
      </c>
      <c r="C168" s="12" t="s">
        <v>109</v>
      </c>
      <c r="D168" t="s">
        <v>4</v>
      </c>
      <c r="E168" t="s">
        <v>6</v>
      </c>
      <c r="F168" t="s">
        <v>72</v>
      </c>
      <c r="G168" t="s">
        <v>166</v>
      </c>
      <c r="H168" s="94">
        <v>0.22500000000000001</v>
      </c>
      <c r="I168" t="s">
        <v>62</v>
      </c>
      <c r="J168" t="s">
        <v>63</v>
      </c>
    </row>
    <row r="169" spans="1:10" x14ac:dyDescent="0.25">
      <c r="A169" t="s">
        <v>131</v>
      </c>
      <c r="B169" t="s">
        <v>167</v>
      </c>
      <c r="C169" s="12" t="s">
        <v>109</v>
      </c>
      <c r="D169" t="s">
        <v>4</v>
      </c>
      <c r="E169" t="s">
        <v>6</v>
      </c>
      <c r="F169" t="s">
        <v>72</v>
      </c>
      <c r="G169" t="s">
        <v>166</v>
      </c>
      <c r="H169" s="94">
        <v>0.22500000000000001</v>
      </c>
      <c r="I169" t="s">
        <v>62</v>
      </c>
      <c r="J169" t="s">
        <v>11</v>
      </c>
    </row>
    <row r="170" spans="1:10" x14ac:dyDescent="0.25">
      <c r="A170" t="s">
        <v>131</v>
      </c>
      <c r="B170" t="s">
        <v>167</v>
      </c>
      <c r="C170" s="12" t="s">
        <v>109</v>
      </c>
      <c r="D170" t="s">
        <v>4</v>
      </c>
      <c r="E170" t="s">
        <v>6</v>
      </c>
      <c r="F170" t="s">
        <v>72</v>
      </c>
      <c r="G170" t="s">
        <v>166</v>
      </c>
      <c r="H170" s="94">
        <v>0.22500000000000001</v>
      </c>
      <c r="I170" t="s">
        <v>60</v>
      </c>
      <c r="J170" t="s">
        <v>13</v>
      </c>
    </row>
    <row r="171" spans="1:10" x14ac:dyDescent="0.25">
      <c r="A171" t="s">
        <v>131</v>
      </c>
      <c r="B171" t="s">
        <v>167</v>
      </c>
      <c r="C171" s="12" t="s">
        <v>109</v>
      </c>
      <c r="D171" t="s">
        <v>4</v>
      </c>
      <c r="E171" t="s">
        <v>6</v>
      </c>
      <c r="F171" t="s">
        <v>72</v>
      </c>
      <c r="G171" t="s">
        <v>166</v>
      </c>
      <c r="H171" s="94">
        <v>0.22500000000000001</v>
      </c>
      <c r="I171" t="s">
        <v>60</v>
      </c>
      <c r="J171" t="s">
        <v>63</v>
      </c>
    </row>
    <row r="172" spans="1:10" x14ac:dyDescent="0.25">
      <c r="A172" t="s">
        <v>131</v>
      </c>
      <c r="B172" t="s">
        <v>167</v>
      </c>
      <c r="C172" s="12" t="s">
        <v>109</v>
      </c>
      <c r="D172" t="s">
        <v>4</v>
      </c>
      <c r="E172" t="s">
        <v>6</v>
      </c>
      <c r="F172" t="s">
        <v>72</v>
      </c>
      <c r="G172" t="s">
        <v>166</v>
      </c>
      <c r="H172" s="94">
        <v>0.22500000000000001</v>
      </c>
      <c r="I172" t="s">
        <v>60</v>
      </c>
      <c r="J172" t="s">
        <v>11</v>
      </c>
    </row>
    <row r="173" spans="1:10" x14ac:dyDescent="0.25">
      <c r="A173" t="s">
        <v>131</v>
      </c>
      <c r="B173" t="s">
        <v>167</v>
      </c>
      <c r="C173" s="12" t="s">
        <v>109</v>
      </c>
      <c r="D173" t="s">
        <v>4</v>
      </c>
      <c r="E173" t="s">
        <v>6</v>
      </c>
      <c r="F173" t="s">
        <v>72</v>
      </c>
      <c r="G173" t="s">
        <v>166</v>
      </c>
      <c r="H173" s="94">
        <v>0.43</v>
      </c>
      <c r="I173" t="s">
        <v>107</v>
      </c>
      <c r="J173" t="s">
        <v>13</v>
      </c>
    </row>
    <row r="174" spans="1:10" x14ac:dyDescent="0.25">
      <c r="A174" t="s">
        <v>131</v>
      </c>
      <c r="B174" t="s">
        <v>167</v>
      </c>
      <c r="C174" s="12" t="s">
        <v>109</v>
      </c>
      <c r="D174" t="s">
        <v>4</v>
      </c>
      <c r="E174" t="s">
        <v>6</v>
      </c>
      <c r="F174" t="s">
        <v>72</v>
      </c>
      <c r="G174" t="s">
        <v>166</v>
      </c>
      <c r="H174" s="94">
        <v>0.43</v>
      </c>
      <c r="I174" t="s">
        <v>107</v>
      </c>
      <c r="J174" t="s">
        <v>63</v>
      </c>
    </row>
    <row r="175" spans="1:10" x14ac:dyDescent="0.25">
      <c r="A175" t="s">
        <v>131</v>
      </c>
      <c r="B175" t="s">
        <v>167</v>
      </c>
      <c r="C175" s="12" t="s">
        <v>109</v>
      </c>
      <c r="D175" t="s">
        <v>4</v>
      </c>
      <c r="E175" t="s">
        <v>6</v>
      </c>
      <c r="F175" t="s">
        <v>72</v>
      </c>
      <c r="G175" t="s">
        <v>166</v>
      </c>
      <c r="H175" s="94">
        <v>0.43</v>
      </c>
      <c r="I175" t="s">
        <v>107</v>
      </c>
      <c r="J175" t="s">
        <v>11</v>
      </c>
    </row>
    <row r="176" spans="1:10" x14ac:dyDescent="0.25">
      <c r="A176" t="s">
        <v>131</v>
      </c>
      <c r="B176" t="s">
        <v>167</v>
      </c>
      <c r="C176" s="12" t="s">
        <v>109</v>
      </c>
      <c r="D176" t="s">
        <v>4</v>
      </c>
      <c r="E176" t="s">
        <v>6</v>
      </c>
      <c r="F176" t="s">
        <v>72</v>
      </c>
      <c r="G176" t="s">
        <v>166</v>
      </c>
      <c r="H176" s="94">
        <v>0.43</v>
      </c>
      <c r="I176" t="s">
        <v>62</v>
      </c>
      <c r="J176" t="s">
        <v>13</v>
      </c>
    </row>
    <row r="177" spans="1:10" x14ac:dyDescent="0.25">
      <c r="A177" t="s">
        <v>131</v>
      </c>
      <c r="B177" t="s">
        <v>167</v>
      </c>
      <c r="C177" s="12" t="s">
        <v>109</v>
      </c>
      <c r="D177" t="s">
        <v>4</v>
      </c>
      <c r="E177" t="s">
        <v>6</v>
      </c>
      <c r="F177" t="s">
        <v>72</v>
      </c>
      <c r="G177" t="s">
        <v>166</v>
      </c>
      <c r="H177" s="94">
        <v>0.43</v>
      </c>
      <c r="I177" t="s">
        <v>62</v>
      </c>
      <c r="J177" t="s">
        <v>63</v>
      </c>
    </row>
    <row r="178" spans="1:10" x14ac:dyDescent="0.25">
      <c r="A178" t="s">
        <v>131</v>
      </c>
      <c r="B178" t="s">
        <v>167</v>
      </c>
      <c r="C178" s="12" t="s">
        <v>109</v>
      </c>
      <c r="D178" t="s">
        <v>4</v>
      </c>
      <c r="E178" t="s">
        <v>6</v>
      </c>
      <c r="F178" t="s">
        <v>72</v>
      </c>
      <c r="G178" t="s">
        <v>166</v>
      </c>
      <c r="H178" s="94">
        <v>0.43</v>
      </c>
      <c r="I178" t="s">
        <v>62</v>
      </c>
      <c r="J178" t="s">
        <v>11</v>
      </c>
    </row>
    <row r="179" spans="1:10" x14ac:dyDescent="0.25">
      <c r="A179" t="s">
        <v>131</v>
      </c>
      <c r="B179" t="s">
        <v>167</v>
      </c>
      <c r="C179" s="12" t="s">
        <v>109</v>
      </c>
      <c r="D179" t="s">
        <v>4</v>
      </c>
      <c r="E179" t="s">
        <v>6</v>
      </c>
      <c r="F179" t="s">
        <v>72</v>
      </c>
      <c r="G179" t="s">
        <v>166</v>
      </c>
      <c r="H179" s="94">
        <v>0.43</v>
      </c>
      <c r="I179" t="s">
        <v>60</v>
      </c>
      <c r="J179" t="s">
        <v>13</v>
      </c>
    </row>
    <row r="180" spans="1:10" x14ac:dyDescent="0.25">
      <c r="A180" t="s">
        <v>131</v>
      </c>
      <c r="B180" t="s">
        <v>167</v>
      </c>
      <c r="C180" s="12" t="s">
        <v>109</v>
      </c>
      <c r="D180" t="s">
        <v>4</v>
      </c>
      <c r="E180" t="s">
        <v>6</v>
      </c>
      <c r="F180" t="s">
        <v>72</v>
      </c>
      <c r="G180" t="s">
        <v>166</v>
      </c>
      <c r="H180" s="94">
        <v>0.43</v>
      </c>
      <c r="I180" t="s">
        <v>60</v>
      </c>
      <c r="J180" t="s">
        <v>63</v>
      </c>
    </row>
    <row r="181" spans="1:10" x14ac:dyDescent="0.25">
      <c r="A181" t="s">
        <v>131</v>
      </c>
      <c r="B181" t="s">
        <v>167</v>
      </c>
      <c r="C181" s="12" t="s">
        <v>109</v>
      </c>
      <c r="D181" t="s">
        <v>4</v>
      </c>
      <c r="E181" t="s">
        <v>6</v>
      </c>
      <c r="F181" t="s">
        <v>72</v>
      </c>
      <c r="G181" t="s">
        <v>166</v>
      </c>
      <c r="H181" s="94">
        <v>0.43</v>
      </c>
      <c r="I181" t="s">
        <v>60</v>
      </c>
      <c r="J181" t="s">
        <v>11</v>
      </c>
    </row>
    <row r="182" spans="1:10" x14ac:dyDescent="0.25">
      <c r="A182" t="s">
        <v>131</v>
      </c>
      <c r="B182" t="s">
        <v>167</v>
      </c>
      <c r="C182" s="12" t="s">
        <v>109</v>
      </c>
      <c r="D182" t="s">
        <v>4</v>
      </c>
      <c r="E182" t="s">
        <v>6</v>
      </c>
      <c r="F182" t="s">
        <v>16</v>
      </c>
      <c r="G182" t="s">
        <v>166</v>
      </c>
      <c r="H182" s="94">
        <v>0.22500000000000001</v>
      </c>
      <c r="I182" t="s">
        <v>107</v>
      </c>
      <c r="J182" t="s">
        <v>13</v>
      </c>
    </row>
    <row r="183" spans="1:10" x14ac:dyDescent="0.25">
      <c r="A183" t="s">
        <v>131</v>
      </c>
      <c r="B183" t="s">
        <v>167</v>
      </c>
      <c r="C183" s="12" t="s">
        <v>109</v>
      </c>
      <c r="D183" t="s">
        <v>4</v>
      </c>
      <c r="E183" t="s">
        <v>6</v>
      </c>
      <c r="F183" t="s">
        <v>16</v>
      </c>
      <c r="G183" t="s">
        <v>166</v>
      </c>
      <c r="H183" s="94">
        <v>0.22500000000000001</v>
      </c>
      <c r="I183" t="s">
        <v>107</v>
      </c>
      <c r="J183" t="s">
        <v>63</v>
      </c>
    </row>
    <row r="184" spans="1:10" x14ac:dyDescent="0.25">
      <c r="A184" t="s">
        <v>131</v>
      </c>
      <c r="B184" t="s">
        <v>167</v>
      </c>
      <c r="C184" s="12" t="s">
        <v>109</v>
      </c>
      <c r="D184" t="s">
        <v>4</v>
      </c>
      <c r="E184" t="s">
        <v>6</v>
      </c>
      <c r="F184" t="s">
        <v>16</v>
      </c>
      <c r="G184" t="s">
        <v>166</v>
      </c>
      <c r="H184" s="94">
        <v>0.22500000000000001</v>
      </c>
      <c r="I184" t="s">
        <v>107</v>
      </c>
      <c r="J184" t="s">
        <v>11</v>
      </c>
    </row>
    <row r="185" spans="1:10" x14ac:dyDescent="0.25">
      <c r="A185" t="s">
        <v>131</v>
      </c>
      <c r="B185" t="s">
        <v>167</v>
      </c>
      <c r="C185" s="12" t="s">
        <v>109</v>
      </c>
      <c r="D185" t="s">
        <v>4</v>
      </c>
      <c r="E185" t="s">
        <v>6</v>
      </c>
      <c r="F185" t="s">
        <v>16</v>
      </c>
      <c r="G185" t="s">
        <v>166</v>
      </c>
      <c r="H185" s="94">
        <v>0.22500000000000001</v>
      </c>
      <c r="I185" t="s">
        <v>62</v>
      </c>
      <c r="J185" t="s">
        <v>13</v>
      </c>
    </row>
    <row r="186" spans="1:10" x14ac:dyDescent="0.25">
      <c r="A186" t="s">
        <v>131</v>
      </c>
      <c r="B186" t="s">
        <v>167</v>
      </c>
      <c r="C186" s="12" t="s">
        <v>109</v>
      </c>
      <c r="D186" t="s">
        <v>4</v>
      </c>
      <c r="E186" t="s">
        <v>6</v>
      </c>
      <c r="F186" t="s">
        <v>16</v>
      </c>
      <c r="G186" t="s">
        <v>166</v>
      </c>
      <c r="H186" s="94">
        <v>0.22500000000000001</v>
      </c>
      <c r="I186" t="s">
        <v>62</v>
      </c>
      <c r="J186" t="s">
        <v>63</v>
      </c>
    </row>
    <row r="187" spans="1:10" x14ac:dyDescent="0.25">
      <c r="A187" t="s">
        <v>131</v>
      </c>
      <c r="B187" t="s">
        <v>167</v>
      </c>
      <c r="C187" s="12" t="s">
        <v>109</v>
      </c>
      <c r="D187" t="s">
        <v>4</v>
      </c>
      <c r="E187" t="s">
        <v>6</v>
      </c>
      <c r="F187" t="s">
        <v>16</v>
      </c>
      <c r="G187" t="s">
        <v>166</v>
      </c>
      <c r="H187" s="94">
        <v>0.22500000000000001</v>
      </c>
      <c r="I187" t="s">
        <v>62</v>
      </c>
      <c r="J187" t="s">
        <v>11</v>
      </c>
    </row>
    <row r="188" spans="1:10" x14ac:dyDescent="0.25">
      <c r="A188" t="s">
        <v>131</v>
      </c>
      <c r="B188" t="s">
        <v>167</v>
      </c>
      <c r="C188" s="12" t="s">
        <v>109</v>
      </c>
      <c r="D188" t="s">
        <v>4</v>
      </c>
      <c r="E188" t="s">
        <v>6</v>
      </c>
      <c r="F188" t="s">
        <v>16</v>
      </c>
      <c r="G188" t="s">
        <v>166</v>
      </c>
      <c r="H188" s="94">
        <v>0.22500000000000001</v>
      </c>
      <c r="I188" t="s">
        <v>60</v>
      </c>
      <c r="J188" t="s">
        <v>13</v>
      </c>
    </row>
    <row r="189" spans="1:10" x14ac:dyDescent="0.25">
      <c r="A189" t="s">
        <v>131</v>
      </c>
      <c r="B189" t="s">
        <v>167</v>
      </c>
      <c r="C189" s="12" t="s">
        <v>109</v>
      </c>
      <c r="D189" t="s">
        <v>4</v>
      </c>
      <c r="E189" t="s">
        <v>6</v>
      </c>
      <c r="F189" t="s">
        <v>16</v>
      </c>
      <c r="G189" t="s">
        <v>166</v>
      </c>
      <c r="H189" s="94">
        <v>0.22500000000000001</v>
      </c>
      <c r="I189" t="s">
        <v>60</v>
      </c>
      <c r="J189" t="s">
        <v>63</v>
      </c>
    </row>
    <row r="190" spans="1:10" x14ac:dyDescent="0.25">
      <c r="A190" t="s">
        <v>131</v>
      </c>
      <c r="B190" t="s">
        <v>167</v>
      </c>
      <c r="C190" s="12" t="s">
        <v>109</v>
      </c>
      <c r="D190" t="s">
        <v>4</v>
      </c>
      <c r="E190" t="s">
        <v>6</v>
      </c>
      <c r="F190" t="s">
        <v>16</v>
      </c>
      <c r="G190" t="s">
        <v>166</v>
      </c>
      <c r="H190" s="94">
        <v>0.22500000000000001</v>
      </c>
      <c r="I190" t="s">
        <v>60</v>
      </c>
      <c r="J190" t="s">
        <v>11</v>
      </c>
    </row>
    <row r="191" spans="1:10" x14ac:dyDescent="0.25">
      <c r="A191" t="s">
        <v>131</v>
      </c>
      <c r="B191" t="s">
        <v>167</v>
      </c>
      <c r="C191" s="12" t="s">
        <v>109</v>
      </c>
      <c r="D191" t="s">
        <v>4</v>
      </c>
      <c r="E191" t="s">
        <v>6</v>
      </c>
      <c r="F191" t="s">
        <v>16</v>
      </c>
      <c r="G191" t="s">
        <v>166</v>
      </c>
      <c r="H191" s="94">
        <v>0.43</v>
      </c>
      <c r="I191" t="s">
        <v>107</v>
      </c>
      <c r="J191" t="s">
        <v>13</v>
      </c>
    </row>
    <row r="192" spans="1:10" x14ac:dyDescent="0.25">
      <c r="A192" t="s">
        <v>131</v>
      </c>
      <c r="B192" t="s">
        <v>167</v>
      </c>
      <c r="C192" s="12" t="s">
        <v>109</v>
      </c>
      <c r="D192" t="s">
        <v>4</v>
      </c>
      <c r="E192" t="s">
        <v>6</v>
      </c>
      <c r="F192" t="s">
        <v>16</v>
      </c>
      <c r="G192" t="s">
        <v>166</v>
      </c>
      <c r="H192" s="94">
        <v>0.43</v>
      </c>
      <c r="I192" t="s">
        <v>107</v>
      </c>
      <c r="J192" t="s">
        <v>63</v>
      </c>
    </row>
    <row r="193" spans="1:10" x14ac:dyDescent="0.25">
      <c r="A193" t="s">
        <v>131</v>
      </c>
      <c r="B193" t="s">
        <v>167</v>
      </c>
      <c r="C193" s="12" t="s">
        <v>109</v>
      </c>
      <c r="D193" t="s">
        <v>4</v>
      </c>
      <c r="E193" t="s">
        <v>6</v>
      </c>
      <c r="F193" t="s">
        <v>16</v>
      </c>
      <c r="G193" t="s">
        <v>166</v>
      </c>
      <c r="H193" s="94">
        <v>0.43</v>
      </c>
      <c r="I193" t="s">
        <v>107</v>
      </c>
      <c r="J193" t="s">
        <v>11</v>
      </c>
    </row>
    <row r="194" spans="1:10" x14ac:dyDescent="0.25">
      <c r="A194" t="s">
        <v>131</v>
      </c>
      <c r="B194" t="s">
        <v>167</v>
      </c>
      <c r="C194" s="12" t="s">
        <v>109</v>
      </c>
      <c r="D194" t="s">
        <v>4</v>
      </c>
      <c r="E194" t="s">
        <v>6</v>
      </c>
      <c r="F194" t="s">
        <v>16</v>
      </c>
      <c r="G194" t="s">
        <v>166</v>
      </c>
      <c r="H194" s="94">
        <v>0.43</v>
      </c>
      <c r="I194" t="s">
        <v>62</v>
      </c>
      <c r="J194" t="s">
        <v>13</v>
      </c>
    </row>
    <row r="195" spans="1:10" x14ac:dyDescent="0.25">
      <c r="A195" t="s">
        <v>131</v>
      </c>
      <c r="B195" t="s">
        <v>167</v>
      </c>
      <c r="C195" s="12" t="s">
        <v>109</v>
      </c>
      <c r="D195" t="s">
        <v>4</v>
      </c>
      <c r="E195" t="s">
        <v>6</v>
      </c>
      <c r="F195" t="s">
        <v>16</v>
      </c>
      <c r="G195" t="s">
        <v>166</v>
      </c>
      <c r="H195" s="94">
        <v>0.43</v>
      </c>
      <c r="I195" t="s">
        <v>62</v>
      </c>
      <c r="J195" t="s">
        <v>63</v>
      </c>
    </row>
    <row r="196" spans="1:10" x14ac:dyDescent="0.25">
      <c r="A196" t="s">
        <v>131</v>
      </c>
      <c r="B196" t="s">
        <v>167</v>
      </c>
      <c r="C196" s="12" t="s">
        <v>109</v>
      </c>
      <c r="D196" t="s">
        <v>4</v>
      </c>
      <c r="E196" t="s">
        <v>6</v>
      </c>
      <c r="F196" t="s">
        <v>16</v>
      </c>
      <c r="G196" t="s">
        <v>166</v>
      </c>
      <c r="H196" s="94">
        <v>0.43</v>
      </c>
      <c r="I196" t="s">
        <v>62</v>
      </c>
      <c r="J196" t="s">
        <v>11</v>
      </c>
    </row>
    <row r="197" spans="1:10" x14ac:dyDescent="0.25">
      <c r="A197" t="s">
        <v>131</v>
      </c>
      <c r="B197" t="s">
        <v>167</v>
      </c>
      <c r="C197" s="12" t="s">
        <v>109</v>
      </c>
      <c r="D197" t="s">
        <v>4</v>
      </c>
      <c r="E197" t="s">
        <v>6</v>
      </c>
      <c r="F197" t="s">
        <v>16</v>
      </c>
      <c r="G197" t="s">
        <v>166</v>
      </c>
      <c r="H197" s="94">
        <v>0.43</v>
      </c>
      <c r="I197" t="s">
        <v>60</v>
      </c>
      <c r="J197" t="s">
        <v>13</v>
      </c>
    </row>
    <row r="198" spans="1:10" x14ac:dyDescent="0.25">
      <c r="A198" t="s">
        <v>131</v>
      </c>
      <c r="B198" t="s">
        <v>167</v>
      </c>
      <c r="C198" s="12" t="s">
        <v>109</v>
      </c>
      <c r="D198" t="s">
        <v>4</v>
      </c>
      <c r="E198" t="s">
        <v>6</v>
      </c>
      <c r="F198" t="s">
        <v>16</v>
      </c>
      <c r="G198" t="s">
        <v>166</v>
      </c>
      <c r="H198" s="94">
        <v>0.43</v>
      </c>
      <c r="I198" t="s">
        <v>60</v>
      </c>
      <c r="J198" t="s">
        <v>63</v>
      </c>
    </row>
    <row r="199" spans="1:10" x14ac:dyDescent="0.25">
      <c r="A199" t="s">
        <v>131</v>
      </c>
      <c r="B199" t="s">
        <v>167</v>
      </c>
      <c r="C199" s="12" t="s">
        <v>109</v>
      </c>
      <c r="D199" t="s">
        <v>4</v>
      </c>
      <c r="E199" t="s">
        <v>6</v>
      </c>
      <c r="F199" t="s">
        <v>16</v>
      </c>
      <c r="G199" t="s">
        <v>166</v>
      </c>
      <c r="H199" s="94">
        <v>0.43</v>
      </c>
      <c r="I199" t="s">
        <v>60</v>
      </c>
      <c r="J199" t="s">
        <v>11</v>
      </c>
    </row>
    <row r="200" spans="1:10" x14ac:dyDescent="0.25">
      <c r="A200" t="s">
        <v>131</v>
      </c>
      <c r="B200" t="s">
        <v>167</v>
      </c>
      <c r="C200" s="12" t="s">
        <v>109</v>
      </c>
      <c r="D200" t="s">
        <v>4</v>
      </c>
      <c r="E200" t="s">
        <v>6</v>
      </c>
      <c r="F200" t="s">
        <v>8</v>
      </c>
      <c r="G200" t="s">
        <v>166</v>
      </c>
      <c r="H200" s="94">
        <v>0.22500000000000001</v>
      </c>
      <c r="I200" t="s">
        <v>107</v>
      </c>
      <c r="J200" t="s">
        <v>13</v>
      </c>
    </row>
    <row r="201" spans="1:10" x14ac:dyDescent="0.25">
      <c r="A201" t="s">
        <v>131</v>
      </c>
      <c r="B201" t="s">
        <v>167</v>
      </c>
      <c r="C201" s="12" t="s">
        <v>109</v>
      </c>
      <c r="D201" t="s">
        <v>4</v>
      </c>
      <c r="E201" t="s">
        <v>6</v>
      </c>
      <c r="F201" t="s">
        <v>8</v>
      </c>
      <c r="G201" t="s">
        <v>166</v>
      </c>
      <c r="H201" s="94">
        <v>0.22500000000000001</v>
      </c>
      <c r="I201" t="s">
        <v>107</v>
      </c>
      <c r="J201" t="s">
        <v>63</v>
      </c>
    </row>
    <row r="202" spans="1:10" x14ac:dyDescent="0.25">
      <c r="A202" t="s">
        <v>131</v>
      </c>
      <c r="B202" t="s">
        <v>167</v>
      </c>
      <c r="C202" s="12" t="s">
        <v>109</v>
      </c>
      <c r="D202" t="s">
        <v>4</v>
      </c>
      <c r="E202" t="s">
        <v>6</v>
      </c>
      <c r="F202" t="s">
        <v>8</v>
      </c>
      <c r="G202" t="s">
        <v>166</v>
      </c>
      <c r="H202" s="94">
        <v>0.22500000000000001</v>
      </c>
      <c r="I202" t="s">
        <v>107</v>
      </c>
      <c r="J202" t="s">
        <v>11</v>
      </c>
    </row>
    <row r="203" spans="1:10" x14ac:dyDescent="0.25">
      <c r="A203" t="s">
        <v>131</v>
      </c>
      <c r="B203" t="s">
        <v>167</v>
      </c>
      <c r="C203" s="12" t="s">
        <v>109</v>
      </c>
      <c r="D203" t="s">
        <v>4</v>
      </c>
      <c r="E203" t="s">
        <v>6</v>
      </c>
      <c r="F203" t="s">
        <v>8</v>
      </c>
      <c r="G203" t="s">
        <v>166</v>
      </c>
      <c r="H203" s="94">
        <v>0.22500000000000001</v>
      </c>
      <c r="I203" t="s">
        <v>62</v>
      </c>
      <c r="J203" t="s">
        <v>13</v>
      </c>
    </row>
    <row r="204" spans="1:10" x14ac:dyDescent="0.25">
      <c r="A204" t="s">
        <v>131</v>
      </c>
      <c r="B204" t="s">
        <v>167</v>
      </c>
      <c r="C204" s="12" t="s">
        <v>109</v>
      </c>
      <c r="D204" t="s">
        <v>4</v>
      </c>
      <c r="E204" t="s">
        <v>6</v>
      </c>
      <c r="F204" t="s">
        <v>8</v>
      </c>
      <c r="G204" t="s">
        <v>166</v>
      </c>
      <c r="H204" s="94">
        <v>0.22500000000000001</v>
      </c>
      <c r="I204" t="s">
        <v>62</v>
      </c>
      <c r="J204" t="s">
        <v>63</v>
      </c>
    </row>
    <row r="205" spans="1:10" x14ac:dyDescent="0.25">
      <c r="A205" t="s">
        <v>131</v>
      </c>
      <c r="B205" t="s">
        <v>167</v>
      </c>
      <c r="C205" s="12" t="s">
        <v>109</v>
      </c>
      <c r="D205" t="s">
        <v>4</v>
      </c>
      <c r="E205" t="s">
        <v>6</v>
      </c>
      <c r="F205" t="s">
        <v>8</v>
      </c>
      <c r="G205" t="s">
        <v>166</v>
      </c>
      <c r="H205" s="94">
        <v>0.22500000000000001</v>
      </c>
      <c r="I205" t="s">
        <v>62</v>
      </c>
      <c r="J205" t="s">
        <v>11</v>
      </c>
    </row>
    <row r="206" spans="1:10" x14ac:dyDescent="0.25">
      <c r="A206" t="s">
        <v>131</v>
      </c>
      <c r="B206" t="s">
        <v>167</v>
      </c>
      <c r="C206" s="12" t="s">
        <v>109</v>
      </c>
      <c r="D206" t="s">
        <v>4</v>
      </c>
      <c r="E206" t="s">
        <v>6</v>
      </c>
      <c r="F206" t="s">
        <v>8</v>
      </c>
      <c r="G206" t="s">
        <v>166</v>
      </c>
      <c r="H206" s="94">
        <v>0.22500000000000001</v>
      </c>
      <c r="I206" t="s">
        <v>60</v>
      </c>
      <c r="J206" t="s">
        <v>13</v>
      </c>
    </row>
    <row r="207" spans="1:10" x14ac:dyDescent="0.25">
      <c r="A207" t="s">
        <v>131</v>
      </c>
      <c r="B207" t="s">
        <v>167</v>
      </c>
      <c r="C207" s="12" t="s">
        <v>109</v>
      </c>
      <c r="D207" t="s">
        <v>4</v>
      </c>
      <c r="E207" t="s">
        <v>6</v>
      </c>
      <c r="F207" t="s">
        <v>8</v>
      </c>
      <c r="G207" t="s">
        <v>166</v>
      </c>
      <c r="H207" s="94">
        <v>0.22500000000000001</v>
      </c>
      <c r="I207" t="s">
        <v>60</v>
      </c>
      <c r="J207" t="s">
        <v>63</v>
      </c>
    </row>
    <row r="208" spans="1:10" x14ac:dyDescent="0.25">
      <c r="A208" t="s">
        <v>131</v>
      </c>
      <c r="B208" t="s">
        <v>167</v>
      </c>
      <c r="C208" s="12" t="s">
        <v>109</v>
      </c>
      <c r="D208" t="s">
        <v>4</v>
      </c>
      <c r="E208" t="s">
        <v>6</v>
      </c>
      <c r="F208" t="s">
        <v>8</v>
      </c>
      <c r="G208" t="s">
        <v>166</v>
      </c>
      <c r="H208" s="94">
        <v>0.22500000000000001</v>
      </c>
      <c r="I208" t="s">
        <v>60</v>
      </c>
      <c r="J208" t="s">
        <v>11</v>
      </c>
    </row>
    <row r="209" spans="1:10" x14ac:dyDescent="0.25">
      <c r="A209" t="s">
        <v>131</v>
      </c>
      <c r="B209" t="s">
        <v>167</v>
      </c>
      <c r="C209" s="12" t="s">
        <v>109</v>
      </c>
      <c r="D209" t="s">
        <v>4</v>
      </c>
      <c r="E209" t="s">
        <v>6</v>
      </c>
      <c r="F209" t="s">
        <v>8</v>
      </c>
      <c r="G209" t="s">
        <v>166</v>
      </c>
      <c r="H209" s="94">
        <v>0.43</v>
      </c>
      <c r="I209" t="s">
        <v>107</v>
      </c>
      <c r="J209" t="s">
        <v>13</v>
      </c>
    </row>
    <row r="210" spans="1:10" x14ac:dyDescent="0.25">
      <c r="A210" t="s">
        <v>131</v>
      </c>
      <c r="B210" t="s">
        <v>167</v>
      </c>
      <c r="C210" s="12" t="s">
        <v>109</v>
      </c>
      <c r="D210" t="s">
        <v>4</v>
      </c>
      <c r="E210" t="s">
        <v>6</v>
      </c>
      <c r="F210" t="s">
        <v>8</v>
      </c>
      <c r="G210" t="s">
        <v>166</v>
      </c>
      <c r="H210" s="94">
        <v>0.43</v>
      </c>
      <c r="I210" t="s">
        <v>107</v>
      </c>
      <c r="J210" t="s">
        <v>63</v>
      </c>
    </row>
    <row r="211" spans="1:10" x14ac:dyDescent="0.25">
      <c r="A211" t="s">
        <v>131</v>
      </c>
      <c r="B211" t="s">
        <v>167</v>
      </c>
      <c r="C211" s="12" t="s">
        <v>109</v>
      </c>
      <c r="D211" t="s">
        <v>4</v>
      </c>
      <c r="E211" t="s">
        <v>6</v>
      </c>
      <c r="F211" t="s">
        <v>8</v>
      </c>
      <c r="G211" t="s">
        <v>166</v>
      </c>
      <c r="H211" s="94">
        <v>0.43</v>
      </c>
      <c r="I211" t="s">
        <v>107</v>
      </c>
      <c r="J211" t="s">
        <v>11</v>
      </c>
    </row>
    <row r="212" spans="1:10" x14ac:dyDescent="0.25">
      <c r="A212" t="s">
        <v>131</v>
      </c>
      <c r="B212" t="s">
        <v>167</v>
      </c>
      <c r="C212" s="12" t="s">
        <v>109</v>
      </c>
      <c r="D212" t="s">
        <v>4</v>
      </c>
      <c r="E212" t="s">
        <v>6</v>
      </c>
      <c r="F212" t="s">
        <v>8</v>
      </c>
      <c r="G212" t="s">
        <v>166</v>
      </c>
      <c r="H212" s="94">
        <v>0.43</v>
      </c>
      <c r="I212" t="s">
        <v>62</v>
      </c>
      <c r="J212" t="s">
        <v>13</v>
      </c>
    </row>
    <row r="213" spans="1:10" x14ac:dyDescent="0.25">
      <c r="A213" t="s">
        <v>131</v>
      </c>
      <c r="B213" t="s">
        <v>167</v>
      </c>
      <c r="C213" s="12" t="s">
        <v>109</v>
      </c>
      <c r="D213" t="s">
        <v>4</v>
      </c>
      <c r="E213" t="s">
        <v>6</v>
      </c>
      <c r="F213" t="s">
        <v>8</v>
      </c>
      <c r="G213" t="s">
        <v>166</v>
      </c>
      <c r="H213" s="94">
        <v>0.43</v>
      </c>
      <c r="I213" t="s">
        <v>62</v>
      </c>
      <c r="J213" t="s">
        <v>63</v>
      </c>
    </row>
    <row r="214" spans="1:10" x14ac:dyDescent="0.25">
      <c r="A214" t="s">
        <v>131</v>
      </c>
      <c r="B214" t="s">
        <v>167</v>
      </c>
      <c r="C214" s="12" t="s">
        <v>109</v>
      </c>
      <c r="D214" t="s">
        <v>4</v>
      </c>
      <c r="E214" t="s">
        <v>6</v>
      </c>
      <c r="F214" t="s">
        <v>8</v>
      </c>
      <c r="G214" t="s">
        <v>166</v>
      </c>
      <c r="H214" s="94">
        <v>0.43</v>
      </c>
      <c r="I214" t="s">
        <v>62</v>
      </c>
      <c r="J214" t="s">
        <v>11</v>
      </c>
    </row>
    <row r="215" spans="1:10" x14ac:dyDescent="0.25">
      <c r="A215" t="s">
        <v>131</v>
      </c>
      <c r="B215" t="s">
        <v>167</v>
      </c>
      <c r="C215" s="12" t="s">
        <v>109</v>
      </c>
      <c r="D215" t="s">
        <v>4</v>
      </c>
      <c r="E215" t="s">
        <v>6</v>
      </c>
      <c r="F215" t="s">
        <v>8</v>
      </c>
      <c r="G215" t="s">
        <v>166</v>
      </c>
      <c r="H215" s="94">
        <v>0.43</v>
      </c>
      <c r="I215" t="s">
        <v>60</v>
      </c>
      <c r="J215" t="s">
        <v>13</v>
      </c>
    </row>
    <row r="216" spans="1:10" x14ac:dyDescent="0.25">
      <c r="A216" t="s">
        <v>131</v>
      </c>
      <c r="B216" t="s">
        <v>167</v>
      </c>
      <c r="C216" s="12" t="s">
        <v>109</v>
      </c>
      <c r="D216" t="s">
        <v>4</v>
      </c>
      <c r="E216" t="s">
        <v>6</v>
      </c>
      <c r="F216" t="s">
        <v>8</v>
      </c>
      <c r="G216" t="s">
        <v>166</v>
      </c>
      <c r="H216" s="94">
        <v>0.43</v>
      </c>
      <c r="I216" t="s">
        <v>60</v>
      </c>
      <c r="J216" t="s">
        <v>63</v>
      </c>
    </row>
    <row r="217" spans="1:10" x14ac:dyDescent="0.25">
      <c r="A217" t="s">
        <v>131</v>
      </c>
      <c r="B217" t="s">
        <v>167</v>
      </c>
      <c r="C217" s="12" t="s">
        <v>109</v>
      </c>
      <c r="D217" t="s">
        <v>4</v>
      </c>
      <c r="E217" t="s">
        <v>6</v>
      </c>
      <c r="F217" t="s">
        <v>8</v>
      </c>
      <c r="G217" t="s">
        <v>166</v>
      </c>
      <c r="H217" s="94">
        <v>0.43</v>
      </c>
      <c r="I217" t="s">
        <v>60</v>
      </c>
      <c r="J217" t="s">
        <v>11</v>
      </c>
    </row>
    <row r="218" spans="1:10" x14ac:dyDescent="0.25">
      <c r="A218" t="s">
        <v>131</v>
      </c>
      <c r="B218" t="s">
        <v>168</v>
      </c>
      <c r="C218" s="12" t="s">
        <v>109</v>
      </c>
      <c r="D218" t="s">
        <v>4</v>
      </c>
      <c r="E218" t="s">
        <v>12</v>
      </c>
      <c r="F218" t="s">
        <v>72</v>
      </c>
      <c r="G218" t="s">
        <v>166</v>
      </c>
      <c r="H218" s="94">
        <v>0.22500000000000001</v>
      </c>
      <c r="I218" t="s">
        <v>107</v>
      </c>
      <c r="J218" t="s">
        <v>13</v>
      </c>
    </row>
    <row r="219" spans="1:10" x14ac:dyDescent="0.25">
      <c r="A219" t="s">
        <v>131</v>
      </c>
      <c r="B219" t="s">
        <v>168</v>
      </c>
      <c r="C219" s="12" t="s">
        <v>109</v>
      </c>
      <c r="D219" t="s">
        <v>4</v>
      </c>
      <c r="E219" t="s">
        <v>12</v>
      </c>
      <c r="F219" t="s">
        <v>72</v>
      </c>
      <c r="G219" t="s">
        <v>166</v>
      </c>
      <c r="H219" s="94">
        <v>0.22500000000000001</v>
      </c>
      <c r="I219" t="s">
        <v>107</v>
      </c>
      <c r="J219" t="s">
        <v>63</v>
      </c>
    </row>
    <row r="220" spans="1:10" x14ac:dyDescent="0.25">
      <c r="A220" t="s">
        <v>131</v>
      </c>
      <c r="B220" t="s">
        <v>168</v>
      </c>
      <c r="C220" s="12" t="s">
        <v>109</v>
      </c>
      <c r="D220" t="s">
        <v>4</v>
      </c>
      <c r="E220" t="s">
        <v>12</v>
      </c>
      <c r="F220" t="s">
        <v>72</v>
      </c>
      <c r="G220" t="s">
        <v>166</v>
      </c>
      <c r="H220" s="94">
        <v>0.22500000000000001</v>
      </c>
      <c r="I220" t="s">
        <v>107</v>
      </c>
      <c r="J220" t="s">
        <v>11</v>
      </c>
    </row>
    <row r="221" spans="1:10" x14ac:dyDescent="0.25">
      <c r="A221" t="s">
        <v>131</v>
      </c>
      <c r="B221" t="s">
        <v>168</v>
      </c>
      <c r="C221" s="12" t="s">
        <v>109</v>
      </c>
      <c r="D221" t="s">
        <v>4</v>
      </c>
      <c r="E221" t="s">
        <v>12</v>
      </c>
      <c r="F221" t="s">
        <v>72</v>
      </c>
      <c r="G221" t="s">
        <v>166</v>
      </c>
      <c r="H221" s="94">
        <v>0.22500000000000001</v>
      </c>
      <c r="I221" t="s">
        <v>62</v>
      </c>
      <c r="J221" t="s">
        <v>13</v>
      </c>
    </row>
    <row r="222" spans="1:10" x14ac:dyDescent="0.25">
      <c r="A222" t="s">
        <v>131</v>
      </c>
      <c r="B222" t="s">
        <v>168</v>
      </c>
      <c r="C222" s="12" t="s">
        <v>109</v>
      </c>
      <c r="D222" t="s">
        <v>4</v>
      </c>
      <c r="E222" t="s">
        <v>12</v>
      </c>
      <c r="F222" t="s">
        <v>72</v>
      </c>
      <c r="G222" t="s">
        <v>166</v>
      </c>
      <c r="H222" s="94">
        <v>0.22500000000000001</v>
      </c>
      <c r="I222" t="s">
        <v>62</v>
      </c>
      <c r="J222" t="s">
        <v>63</v>
      </c>
    </row>
    <row r="223" spans="1:10" x14ac:dyDescent="0.25">
      <c r="A223" t="s">
        <v>131</v>
      </c>
      <c r="B223" t="s">
        <v>168</v>
      </c>
      <c r="C223" s="12" t="s">
        <v>109</v>
      </c>
      <c r="D223" t="s">
        <v>4</v>
      </c>
      <c r="E223" t="s">
        <v>12</v>
      </c>
      <c r="F223" t="s">
        <v>72</v>
      </c>
      <c r="G223" t="s">
        <v>166</v>
      </c>
      <c r="H223" s="94">
        <v>0.22500000000000001</v>
      </c>
      <c r="I223" t="s">
        <v>62</v>
      </c>
      <c r="J223" t="s">
        <v>11</v>
      </c>
    </row>
    <row r="224" spans="1:10" x14ac:dyDescent="0.25">
      <c r="A224" t="s">
        <v>131</v>
      </c>
      <c r="B224" t="s">
        <v>168</v>
      </c>
      <c r="C224" s="12" t="s">
        <v>109</v>
      </c>
      <c r="D224" t="s">
        <v>4</v>
      </c>
      <c r="E224" t="s">
        <v>12</v>
      </c>
      <c r="F224" t="s">
        <v>72</v>
      </c>
      <c r="G224" t="s">
        <v>166</v>
      </c>
      <c r="H224" s="94">
        <v>0.22500000000000001</v>
      </c>
      <c r="I224" t="s">
        <v>60</v>
      </c>
      <c r="J224" t="s">
        <v>13</v>
      </c>
    </row>
    <row r="225" spans="1:10" x14ac:dyDescent="0.25">
      <c r="A225" t="s">
        <v>131</v>
      </c>
      <c r="B225" t="s">
        <v>168</v>
      </c>
      <c r="C225" s="12" t="s">
        <v>109</v>
      </c>
      <c r="D225" t="s">
        <v>4</v>
      </c>
      <c r="E225" t="s">
        <v>12</v>
      </c>
      <c r="F225" t="s">
        <v>72</v>
      </c>
      <c r="G225" t="s">
        <v>166</v>
      </c>
      <c r="H225" s="94">
        <v>0.22500000000000001</v>
      </c>
      <c r="I225" t="s">
        <v>60</v>
      </c>
      <c r="J225" t="s">
        <v>63</v>
      </c>
    </row>
    <row r="226" spans="1:10" x14ac:dyDescent="0.25">
      <c r="A226" t="s">
        <v>131</v>
      </c>
      <c r="B226" t="s">
        <v>168</v>
      </c>
      <c r="C226" s="12" t="s">
        <v>109</v>
      </c>
      <c r="D226" t="s">
        <v>4</v>
      </c>
      <c r="E226" t="s">
        <v>12</v>
      </c>
      <c r="F226" t="s">
        <v>72</v>
      </c>
      <c r="G226" t="s">
        <v>166</v>
      </c>
      <c r="H226" s="94">
        <v>0.22500000000000001</v>
      </c>
      <c r="I226" t="s">
        <v>60</v>
      </c>
      <c r="J226" t="s">
        <v>11</v>
      </c>
    </row>
    <row r="227" spans="1:10" x14ac:dyDescent="0.25">
      <c r="A227" t="s">
        <v>131</v>
      </c>
      <c r="B227" t="s">
        <v>168</v>
      </c>
      <c r="C227" s="12" t="s">
        <v>109</v>
      </c>
      <c r="D227" t="s">
        <v>4</v>
      </c>
      <c r="E227" t="s">
        <v>12</v>
      </c>
      <c r="F227" t="s">
        <v>72</v>
      </c>
      <c r="G227" t="s">
        <v>166</v>
      </c>
      <c r="H227" s="94">
        <v>0.43</v>
      </c>
      <c r="I227" t="s">
        <v>107</v>
      </c>
      <c r="J227" t="s">
        <v>13</v>
      </c>
    </row>
    <row r="228" spans="1:10" x14ac:dyDescent="0.25">
      <c r="A228" t="s">
        <v>131</v>
      </c>
      <c r="B228" t="s">
        <v>168</v>
      </c>
      <c r="C228" s="12" t="s">
        <v>109</v>
      </c>
      <c r="D228" t="s">
        <v>4</v>
      </c>
      <c r="E228" t="s">
        <v>12</v>
      </c>
      <c r="F228" t="s">
        <v>72</v>
      </c>
      <c r="G228" t="s">
        <v>166</v>
      </c>
      <c r="H228" s="94">
        <v>0.43</v>
      </c>
      <c r="I228" t="s">
        <v>107</v>
      </c>
      <c r="J228" t="s">
        <v>63</v>
      </c>
    </row>
    <row r="229" spans="1:10" x14ac:dyDescent="0.25">
      <c r="A229" t="s">
        <v>131</v>
      </c>
      <c r="B229" t="s">
        <v>168</v>
      </c>
      <c r="C229" s="12" t="s">
        <v>109</v>
      </c>
      <c r="D229" t="s">
        <v>4</v>
      </c>
      <c r="E229" t="s">
        <v>12</v>
      </c>
      <c r="F229" t="s">
        <v>72</v>
      </c>
      <c r="G229" t="s">
        <v>166</v>
      </c>
      <c r="H229" s="94">
        <v>0.43</v>
      </c>
      <c r="I229" t="s">
        <v>107</v>
      </c>
      <c r="J229" t="s">
        <v>11</v>
      </c>
    </row>
    <row r="230" spans="1:10" x14ac:dyDescent="0.25">
      <c r="A230" t="s">
        <v>131</v>
      </c>
      <c r="B230" t="s">
        <v>168</v>
      </c>
      <c r="C230" s="12" t="s">
        <v>109</v>
      </c>
      <c r="D230" t="s">
        <v>4</v>
      </c>
      <c r="E230" t="s">
        <v>12</v>
      </c>
      <c r="F230" t="s">
        <v>72</v>
      </c>
      <c r="G230" t="s">
        <v>166</v>
      </c>
      <c r="H230" s="94">
        <v>0.43</v>
      </c>
      <c r="I230" t="s">
        <v>62</v>
      </c>
      <c r="J230" t="s">
        <v>13</v>
      </c>
    </row>
    <row r="231" spans="1:10" x14ac:dyDescent="0.25">
      <c r="A231" t="s">
        <v>131</v>
      </c>
      <c r="B231" t="s">
        <v>168</v>
      </c>
      <c r="C231" s="12" t="s">
        <v>109</v>
      </c>
      <c r="D231" t="s">
        <v>4</v>
      </c>
      <c r="E231" t="s">
        <v>12</v>
      </c>
      <c r="F231" t="s">
        <v>72</v>
      </c>
      <c r="G231" t="s">
        <v>166</v>
      </c>
      <c r="H231" s="94">
        <v>0.43</v>
      </c>
      <c r="I231" t="s">
        <v>62</v>
      </c>
      <c r="J231" t="s">
        <v>63</v>
      </c>
    </row>
    <row r="232" spans="1:10" x14ac:dyDescent="0.25">
      <c r="A232" t="s">
        <v>131</v>
      </c>
      <c r="B232" t="s">
        <v>168</v>
      </c>
      <c r="C232" s="12" t="s">
        <v>109</v>
      </c>
      <c r="D232" t="s">
        <v>4</v>
      </c>
      <c r="E232" t="s">
        <v>12</v>
      </c>
      <c r="F232" t="s">
        <v>72</v>
      </c>
      <c r="G232" t="s">
        <v>166</v>
      </c>
      <c r="H232" s="94">
        <v>0.43</v>
      </c>
      <c r="I232" t="s">
        <v>62</v>
      </c>
      <c r="J232" t="s">
        <v>11</v>
      </c>
    </row>
    <row r="233" spans="1:10" x14ac:dyDescent="0.25">
      <c r="A233" t="s">
        <v>131</v>
      </c>
      <c r="B233" t="s">
        <v>168</v>
      </c>
      <c r="C233" s="12" t="s">
        <v>109</v>
      </c>
      <c r="D233" t="s">
        <v>4</v>
      </c>
      <c r="E233" t="s">
        <v>12</v>
      </c>
      <c r="F233" t="s">
        <v>72</v>
      </c>
      <c r="G233" t="s">
        <v>166</v>
      </c>
      <c r="H233" s="94">
        <v>0.43</v>
      </c>
      <c r="I233" t="s">
        <v>60</v>
      </c>
      <c r="J233" t="s">
        <v>13</v>
      </c>
    </row>
    <row r="234" spans="1:10" x14ac:dyDescent="0.25">
      <c r="A234" t="s">
        <v>131</v>
      </c>
      <c r="B234" t="s">
        <v>168</v>
      </c>
      <c r="C234" s="12" t="s">
        <v>109</v>
      </c>
      <c r="D234" t="s">
        <v>4</v>
      </c>
      <c r="E234" t="s">
        <v>12</v>
      </c>
      <c r="F234" t="s">
        <v>72</v>
      </c>
      <c r="G234" t="s">
        <v>166</v>
      </c>
      <c r="H234" s="94">
        <v>0.43</v>
      </c>
      <c r="I234" t="s">
        <v>60</v>
      </c>
      <c r="J234" t="s">
        <v>63</v>
      </c>
    </row>
    <row r="235" spans="1:10" x14ac:dyDescent="0.25">
      <c r="A235" t="s">
        <v>131</v>
      </c>
      <c r="B235" t="s">
        <v>168</v>
      </c>
      <c r="C235" s="12" t="s">
        <v>109</v>
      </c>
      <c r="D235" t="s">
        <v>4</v>
      </c>
      <c r="E235" t="s">
        <v>12</v>
      </c>
      <c r="F235" t="s">
        <v>72</v>
      </c>
      <c r="G235" t="s">
        <v>166</v>
      </c>
      <c r="H235" s="94">
        <v>0.43</v>
      </c>
      <c r="I235" t="s">
        <v>60</v>
      </c>
      <c r="J235" t="s">
        <v>11</v>
      </c>
    </row>
    <row r="236" spans="1:10" x14ac:dyDescent="0.25">
      <c r="A236" t="s">
        <v>131</v>
      </c>
      <c r="B236" t="s">
        <v>168</v>
      </c>
      <c r="C236" s="12" t="s">
        <v>109</v>
      </c>
      <c r="D236" t="s">
        <v>4</v>
      </c>
      <c r="E236" t="s">
        <v>12</v>
      </c>
      <c r="F236" t="s">
        <v>16</v>
      </c>
      <c r="G236" t="s">
        <v>166</v>
      </c>
      <c r="H236" s="94">
        <v>0.22500000000000001</v>
      </c>
      <c r="I236" t="s">
        <v>107</v>
      </c>
      <c r="J236" t="s">
        <v>13</v>
      </c>
    </row>
    <row r="237" spans="1:10" x14ac:dyDescent="0.25">
      <c r="A237" t="s">
        <v>131</v>
      </c>
      <c r="B237" t="s">
        <v>168</v>
      </c>
      <c r="C237" s="12" t="s">
        <v>109</v>
      </c>
      <c r="D237" t="s">
        <v>4</v>
      </c>
      <c r="E237" t="s">
        <v>12</v>
      </c>
      <c r="F237" t="s">
        <v>16</v>
      </c>
      <c r="G237" t="s">
        <v>166</v>
      </c>
      <c r="H237" s="94">
        <v>0.22500000000000001</v>
      </c>
      <c r="I237" t="s">
        <v>107</v>
      </c>
      <c r="J237" t="s">
        <v>63</v>
      </c>
    </row>
    <row r="238" spans="1:10" x14ac:dyDescent="0.25">
      <c r="A238" t="s">
        <v>131</v>
      </c>
      <c r="B238" t="s">
        <v>168</v>
      </c>
      <c r="C238" s="12" t="s">
        <v>109</v>
      </c>
      <c r="D238" t="s">
        <v>4</v>
      </c>
      <c r="E238" t="s">
        <v>12</v>
      </c>
      <c r="F238" t="s">
        <v>16</v>
      </c>
      <c r="G238" t="s">
        <v>166</v>
      </c>
      <c r="H238" s="94">
        <v>0.22500000000000001</v>
      </c>
      <c r="I238" t="s">
        <v>107</v>
      </c>
      <c r="J238" t="s">
        <v>11</v>
      </c>
    </row>
    <row r="239" spans="1:10" x14ac:dyDescent="0.25">
      <c r="A239" t="s">
        <v>131</v>
      </c>
      <c r="B239" t="s">
        <v>168</v>
      </c>
      <c r="C239" s="12" t="s">
        <v>109</v>
      </c>
      <c r="D239" t="s">
        <v>4</v>
      </c>
      <c r="E239" t="s">
        <v>12</v>
      </c>
      <c r="F239" t="s">
        <v>16</v>
      </c>
      <c r="G239" t="s">
        <v>166</v>
      </c>
      <c r="H239" s="94">
        <v>0.22500000000000001</v>
      </c>
      <c r="I239" t="s">
        <v>62</v>
      </c>
      <c r="J239" t="s">
        <v>13</v>
      </c>
    </row>
    <row r="240" spans="1:10" x14ac:dyDescent="0.25">
      <c r="A240" t="s">
        <v>131</v>
      </c>
      <c r="B240" t="s">
        <v>168</v>
      </c>
      <c r="C240" s="12" t="s">
        <v>109</v>
      </c>
      <c r="D240" t="s">
        <v>4</v>
      </c>
      <c r="E240" t="s">
        <v>12</v>
      </c>
      <c r="F240" t="s">
        <v>16</v>
      </c>
      <c r="G240" t="s">
        <v>166</v>
      </c>
      <c r="H240" s="94">
        <v>0.22500000000000001</v>
      </c>
      <c r="I240" t="s">
        <v>62</v>
      </c>
      <c r="J240" t="s">
        <v>63</v>
      </c>
    </row>
    <row r="241" spans="1:10" x14ac:dyDescent="0.25">
      <c r="A241" t="s">
        <v>131</v>
      </c>
      <c r="B241" t="s">
        <v>168</v>
      </c>
      <c r="C241" s="12" t="s">
        <v>109</v>
      </c>
      <c r="D241" t="s">
        <v>4</v>
      </c>
      <c r="E241" t="s">
        <v>12</v>
      </c>
      <c r="F241" t="s">
        <v>16</v>
      </c>
      <c r="G241" t="s">
        <v>166</v>
      </c>
      <c r="H241" s="94">
        <v>0.22500000000000001</v>
      </c>
      <c r="I241" t="s">
        <v>62</v>
      </c>
      <c r="J241" t="s">
        <v>11</v>
      </c>
    </row>
    <row r="242" spans="1:10" x14ac:dyDescent="0.25">
      <c r="A242" t="s">
        <v>131</v>
      </c>
      <c r="B242" t="s">
        <v>168</v>
      </c>
      <c r="C242" s="12" t="s">
        <v>109</v>
      </c>
      <c r="D242" t="s">
        <v>4</v>
      </c>
      <c r="E242" t="s">
        <v>12</v>
      </c>
      <c r="F242" t="s">
        <v>16</v>
      </c>
      <c r="G242" t="s">
        <v>166</v>
      </c>
      <c r="H242" s="94">
        <v>0.22500000000000001</v>
      </c>
      <c r="I242" t="s">
        <v>60</v>
      </c>
      <c r="J242" t="s">
        <v>13</v>
      </c>
    </row>
    <row r="243" spans="1:10" x14ac:dyDescent="0.25">
      <c r="A243" t="s">
        <v>131</v>
      </c>
      <c r="B243" t="s">
        <v>168</v>
      </c>
      <c r="C243" s="12" t="s">
        <v>109</v>
      </c>
      <c r="D243" t="s">
        <v>4</v>
      </c>
      <c r="E243" t="s">
        <v>12</v>
      </c>
      <c r="F243" t="s">
        <v>16</v>
      </c>
      <c r="G243" t="s">
        <v>166</v>
      </c>
      <c r="H243" s="94">
        <v>0.22500000000000001</v>
      </c>
      <c r="I243" t="s">
        <v>60</v>
      </c>
      <c r="J243" t="s">
        <v>63</v>
      </c>
    </row>
    <row r="244" spans="1:10" x14ac:dyDescent="0.25">
      <c r="A244" t="s">
        <v>131</v>
      </c>
      <c r="B244" t="s">
        <v>168</v>
      </c>
      <c r="C244" s="12" t="s">
        <v>109</v>
      </c>
      <c r="D244" t="s">
        <v>4</v>
      </c>
      <c r="E244" t="s">
        <v>12</v>
      </c>
      <c r="F244" t="s">
        <v>16</v>
      </c>
      <c r="G244" t="s">
        <v>166</v>
      </c>
      <c r="H244" s="94">
        <v>0.22500000000000001</v>
      </c>
      <c r="I244" t="s">
        <v>60</v>
      </c>
      <c r="J244" t="s">
        <v>11</v>
      </c>
    </row>
    <row r="245" spans="1:10" x14ac:dyDescent="0.25">
      <c r="A245" t="s">
        <v>131</v>
      </c>
      <c r="B245" t="s">
        <v>168</v>
      </c>
      <c r="C245" s="12" t="s">
        <v>109</v>
      </c>
      <c r="D245" t="s">
        <v>4</v>
      </c>
      <c r="E245" t="s">
        <v>12</v>
      </c>
      <c r="F245" t="s">
        <v>16</v>
      </c>
      <c r="G245" t="s">
        <v>166</v>
      </c>
      <c r="H245" s="94">
        <v>0.43</v>
      </c>
      <c r="I245" t="s">
        <v>107</v>
      </c>
      <c r="J245" t="s">
        <v>13</v>
      </c>
    </row>
    <row r="246" spans="1:10" x14ac:dyDescent="0.25">
      <c r="A246" t="s">
        <v>131</v>
      </c>
      <c r="B246" t="s">
        <v>168</v>
      </c>
      <c r="C246" s="12" t="s">
        <v>109</v>
      </c>
      <c r="D246" t="s">
        <v>4</v>
      </c>
      <c r="E246" t="s">
        <v>12</v>
      </c>
      <c r="F246" t="s">
        <v>16</v>
      </c>
      <c r="G246" t="s">
        <v>166</v>
      </c>
      <c r="H246" s="94">
        <v>0.43</v>
      </c>
      <c r="I246" t="s">
        <v>107</v>
      </c>
      <c r="J246" t="s">
        <v>63</v>
      </c>
    </row>
    <row r="247" spans="1:10" x14ac:dyDescent="0.25">
      <c r="A247" t="s">
        <v>131</v>
      </c>
      <c r="B247" t="s">
        <v>168</v>
      </c>
      <c r="C247" s="12" t="s">
        <v>109</v>
      </c>
      <c r="D247" t="s">
        <v>4</v>
      </c>
      <c r="E247" t="s">
        <v>12</v>
      </c>
      <c r="F247" t="s">
        <v>16</v>
      </c>
      <c r="G247" t="s">
        <v>166</v>
      </c>
      <c r="H247" s="94">
        <v>0.43</v>
      </c>
      <c r="I247" t="s">
        <v>107</v>
      </c>
      <c r="J247" t="s">
        <v>11</v>
      </c>
    </row>
    <row r="248" spans="1:10" x14ac:dyDescent="0.25">
      <c r="A248" t="s">
        <v>131</v>
      </c>
      <c r="B248" t="s">
        <v>168</v>
      </c>
      <c r="C248" s="12" t="s">
        <v>109</v>
      </c>
      <c r="D248" t="s">
        <v>4</v>
      </c>
      <c r="E248" t="s">
        <v>12</v>
      </c>
      <c r="F248" t="s">
        <v>16</v>
      </c>
      <c r="G248" t="s">
        <v>166</v>
      </c>
      <c r="H248" s="94">
        <v>0.43</v>
      </c>
      <c r="I248" t="s">
        <v>62</v>
      </c>
      <c r="J248" t="s">
        <v>13</v>
      </c>
    </row>
    <row r="249" spans="1:10" x14ac:dyDescent="0.25">
      <c r="A249" t="s">
        <v>131</v>
      </c>
      <c r="B249" t="s">
        <v>168</v>
      </c>
      <c r="C249" s="12" t="s">
        <v>109</v>
      </c>
      <c r="D249" t="s">
        <v>4</v>
      </c>
      <c r="E249" t="s">
        <v>12</v>
      </c>
      <c r="F249" t="s">
        <v>16</v>
      </c>
      <c r="G249" t="s">
        <v>166</v>
      </c>
      <c r="H249" s="94">
        <v>0.43</v>
      </c>
      <c r="I249" t="s">
        <v>62</v>
      </c>
      <c r="J249" t="s">
        <v>63</v>
      </c>
    </row>
    <row r="250" spans="1:10" x14ac:dyDescent="0.25">
      <c r="A250" t="s">
        <v>131</v>
      </c>
      <c r="B250" t="s">
        <v>168</v>
      </c>
      <c r="C250" s="12" t="s">
        <v>109</v>
      </c>
      <c r="D250" t="s">
        <v>4</v>
      </c>
      <c r="E250" t="s">
        <v>12</v>
      </c>
      <c r="F250" t="s">
        <v>16</v>
      </c>
      <c r="G250" t="s">
        <v>166</v>
      </c>
      <c r="H250" s="94">
        <v>0.43</v>
      </c>
      <c r="I250" t="s">
        <v>62</v>
      </c>
      <c r="J250" t="s">
        <v>11</v>
      </c>
    </row>
    <row r="251" spans="1:10" x14ac:dyDescent="0.25">
      <c r="A251" t="s">
        <v>131</v>
      </c>
      <c r="B251" t="s">
        <v>168</v>
      </c>
      <c r="C251" s="12" t="s">
        <v>109</v>
      </c>
      <c r="D251" t="s">
        <v>4</v>
      </c>
      <c r="E251" t="s">
        <v>12</v>
      </c>
      <c r="F251" t="s">
        <v>16</v>
      </c>
      <c r="G251" t="s">
        <v>166</v>
      </c>
      <c r="H251" s="94">
        <v>0.43</v>
      </c>
      <c r="I251" t="s">
        <v>60</v>
      </c>
      <c r="J251" t="s">
        <v>13</v>
      </c>
    </row>
    <row r="252" spans="1:10" x14ac:dyDescent="0.25">
      <c r="A252" t="s">
        <v>131</v>
      </c>
      <c r="B252" t="s">
        <v>168</v>
      </c>
      <c r="C252" s="12" t="s">
        <v>109</v>
      </c>
      <c r="D252" t="s">
        <v>4</v>
      </c>
      <c r="E252" t="s">
        <v>12</v>
      </c>
      <c r="F252" t="s">
        <v>16</v>
      </c>
      <c r="G252" t="s">
        <v>166</v>
      </c>
      <c r="H252" s="94">
        <v>0.43</v>
      </c>
      <c r="I252" t="s">
        <v>60</v>
      </c>
      <c r="J252" t="s">
        <v>63</v>
      </c>
    </row>
    <row r="253" spans="1:10" x14ac:dyDescent="0.25">
      <c r="A253" t="s">
        <v>131</v>
      </c>
      <c r="B253" t="s">
        <v>168</v>
      </c>
      <c r="C253" s="12" t="s">
        <v>109</v>
      </c>
      <c r="D253" t="s">
        <v>4</v>
      </c>
      <c r="E253" t="s">
        <v>12</v>
      </c>
      <c r="F253" t="s">
        <v>16</v>
      </c>
      <c r="G253" t="s">
        <v>166</v>
      </c>
      <c r="H253" s="94">
        <v>0.43</v>
      </c>
      <c r="I253" t="s">
        <v>60</v>
      </c>
      <c r="J253" t="s">
        <v>11</v>
      </c>
    </row>
    <row r="254" spans="1:10" x14ac:dyDescent="0.25">
      <c r="A254" t="s">
        <v>131</v>
      </c>
      <c r="B254" t="s">
        <v>168</v>
      </c>
      <c r="C254" s="12" t="s">
        <v>109</v>
      </c>
      <c r="D254" t="s">
        <v>4</v>
      </c>
      <c r="E254" t="s">
        <v>12</v>
      </c>
      <c r="F254" t="s">
        <v>8</v>
      </c>
      <c r="G254" t="s">
        <v>166</v>
      </c>
      <c r="H254" s="94">
        <v>0.22500000000000001</v>
      </c>
      <c r="I254" t="s">
        <v>107</v>
      </c>
      <c r="J254" t="s">
        <v>13</v>
      </c>
    </row>
    <row r="255" spans="1:10" x14ac:dyDescent="0.25">
      <c r="A255" t="s">
        <v>131</v>
      </c>
      <c r="B255" t="s">
        <v>168</v>
      </c>
      <c r="C255" s="12" t="s">
        <v>109</v>
      </c>
      <c r="D255" t="s">
        <v>4</v>
      </c>
      <c r="E255" t="s">
        <v>12</v>
      </c>
      <c r="F255" t="s">
        <v>8</v>
      </c>
      <c r="G255" t="s">
        <v>166</v>
      </c>
      <c r="H255" s="94">
        <v>0.22500000000000001</v>
      </c>
      <c r="I255" t="s">
        <v>107</v>
      </c>
      <c r="J255" t="s">
        <v>63</v>
      </c>
    </row>
    <row r="256" spans="1:10" x14ac:dyDescent="0.25">
      <c r="A256" t="s">
        <v>131</v>
      </c>
      <c r="B256" t="s">
        <v>168</v>
      </c>
      <c r="C256" s="12" t="s">
        <v>109</v>
      </c>
      <c r="D256" t="s">
        <v>4</v>
      </c>
      <c r="E256" t="s">
        <v>12</v>
      </c>
      <c r="F256" t="s">
        <v>8</v>
      </c>
      <c r="G256" t="s">
        <v>166</v>
      </c>
      <c r="H256" s="94">
        <v>0.22500000000000001</v>
      </c>
      <c r="I256" t="s">
        <v>107</v>
      </c>
      <c r="J256" t="s">
        <v>11</v>
      </c>
    </row>
    <row r="257" spans="1:10" x14ac:dyDescent="0.25">
      <c r="A257" t="s">
        <v>131</v>
      </c>
      <c r="B257" t="s">
        <v>168</v>
      </c>
      <c r="C257" s="12" t="s">
        <v>109</v>
      </c>
      <c r="D257" t="s">
        <v>4</v>
      </c>
      <c r="E257" t="s">
        <v>12</v>
      </c>
      <c r="F257" t="s">
        <v>8</v>
      </c>
      <c r="G257" t="s">
        <v>166</v>
      </c>
      <c r="H257" s="94">
        <v>0.22500000000000001</v>
      </c>
      <c r="I257" t="s">
        <v>62</v>
      </c>
      <c r="J257" t="s">
        <v>13</v>
      </c>
    </row>
    <row r="258" spans="1:10" x14ac:dyDescent="0.25">
      <c r="A258" t="s">
        <v>131</v>
      </c>
      <c r="B258" t="s">
        <v>168</v>
      </c>
      <c r="C258" s="12" t="s">
        <v>109</v>
      </c>
      <c r="D258" t="s">
        <v>4</v>
      </c>
      <c r="E258" t="s">
        <v>12</v>
      </c>
      <c r="F258" t="s">
        <v>8</v>
      </c>
      <c r="G258" t="s">
        <v>166</v>
      </c>
      <c r="H258" s="94">
        <v>0.22500000000000001</v>
      </c>
      <c r="I258" t="s">
        <v>62</v>
      </c>
      <c r="J258" t="s">
        <v>63</v>
      </c>
    </row>
    <row r="259" spans="1:10" x14ac:dyDescent="0.25">
      <c r="A259" t="s">
        <v>131</v>
      </c>
      <c r="B259" t="s">
        <v>168</v>
      </c>
      <c r="C259" s="12" t="s">
        <v>109</v>
      </c>
      <c r="D259" t="s">
        <v>4</v>
      </c>
      <c r="E259" t="s">
        <v>12</v>
      </c>
      <c r="F259" t="s">
        <v>8</v>
      </c>
      <c r="G259" t="s">
        <v>166</v>
      </c>
      <c r="H259" s="94">
        <v>0.22500000000000001</v>
      </c>
      <c r="I259" t="s">
        <v>62</v>
      </c>
      <c r="J259" t="s">
        <v>11</v>
      </c>
    </row>
    <row r="260" spans="1:10" x14ac:dyDescent="0.25">
      <c r="A260" t="s">
        <v>131</v>
      </c>
      <c r="B260" t="s">
        <v>168</v>
      </c>
      <c r="C260" s="12" t="s">
        <v>109</v>
      </c>
      <c r="D260" t="s">
        <v>4</v>
      </c>
      <c r="E260" t="s">
        <v>12</v>
      </c>
      <c r="F260" t="s">
        <v>8</v>
      </c>
      <c r="G260" t="s">
        <v>166</v>
      </c>
      <c r="H260" s="94">
        <v>0.22500000000000001</v>
      </c>
      <c r="I260" t="s">
        <v>60</v>
      </c>
      <c r="J260" t="s">
        <v>13</v>
      </c>
    </row>
    <row r="261" spans="1:10" x14ac:dyDescent="0.25">
      <c r="A261" t="s">
        <v>131</v>
      </c>
      <c r="B261" t="s">
        <v>168</v>
      </c>
      <c r="C261" s="12" t="s">
        <v>109</v>
      </c>
      <c r="D261" t="s">
        <v>4</v>
      </c>
      <c r="E261" t="s">
        <v>12</v>
      </c>
      <c r="F261" t="s">
        <v>8</v>
      </c>
      <c r="G261" t="s">
        <v>166</v>
      </c>
      <c r="H261" s="94">
        <v>0.22500000000000001</v>
      </c>
      <c r="I261" t="s">
        <v>60</v>
      </c>
      <c r="J261" t="s">
        <v>63</v>
      </c>
    </row>
    <row r="262" spans="1:10" x14ac:dyDescent="0.25">
      <c r="A262" t="s">
        <v>131</v>
      </c>
      <c r="B262" t="s">
        <v>168</v>
      </c>
      <c r="C262" s="12" t="s">
        <v>109</v>
      </c>
      <c r="D262" t="s">
        <v>4</v>
      </c>
      <c r="E262" t="s">
        <v>12</v>
      </c>
      <c r="F262" t="s">
        <v>8</v>
      </c>
      <c r="G262" t="s">
        <v>166</v>
      </c>
      <c r="H262" s="94">
        <v>0.22500000000000001</v>
      </c>
      <c r="I262" t="s">
        <v>60</v>
      </c>
      <c r="J262" t="s">
        <v>11</v>
      </c>
    </row>
    <row r="263" spans="1:10" x14ac:dyDescent="0.25">
      <c r="A263" t="s">
        <v>131</v>
      </c>
      <c r="B263" t="s">
        <v>168</v>
      </c>
      <c r="C263" s="12" t="s">
        <v>109</v>
      </c>
      <c r="D263" t="s">
        <v>4</v>
      </c>
      <c r="E263" t="s">
        <v>12</v>
      </c>
      <c r="F263" t="s">
        <v>8</v>
      </c>
      <c r="G263" t="s">
        <v>166</v>
      </c>
      <c r="H263" s="94">
        <v>0.43</v>
      </c>
      <c r="I263" t="s">
        <v>107</v>
      </c>
      <c r="J263" t="s">
        <v>13</v>
      </c>
    </row>
    <row r="264" spans="1:10" x14ac:dyDescent="0.25">
      <c r="A264" t="s">
        <v>131</v>
      </c>
      <c r="B264" t="s">
        <v>168</v>
      </c>
      <c r="C264" s="12" t="s">
        <v>109</v>
      </c>
      <c r="D264" t="s">
        <v>4</v>
      </c>
      <c r="E264" t="s">
        <v>12</v>
      </c>
      <c r="F264" t="s">
        <v>8</v>
      </c>
      <c r="G264" t="s">
        <v>166</v>
      </c>
      <c r="H264" s="94">
        <v>0.43</v>
      </c>
      <c r="I264" t="s">
        <v>107</v>
      </c>
      <c r="J264" t="s">
        <v>63</v>
      </c>
    </row>
    <row r="265" spans="1:10" x14ac:dyDescent="0.25">
      <c r="A265" t="s">
        <v>131</v>
      </c>
      <c r="B265" t="s">
        <v>168</v>
      </c>
      <c r="C265" s="12" t="s">
        <v>109</v>
      </c>
      <c r="D265" t="s">
        <v>4</v>
      </c>
      <c r="E265" t="s">
        <v>12</v>
      </c>
      <c r="F265" t="s">
        <v>8</v>
      </c>
      <c r="G265" t="s">
        <v>166</v>
      </c>
      <c r="H265" s="94">
        <v>0.43</v>
      </c>
      <c r="I265" t="s">
        <v>107</v>
      </c>
      <c r="J265" t="s">
        <v>11</v>
      </c>
    </row>
    <row r="266" spans="1:10" x14ac:dyDescent="0.25">
      <c r="A266" t="s">
        <v>131</v>
      </c>
      <c r="B266" t="s">
        <v>168</v>
      </c>
      <c r="C266" s="12" t="s">
        <v>109</v>
      </c>
      <c r="D266" t="s">
        <v>4</v>
      </c>
      <c r="E266" t="s">
        <v>12</v>
      </c>
      <c r="F266" t="s">
        <v>8</v>
      </c>
      <c r="G266" t="s">
        <v>166</v>
      </c>
      <c r="H266" s="94">
        <v>0.43</v>
      </c>
      <c r="I266" t="s">
        <v>62</v>
      </c>
      <c r="J266" t="s">
        <v>13</v>
      </c>
    </row>
    <row r="267" spans="1:10" x14ac:dyDescent="0.25">
      <c r="A267" t="s">
        <v>131</v>
      </c>
      <c r="B267" t="s">
        <v>168</v>
      </c>
      <c r="C267" s="12" t="s">
        <v>109</v>
      </c>
      <c r="D267" t="s">
        <v>4</v>
      </c>
      <c r="E267" t="s">
        <v>12</v>
      </c>
      <c r="F267" t="s">
        <v>8</v>
      </c>
      <c r="G267" t="s">
        <v>166</v>
      </c>
      <c r="H267" s="94">
        <v>0.43</v>
      </c>
      <c r="I267" t="s">
        <v>62</v>
      </c>
      <c r="J267" t="s">
        <v>63</v>
      </c>
    </row>
    <row r="268" spans="1:10" x14ac:dyDescent="0.25">
      <c r="A268" t="s">
        <v>131</v>
      </c>
      <c r="B268" t="s">
        <v>168</v>
      </c>
      <c r="C268" s="12" t="s">
        <v>109</v>
      </c>
      <c r="D268" t="s">
        <v>4</v>
      </c>
      <c r="E268" t="s">
        <v>12</v>
      </c>
      <c r="F268" t="s">
        <v>8</v>
      </c>
      <c r="G268" t="s">
        <v>166</v>
      </c>
      <c r="H268" s="94">
        <v>0.43</v>
      </c>
      <c r="I268" t="s">
        <v>62</v>
      </c>
      <c r="J268" t="s">
        <v>11</v>
      </c>
    </row>
    <row r="269" spans="1:10" x14ac:dyDescent="0.25">
      <c r="A269" t="s">
        <v>131</v>
      </c>
      <c r="B269" t="s">
        <v>168</v>
      </c>
      <c r="C269" s="12" t="s">
        <v>109</v>
      </c>
      <c r="D269" t="s">
        <v>4</v>
      </c>
      <c r="E269" t="s">
        <v>12</v>
      </c>
      <c r="F269" t="s">
        <v>8</v>
      </c>
      <c r="G269" t="s">
        <v>166</v>
      </c>
      <c r="H269" s="94">
        <v>0.43</v>
      </c>
      <c r="I269" t="s">
        <v>60</v>
      </c>
      <c r="J269" t="s">
        <v>13</v>
      </c>
    </row>
    <row r="270" spans="1:10" x14ac:dyDescent="0.25">
      <c r="A270" t="s">
        <v>131</v>
      </c>
      <c r="B270" t="s">
        <v>168</v>
      </c>
      <c r="C270" s="12" t="s">
        <v>109</v>
      </c>
      <c r="D270" t="s">
        <v>4</v>
      </c>
      <c r="E270" t="s">
        <v>12</v>
      </c>
      <c r="F270" t="s">
        <v>8</v>
      </c>
      <c r="G270" t="s">
        <v>166</v>
      </c>
      <c r="H270" s="94">
        <v>0.43</v>
      </c>
      <c r="I270" t="s">
        <v>60</v>
      </c>
      <c r="J270" t="s">
        <v>63</v>
      </c>
    </row>
    <row r="271" spans="1:10" x14ac:dyDescent="0.25">
      <c r="A271" t="s">
        <v>131</v>
      </c>
      <c r="B271" t="s">
        <v>168</v>
      </c>
      <c r="C271" s="12" t="s">
        <v>109</v>
      </c>
      <c r="D271" t="s">
        <v>4</v>
      </c>
      <c r="E271" t="s">
        <v>12</v>
      </c>
      <c r="F271" t="s">
        <v>8</v>
      </c>
      <c r="G271" t="s">
        <v>166</v>
      </c>
      <c r="H271" s="94">
        <v>0.43</v>
      </c>
      <c r="I271" t="s">
        <v>60</v>
      </c>
      <c r="J271" t="s">
        <v>11</v>
      </c>
    </row>
    <row r="272" spans="1:10" x14ac:dyDescent="0.25">
      <c r="A272" t="s">
        <v>131</v>
      </c>
      <c r="B272" t="s">
        <v>168</v>
      </c>
      <c r="C272" s="12" t="s">
        <v>109</v>
      </c>
      <c r="D272" t="s">
        <v>4</v>
      </c>
      <c r="E272" t="s">
        <v>6</v>
      </c>
      <c r="F272" t="s">
        <v>72</v>
      </c>
      <c r="G272" t="s">
        <v>166</v>
      </c>
      <c r="H272" s="94">
        <v>0.22500000000000001</v>
      </c>
      <c r="I272" t="s">
        <v>107</v>
      </c>
      <c r="J272" t="s">
        <v>13</v>
      </c>
    </row>
    <row r="273" spans="1:10" x14ac:dyDescent="0.25">
      <c r="A273" t="s">
        <v>131</v>
      </c>
      <c r="B273" t="s">
        <v>168</v>
      </c>
      <c r="C273" s="12" t="s">
        <v>109</v>
      </c>
      <c r="D273" t="s">
        <v>4</v>
      </c>
      <c r="E273" t="s">
        <v>6</v>
      </c>
      <c r="F273" t="s">
        <v>72</v>
      </c>
      <c r="G273" t="s">
        <v>166</v>
      </c>
      <c r="H273" s="94">
        <v>0.22500000000000001</v>
      </c>
      <c r="I273" t="s">
        <v>107</v>
      </c>
      <c r="J273" t="s">
        <v>63</v>
      </c>
    </row>
    <row r="274" spans="1:10" x14ac:dyDescent="0.25">
      <c r="A274" t="s">
        <v>131</v>
      </c>
      <c r="B274" t="s">
        <v>168</v>
      </c>
      <c r="C274" s="12" t="s">
        <v>109</v>
      </c>
      <c r="D274" t="s">
        <v>4</v>
      </c>
      <c r="E274" t="s">
        <v>6</v>
      </c>
      <c r="F274" t="s">
        <v>72</v>
      </c>
      <c r="G274" t="s">
        <v>166</v>
      </c>
      <c r="H274" s="94">
        <v>0.22500000000000001</v>
      </c>
      <c r="I274" t="s">
        <v>107</v>
      </c>
      <c r="J274" t="s">
        <v>11</v>
      </c>
    </row>
    <row r="275" spans="1:10" x14ac:dyDescent="0.25">
      <c r="A275" t="s">
        <v>131</v>
      </c>
      <c r="B275" t="s">
        <v>168</v>
      </c>
      <c r="C275" s="12" t="s">
        <v>109</v>
      </c>
      <c r="D275" t="s">
        <v>4</v>
      </c>
      <c r="E275" t="s">
        <v>6</v>
      </c>
      <c r="F275" t="s">
        <v>72</v>
      </c>
      <c r="G275" t="s">
        <v>166</v>
      </c>
      <c r="H275" s="94">
        <v>0.22500000000000001</v>
      </c>
      <c r="I275" t="s">
        <v>62</v>
      </c>
      <c r="J275" t="s">
        <v>13</v>
      </c>
    </row>
    <row r="276" spans="1:10" x14ac:dyDescent="0.25">
      <c r="A276" t="s">
        <v>131</v>
      </c>
      <c r="B276" t="s">
        <v>168</v>
      </c>
      <c r="C276" s="12" t="s">
        <v>109</v>
      </c>
      <c r="D276" t="s">
        <v>4</v>
      </c>
      <c r="E276" t="s">
        <v>6</v>
      </c>
      <c r="F276" t="s">
        <v>72</v>
      </c>
      <c r="G276" t="s">
        <v>166</v>
      </c>
      <c r="H276" s="94">
        <v>0.22500000000000001</v>
      </c>
      <c r="I276" t="s">
        <v>62</v>
      </c>
      <c r="J276" t="s">
        <v>63</v>
      </c>
    </row>
    <row r="277" spans="1:10" x14ac:dyDescent="0.25">
      <c r="A277" t="s">
        <v>131</v>
      </c>
      <c r="B277" t="s">
        <v>168</v>
      </c>
      <c r="C277" s="12" t="s">
        <v>109</v>
      </c>
      <c r="D277" t="s">
        <v>4</v>
      </c>
      <c r="E277" t="s">
        <v>6</v>
      </c>
      <c r="F277" t="s">
        <v>72</v>
      </c>
      <c r="G277" t="s">
        <v>166</v>
      </c>
      <c r="H277" s="94">
        <v>0.22500000000000001</v>
      </c>
      <c r="I277" t="s">
        <v>62</v>
      </c>
      <c r="J277" t="s">
        <v>11</v>
      </c>
    </row>
    <row r="278" spans="1:10" x14ac:dyDescent="0.25">
      <c r="A278" t="s">
        <v>131</v>
      </c>
      <c r="B278" t="s">
        <v>168</v>
      </c>
      <c r="C278" s="12" t="s">
        <v>109</v>
      </c>
      <c r="D278" t="s">
        <v>4</v>
      </c>
      <c r="E278" t="s">
        <v>6</v>
      </c>
      <c r="F278" t="s">
        <v>72</v>
      </c>
      <c r="G278" t="s">
        <v>166</v>
      </c>
      <c r="H278" s="94">
        <v>0.22500000000000001</v>
      </c>
      <c r="I278" t="s">
        <v>60</v>
      </c>
      <c r="J278" t="s">
        <v>13</v>
      </c>
    </row>
    <row r="279" spans="1:10" x14ac:dyDescent="0.25">
      <c r="A279" t="s">
        <v>131</v>
      </c>
      <c r="B279" t="s">
        <v>168</v>
      </c>
      <c r="C279" s="12" t="s">
        <v>109</v>
      </c>
      <c r="D279" t="s">
        <v>4</v>
      </c>
      <c r="E279" t="s">
        <v>6</v>
      </c>
      <c r="F279" t="s">
        <v>72</v>
      </c>
      <c r="G279" t="s">
        <v>166</v>
      </c>
      <c r="H279" s="94">
        <v>0.22500000000000001</v>
      </c>
      <c r="I279" t="s">
        <v>60</v>
      </c>
      <c r="J279" t="s">
        <v>63</v>
      </c>
    </row>
    <row r="280" spans="1:10" x14ac:dyDescent="0.25">
      <c r="A280" t="s">
        <v>131</v>
      </c>
      <c r="B280" t="s">
        <v>168</v>
      </c>
      <c r="C280" s="12" t="s">
        <v>109</v>
      </c>
      <c r="D280" t="s">
        <v>4</v>
      </c>
      <c r="E280" t="s">
        <v>6</v>
      </c>
      <c r="F280" t="s">
        <v>72</v>
      </c>
      <c r="G280" t="s">
        <v>166</v>
      </c>
      <c r="H280" s="94">
        <v>0.22500000000000001</v>
      </c>
      <c r="I280" t="s">
        <v>60</v>
      </c>
      <c r="J280" t="s">
        <v>11</v>
      </c>
    </row>
    <row r="281" spans="1:10" x14ac:dyDescent="0.25">
      <c r="A281" t="s">
        <v>131</v>
      </c>
      <c r="B281" t="s">
        <v>168</v>
      </c>
      <c r="C281" s="12" t="s">
        <v>109</v>
      </c>
      <c r="D281" t="s">
        <v>4</v>
      </c>
      <c r="E281" t="s">
        <v>6</v>
      </c>
      <c r="F281" t="s">
        <v>72</v>
      </c>
      <c r="G281" t="s">
        <v>166</v>
      </c>
      <c r="H281" s="94">
        <v>0.43</v>
      </c>
      <c r="I281" t="s">
        <v>107</v>
      </c>
      <c r="J281" t="s">
        <v>13</v>
      </c>
    </row>
    <row r="282" spans="1:10" x14ac:dyDescent="0.25">
      <c r="A282" t="s">
        <v>131</v>
      </c>
      <c r="B282" t="s">
        <v>168</v>
      </c>
      <c r="C282" s="12" t="s">
        <v>109</v>
      </c>
      <c r="D282" t="s">
        <v>4</v>
      </c>
      <c r="E282" t="s">
        <v>6</v>
      </c>
      <c r="F282" t="s">
        <v>72</v>
      </c>
      <c r="G282" t="s">
        <v>166</v>
      </c>
      <c r="H282" s="94">
        <v>0.43</v>
      </c>
      <c r="I282" t="s">
        <v>107</v>
      </c>
      <c r="J282" t="s">
        <v>63</v>
      </c>
    </row>
    <row r="283" spans="1:10" x14ac:dyDescent="0.25">
      <c r="A283" t="s">
        <v>131</v>
      </c>
      <c r="B283" t="s">
        <v>168</v>
      </c>
      <c r="C283" s="12" t="s">
        <v>109</v>
      </c>
      <c r="D283" t="s">
        <v>4</v>
      </c>
      <c r="E283" t="s">
        <v>6</v>
      </c>
      <c r="F283" t="s">
        <v>72</v>
      </c>
      <c r="G283" t="s">
        <v>166</v>
      </c>
      <c r="H283" s="94">
        <v>0.43</v>
      </c>
      <c r="I283" t="s">
        <v>107</v>
      </c>
      <c r="J283" t="s">
        <v>11</v>
      </c>
    </row>
    <row r="284" spans="1:10" x14ac:dyDescent="0.25">
      <c r="A284" t="s">
        <v>131</v>
      </c>
      <c r="B284" t="s">
        <v>168</v>
      </c>
      <c r="C284" s="12" t="s">
        <v>109</v>
      </c>
      <c r="D284" t="s">
        <v>4</v>
      </c>
      <c r="E284" t="s">
        <v>6</v>
      </c>
      <c r="F284" t="s">
        <v>72</v>
      </c>
      <c r="G284" t="s">
        <v>166</v>
      </c>
      <c r="H284" s="94">
        <v>0.43</v>
      </c>
      <c r="I284" t="s">
        <v>62</v>
      </c>
      <c r="J284" t="s">
        <v>13</v>
      </c>
    </row>
    <row r="285" spans="1:10" x14ac:dyDescent="0.25">
      <c r="A285" t="s">
        <v>131</v>
      </c>
      <c r="B285" t="s">
        <v>168</v>
      </c>
      <c r="C285" s="12" t="s">
        <v>109</v>
      </c>
      <c r="D285" t="s">
        <v>4</v>
      </c>
      <c r="E285" t="s">
        <v>6</v>
      </c>
      <c r="F285" t="s">
        <v>72</v>
      </c>
      <c r="G285" t="s">
        <v>166</v>
      </c>
      <c r="H285" s="94">
        <v>0.43</v>
      </c>
      <c r="I285" t="s">
        <v>62</v>
      </c>
      <c r="J285" t="s">
        <v>63</v>
      </c>
    </row>
    <row r="286" spans="1:10" x14ac:dyDescent="0.25">
      <c r="A286" t="s">
        <v>131</v>
      </c>
      <c r="B286" t="s">
        <v>168</v>
      </c>
      <c r="C286" s="12" t="s">
        <v>109</v>
      </c>
      <c r="D286" t="s">
        <v>4</v>
      </c>
      <c r="E286" t="s">
        <v>6</v>
      </c>
      <c r="F286" t="s">
        <v>72</v>
      </c>
      <c r="G286" t="s">
        <v>166</v>
      </c>
      <c r="H286" s="94">
        <v>0.43</v>
      </c>
      <c r="I286" t="s">
        <v>62</v>
      </c>
      <c r="J286" t="s">
        <v>11</v>
      </c>
    </row>
    <row r="287" spans="1:10" x14ac:dyDescent="0.25">
      <c r="A287" t="s">
        <v>131</v>
      </c>
      <c r="B287" t="s">
        <v>168</v>
      </c>
      <c r="C287" s="12" t="s">
        <v>109</v>
      </c>
      <c r="D287" t="s">
        <v>4</v>
      </c>
      <c r="E287" t="s">
        <v>6</v>
      </c>
      <c r="F287" t="s">
        <v>72</v>
      </c>
      <c r="G287" t="s">
        <v>166</v>
      </c>
      <c r="H287" s="94">
        <v>0.43</v>
      </c>
      <c r="I287" t="s">
        <v>60</v>
      </c>
      <c r="J287" t="s">
        <v>13</v>
      </c>
    </row>
    <row r="288" spans="1:10" x14ac:dyDescent="0.25">
      <c r="A288" t="s">
        <v>131</v>
      </c>
      <c r="B288" t="s">
        <v>168</v>
      </c>
      <c r="C288" s="12" t="s">
        <v>109</v>
      </c>
      <c r="D288" t="s">
        <v>4</v>
      </c>
      <c r="E288" t="s">
        <v>6</v>
      </c>
      <c r="F288" t="s">
        <v>72</v>
      </c>
      <c r="G288" t="s">
        <v>166</v>
      </c>
      <c r="H288" s="94">
        <v>0.43</v>
      </c>
      <c r="I288" t="s">
        <v>60</v>
      </c>
      <c r="J288" t="s">
        <v>63</v>
      </c>
    </row>
    <row r="289" spans="1:10" x14ac:dyDescent="0.25">
      <c r="A289" t="s">
        <v>131</v>
      </c>
      <c r="B289" t="s">
        <v>168</v>
      </c>
      <c r="C289" s="12" t="s">
        <v>109</v>
      </c>
      <c r="D289" t="s">
        <v>4</v>
      </c>
      <c r="E289" t="s">
        <v>6</v>
      </c>
      <c r="F289" t="s">
        <v>72</v>
      </c>
      <c r="G289" t="s">
        <v>166</v>
      </c>
      <c r="H289" s="94">
        <v>0.43</v>
      </c>
      <c r="I289" t="s">
        <v>60</v>
      </c>
      <c r="J289" t="s">
        <v>11</v>
      </c>
    </row>
    <row r="290" spans="1:10" x14ac:dyDescent="0.25">
      <c r="A290" t="s">
        <v>131</v>
      </c>
      <c r="B290" t="s">
        <v>168</v>
      </c>
      <c r="C290" s="12" t="s">
        <v>109</v>
      </c>
      <c r="D290" t="s">
        <v>4</v>
      </c>
      <c r="E290" t="s">
        <v>6</v>
      </c>
      <c r="F290" t="s">
        <v>16</v>
      </c>
      <c r="G290" t="s">
        <v>166</v>
      </c>
      <c r="H290" s="94">
        <v>0.22500000000000001</v>
      </c>
      <c r="I290" t="s">
        <v>107</v>
      </c>
      <c r="J290" t="s">
        <v>13</v>
      </c>
    </row>
    <row r="291" spans="1:10" x14ac:dyDescent="0.25">
      <c r="A291" t="s">
        <v>131</v>
      </c>
      <c r="B291" t="s">
        <v>168</v>
      </c>
      <c r="C291" s="12" t="s">
        <v>109</v>
      </c>
      <c r="D291" t="s">
        <v>4</v>
      </c>
      <c r="E291" t="s">
        <v>6</v>
      </c>
      <c r="F291" t="s">
        <v>16</v>
      </c>
      <c r="G291" t="s">
        <v>166</v>
      </c>
      <c r="H291" s="94">
        <v>0.22500000000000001</v>
      </c>
      <c r="I291" t="s">
        <v>107</v>
      </c>
      <c r="J291" t="s">
        <v>63</v>
      </c>
    </row>
    <row r="292" spans="1:10" x14ac:dyDescent="0.25">
      <c r="A292" t="s">
        <v>131</v>
      </c>
      <c r="B292" t="s">
        <v>168</v>
      </c>
      <c r="C292" s="12" t="s">
        <v>109</v>
      </c>
      <c r="D292" t="s">
        <v>4</v>
      </c>
      <c r="E292" t="s">
        <v>6</v>
      </c>
      <c r="F292" t="s">
        <v>16</v>
      </c>
      <c r="G292" t="s">
        <v>166</v>
      </c>
      <c r="H292" s="94">
        <v>0.22500000000000001</v>
      </c>
      <c r="I292" t="s">
        <v>107</v>
      </c>
      <c r="J292" t="s">
        <v>11</v>
      </c>
    </row>
    <row r="293" spans="1:10" x14ac:dyDescent="0.25">
      <c r="A293" t="s">
        <v>131</v>
      </c>
      <c r="B293" t="s">
        <v>168</v>
      </c>
      <c r="C293" s="12" t="s">
        <v>109</v>
      </c>
      <c r="D293" t="s">
        <v>4</v>
      </c>
      <c r="E293" t="s">
        <v>6</v>
      </c>
      <c r="F293" t="s">
        <v>16</v>
      </c>
      <c r="G293" t="s">
        <v>166</v>
      </c>
      <c r="H293" s="94">
        <v>0.22500000000000001</v>
      </c>
      <c r="I293" t="s">
        <v>62</v>
      </c>
      <c r="J293" t="s">
        <v>13</v>
      </c>
    </row>
    <row r="294" spans="1:10" x14ac:dyDescent="0.25">
      <c r="A294" t="s">
        <v>131</v>
      </c>
      <c r="B294" t="s">
        <v>168</v>
      </c>
      <c r="C294" s="12" t="s">
        <v>109</v>
      </c>
      <c r="D294" t="s">
        <v>4</v>
      </c>
      <c r="E294" t="s">
        <v>6</v>
      </c>
      <c r="F294" t="s">
        <v>16</v>
      </c>
      <c r="G294" t="s">
        <v>166</v>
      </c>
      <c r="H294" s="94">
        <v>0.22500000000000001</v>
      </c>
      <c r="I294" t="s">
        <v>62</v>
      </c>
      <c r="J294" t="s">
        <v>63</v>
      </c>
    </row>
    <row r="295" spans="1:10" x14ac:dyDescent="0.25">
      <c r="A295" t="s">
        <v>131</v>
      </c>
      <c r="B295" t="s">
        <v>168</v>
      </c>
      <c r="C295" s="12" t="s">
        <v>109</v>
      </c>
      <c r="D295" t="s">
        <v>4</v>
      </c>
      <c r="E295" t="s">
        <v>6</v>
      </c>
      <c r="F295" t="s">
        <v>16</v>
      </c>
      <c r="G295" t="s">
        <v>166</v>
      </c>
      <c r="H295" s="94">
        <v>0.22500000000000001</v>
      </c>
      <c r="I295" t="s">
        <v>62</v>
      </c>
      <c r="J295" t="s">
        <v>11</v>
      </c>
    </row>
    <row r="296" spans="1:10" x14ac:dyDescent="0.25">
      <c r="A296" t="s">
        <v>131</v>
      </c>
      <c r="B296" t="s">
        <v>168</v>
      </c>
      <c r="C296" s="12" t="s">
        <v>109</v>
      </c>
      <c r="D296" t="s">
        <v>4</v>
      </c>
      <c r="E296" t="s">
        <v>6</v>
      </c>
      <c r="F296" t="s">
        <v>16</v>
      </c>
      <c r="G296" t="s">
        <v>166</v>
      </c>
      <c r="H296" s="94">
        <v>0.22500000000000001</v>
      </c>
      <c r="I296" t="s">
        <v>60</v>
      </c>
      <c r="J296" t="s">
        <v>13</v>
      </c>
    </row>
    <row r="297" spans="1:10" x14ac:dyDescent="0.25">
      <c r="A297" t="s">
        <v>131</v>
      </c>
      <c r="B297" t="s">
        <v>168</v>
      </c>
      <c r="C297" s="12" t="s">
        <v>109</v>
      </c>
      <c r="D297" t="s">
        <v>4</v>
      </c>
      <c r="E297" t="s">
        <v>6</v>
      </c>
      <c r="F297" t="s">
        <v>16</v>
      </c>
      <c r="G297" t="s">
        <v>166</v>
      </c>
      <c r="H297" s="94">
        <v>0.22500000000000001</v>
      </c>
      <c r="I297" t="s">
        <v>60</v>
      </c>
      <c r="J297" t="s">
        <v>63</v>
      </c>
    </row>
    <row r="298" spans="1:10" x14ac:dyDescent="0.25">
      <c r="A298" t="s">
        <v>131</v>
      </c>
      <c r="B298" t="s">
        <v>168</v>
      </c>
      <c r="C298" s="12" t="s">
        <v>109</v>
      </c>
      <c r="D298" t="s">
        <v>4</v>
      </c>
      <c r="E298" t="s">
        <v>6</v>
      </c>
      <c r="F298" t="s">
        <v>16</v>
      </c>
      <c r="G298" t="s">
        <v>166</v>
      </c>
      <c r="H298" s="94">
        <v>0.22500000000000001</v>
      </c>
      <c r="I298" t="s">
        <v>60</v>
      </c>
      <c r="J298" t="s">
        <v>11</v>
      </c>
    </row>
    <row r="299" spans="1:10" x14ac:dyDescent="0.25">
      <c r="A299" t="s">
        <v>131</v>
      </c>
      <c r="B299" t="s">
        <v>168</v>
      </c>
      <c r="C299" s="12" t="s">
        <v>109</v>
      </c>
      <c r="D299" t="s">
        <v>4</v>
      </c>
      <c r="E299" t="s">
        <v>6</v>
      </c>
      <c r="F299" t="s">
        <v>16</v>
      </c>
      <c r="G299" t="s">
        <v>166</v>
      </c>
      <c r="H299" s="94">
        <v>0.43</v>
      </c>
      <c r="I299" t="s">
        <v>107</v>
      </c>
      <c r="J299" t="s">
        <v>13</v>
      </c>
    </row>
    <row r="300" spans="1:10" x14ac:dyDescent="0.25">
      <c r="A300" t="s">
        <v>131</v>
      </c>
      <c r="B300" t="s">
        <v>168</v>
      </c>
      <c r="C300" s="12" t="s">
        <v>109</v>
      </c>
      <c r="D300" t="s">
        <v>4</v>
      </c>
      <c r="E300" t="s">
        <v>6</v>
      </c>
      <c r="F300" t="s">
        <v>16</v>
      </c>
      <c r="G300" t="s">
        <v>166</v>
      </c>
      <c r="H300" s="94">
        <v>0.43</v>
      </c>
      <c r="I300" t="s">
        <v>107</v>
      </c>
      <c r="J300" t="s">
        <v>63</v>
      </c>
    </row>
    <row r="301" spans="1:10" x14ac:dyDescent="0.25">
      <c r="A301" t="s">
        <v>131</v>
      </c>
      <c r="B301" t="s">
        <v>168</v>
      </c>
      <c r="C301" s="12" t="s">
        <v>109</v>
      </c>
      <c r="D301" t="s">
        <v>4</v>
      </c>
      <c r="E301" t="s">
        <v>6</v>
      </c>
      <c r="F301" t="s">
        <v>16</v>
      </c>
      <c r="G301" t="s">
        <v>166</v>
      </c>
      <c r="H301" s="94">
        <v>0.43</v>
      </c>
      <c r="I301" t="s">
        <v>107</v>
      </c>
      <c r="J301" t="s">
        <v>11</v>
      </c>
    </row>
    <row r="302" spans="1:10" x14ac:dyDescent="0.25">
      <c r="A302" t="s">
        <v>131</v>
      </c>
      <c r="B302" t="s">
        <v>168</v>
      </c>
      <c r="C302" s="12" t="s">
        <v>109</v>
      </c>
      <c r="D302" t="s">
        <v>4</v>
      </c>
      <c r="E302" t="s">
        <v>6</v>
      </c>
      <c r="F302" t="s">
        <v>16</v>
      </c>
      <c r="G302" t="s">
        <v>166</v>
      </c>
      <c r="H302" s="94">
        <v>0.43</v>
      </c>
      <c r="I302" t="s">
        <v>62</v>
      </c>
      <c r="J302" t="s">
        <v>13</v>
      </c>
    </row>
    <row r="303" spans="1:10" x14ac:dyDescent="0.25">
      <c r="A303" t="s">
        <v>131</v>
      </c>
      <c r="B303" t="s">
        <v>168</v>
      </c>
      <c r="C303" s="12" t="s">
        <v>109</v>
      </c>
      <c r="D303" t="s">
        <v>4</v>
      </c>
      <c r="E303" t="s">
        <v>6</v>
      </c>
      <c r="F303" t="s">
        <v>16</v>
      </c>
      <c r="G303" t="s">
        <v>166</v>
      </c>
      <c r="H303" s="94">
        <v>0.43</v>
      </c>
      <c r="I303" t="s">
        <v>62</v>
      </c>
      <c r="J303" t="s">
        <v>63</v>
      </c>
    </row>
    <row r="304" spans="1:10" x14ac:dyDescent="0.25">
      <c r="A304" t="s">
        <v>131</v>
      </c>
      <c r="B304" t="s">
        <v>168</v>
      </c>
      <c r="C304" s="12" t="s">
        <v>109</v>
      </c>
      <c r="D304" t="s">
        <v>4</v>
      </c>
      <c r="E304" t="s">
        <v>6</v>
      </c>
      <c r="F304" t="s">
        <v>16</v>
      </c>
      <c r="G304" t="s">
        <v>166</v>
      </c>
      <c r="H304" s="94">
        <v>0.43</v>
      </c>
      <c r="I304" t="s">
        <v>62</v>
      </c>
      <c r="J304" t="s">
        <v>11</v>
      </c>
    </row>
    <row r="305" spans="1:10" x14ac:dyDescent="0.25">
      <c r="A305" t="s">
        <v>131</v>
      </c>
      <c r="B305" t="s">
        <v>168</v>
      </c>
      <c r="C305" s="12" t="s">
        <v>109</v>
      </c>
      <c r="D305" t="s">
        <v>4</v>
      </c>
      <c r="E305" t="s">
        <v>6</v>
      </c>
      <c r="F305" t="s">
        <v>16</v>
      </c>
      <c r="G305" t="s">
        <v>166</v>
      </c>
      <c r="H305" s="94">
        <v>0.43</v>
      </c>
      <c r="I305" t="s">
        <v>60</v>
      </c>
      <c r="J305" t="s">
        <v>13</v>
      </c>
    </row>
    <row r="306" spans="1:10" x14ac:dyDescent="0.25">
      <c r="A306" t="s">
        <v>131</v>
      </c>
      <c r="B306" t="s">
        <v>168</v>
      </c>
      <c r="C306" s="12" t="s">
        <v>109</v>
      </c>
      <c r="D306" t="s">
        <v>4</v>
      </c>
      <c r="E306" t="s">
        <v>6</v>
      </c>
      <c r="F306" t="s">
        <v>16</v>
      </c>
      <c r="G306" t="s">
        <v>166</v>
      </c>
      <c r="H306" s="94">
        <v>0.43</v>
      </c>
      <c r="I306" t="s">
        <v>60</v>
      </c>
      <c r="J306" t="s">
        <v>63</v>
      </c>
    </row>
    <row r="307" spans="1:10" x14ac:dyDescent="0.25">
      <c r="A307" t="s">
        <v>131</v>
      </c>
      <c r="B307" t="s">
        <v>168</v>
      </c>
      <c r="C307" s="12" t="s">
        <v>109</v>
      </c>
      <c r="D307" t="s">
        <v>4</v>
      </c>
      <c r="E307" t="s">
        <v>6</v>
      </c>
      <c r="F307" t="s">
        <v>16</v>
      </c>
      <c r="G307" t="s">
        <v>166</v>
      </c>
      <c r="H307" s="94">
        <v>0.43</v>
      </c>
      <c r="I307" t="s">
        <v>60</v>
      </c>
      <c r="J307" t="s">
        <v>11</v>
      </c>
    </row>
    <row r="308" spans="1:10" x14ac:dyDescent="0.25">
      <c r="A308" t="s">
        <v>131</v>
      </c>
      <c r="B308" t="s">
        <v>168</v>
      </c>
      <c r="C308" s="12" t="s">
        <v>109</v>
      </c>
      <c r="D308" t="s">
        <v>4</v>
      </c>
      <c r="E308" t="s">
        <v>6</v>
      </c>
      <c r="F308" t="s">
        <v>8</v>
      </c>
      <c r="G308" t="s">
        <v>166</v>
      </c>
      <c r="H308" s="94">
        <v>0.22500000000000001</v>
      </c>
      <c r="I308" t="s">
        <v>107</v>
      </c>
      <c r="J308" t="s">
        <v>13</v>
      </c>
    </row>
    <row r="309" spans="1:10" x14ac:dyDescent="0.25">
      <c r="A309" t="s">
        <v>131</v>
      </c>
      <c r="B309" t="s">
        <v>168</v>
      </c>
      <c r="C309" s="12" t="s">
        <v>109</v>
      </c>
      <c r="D309" t="s">
        <v>4</v>
      </c>
      <c r="E309" t="s">
        <v>6</v>
      </c>
      <c r="F309" t="s">
        <v>8</v>
      </c>
      <c r="G309" t="s">
        <v>166</v>
      </c>
      <c r="H309" s="94">
        <v>0.22500000000000001</v>
      </c>
      <c r="I309" t="s">
        <v>107</v>
      </c>
      <c r="J309" t="s">
        <v>63</v>
      </c>
    </row>
    <row r="310" spans="1:10" x14ac:dyDescent="0.25">
      <c r="A310" t="s">
        <v>131</v>
      </c>
      <c r="B310" t="s">
        <v>168</v>
      </c>
      <c r="C310" s="12" t="s">
        <v>109</v>
      </c>
      <c r="D310" t="s">
        <v>4</v>
      </c>
      <c r="E310" t="s">
        <v>6</v>
      </c>
      <c r="F310" t="s">
        <v>8</v>
      </c>
      <c r="G310" t="s">
        <v>166</v>
      </c>
      <c r="H310" s="94">
        <v>0.22500000000000001</v>
      </c>
      <c r="I310" t="s">
        <v>107</v>
      </c>
      <c r="J310" t="s">
        <v>11</v>
      </c>
    </row>
    <row r="311" spans="1:10" x14ac:dyDescent="0.25">
      <c r="A311" t="s">
        <v>131</v>
      </c>
      <c r="B311" t="s">
        <v>168</v>
      </c>
      <c r="C311" s="12" t="s">
        <v>109</v>
      </c>
      <c r="D311" t="s">
        <v>4</v>
      </c>
      <c r="E311" t="s">
        <v>6</v>
      </c>
      <c r="F311" t="s">
        <v>8</v>
      </c>
      <c r="G311" t="s">
        <v>166</v>
      </c>
      <c r="H311" s="94">
        <v>0.22500000000000001</v>
      </c>
      <c r="I311" t="s">
        <v>62</v>
      </c>
      <c r="J311" t="s">
        <v>13</v>
      </c>
    </row>
    <row r="312" spans="1:10" x14ac:dyDescent="0.25">
      <c r="A312" t="s">
        <v>131</v>
      </c>
      <c r="B312" t="s">
        <v>168</v>
      </c>
      <c r="C312" s="12" t="s">
        <v>109</v>
      </c>
      <c r="D312" t="s">
        <v>4</v>
      </c>
      <c r="E312" t="s">
        <v>6</v>
      </c>
      <c r="F312" t="s">
        <v>8</v>
      </c>
      <c r="G312" t="s">
        <v>166</v>
      </c>
      <c r="H312" s="94">
        <v>0.22500000000000001</v>
      </c>
      <c r="I312" t="s">
        <v>62</v>
      </c>
      <c r="J312" t="s">
        <v>63</v>
      </c>
    </row>
    <row r="313" spans="1:10" x14ac:dyDescent="0.25">
      <c r="A313" t="s">
        <v>131</v>
      </c>
      <c r="B313" t="s">
        <v>168</v>
      </c>
      <c r="C313" s="12" t="s">
        <v>109</v>
      </c>
      <c r="D313" t="s">
        <v>4</v>
      </c>
      <c r="E313" t="s">
        <v>6</v>
      </c>
      <c r="F313" t="s">
        <v>8</v>
      </c>
      <c r="G313" t="s">
        <v>166</v>
      </c>
      <c r="H313" s="94">
        <v>0.22500000000000001</v>
      </c>
      <c r="I313" t="s">
        <v>62</v>
      </c>
      <c r="J313" t="s">
        <v>11</v>
      </c>
    </row>
    <row r="314" spans="1:10" x14ac:dyDescent="0.25">
      <c r="A314" t="s">
        <v>131</v>
      </c>
      <c r="B314" t="s">
        <v>168</v>
      </c>
      <c r="C314" s="12" t="s">
        <v>109</v>
      </c>
      <c r="D314" t="s">
        <v>4</v>
      </c>
      <c r="E314" t="s">
        <v>6</v>
      </c>
      <c r="F314" t="s">
        <v>8</v>
      </c>
      <c r="G314" t="s">
        <v>166</v>
      </c>
      <c r="H314" s="94">
        <v>0.22500000000000001</v>
      </c>
      <c r="I314" t="s">
        <v>60</v>
      </c>
      <c r="J314" t="s">
        <v>13</v>
      </c>
    </row>
    <row r="315" spans="1:10" x14ac:dyDescent="0.25">
      <c r="A315" t="s">
        <v>131</v>
      </c>
      <c r="B315" t="s">
        <v>168</v>
      </c>
      <c r="C315" s="12" t="s">
        <v>109</v>
      </c>
      <c r="D315" t="s">
        <v>4</v>
      </c>
      <c r="E315" t="s">
        <v>6</v>
      </c>
      <c r="F315" t="s">
        <v>8</v>
      </c>
      <c r="G315" t="s">
        <v>166</v>
      </c>
      <c r="H315" s="94">
        <v>0.22500000000000001</v>
      </c>
      <c r="I315" t="s">
        <v>60</v>
      </c>
      <c r="J315" t="s">
        <v>63</v>
      </c>
    </row>
    <row r="316" spans="1:10" x14ac:dyDescent="0.25">
      <c r="A316" t="s">
        <v>131</v>
      </c>
      <c r="B316" t="s">
        <v>168</v>
      </c>
      <c r="C316" s="12" t="s">
        <v>109</v>
      </c>
      <c r="D316" t="s">
        <v>4</v>
      </c>
      <c r="E316" t="s">
        <v>6</v>
      </c>
      <c r="F316" t="s">
        <v>8</v>
      </c>
      <c r="G316" t="s">
        <v>166</v>
      </c>
      <c r="H316" s="94">
        <v>0.22500000000000001</v>
      </c>
      <c r="I316" t="s">
        <v>60</v>
      </c>
      <c r="J316" t="s">
        <v>11</v>
      </c>
    </row>
    <row r="317" spans="1:10" x14ac:dyDescent="0.25">
      <c r="A317" t="s">
        <v>131</v>
      </c>
      <c r="B317" t="s">
        <v>168</v>
      </c>
      <c r="C317" s="12" t="s">
        <v>109</v>
      </c>
      <c r="D317" t="s">
        <v>4</v>
      </c>
      <c r="E317" t="s">
        <v>6</v>
      </c>
      <c r="F317" t="s">
        <v>8</v>
      </c>
      <c r="G317" t="s">
        <v>166</v>
      </c>
      <c r="H317" s="94">
        <v>0.43</v>
      </c>
      <c r="I317" t="s">
        <v>107</v>
      </c>
      <c r="J317" t="s">
        <v>13</v>
      </c>
    </row>
    <row r="318" spans="1:10" x14ac:dyDescent="0.25">
      <c r="A318" t="s">
        <v>131</v>
      </c>
      <c r="B318" t="s">
        <v>168</v>
      </c>
      <c r="C318" s="12" t="s">
        <v>109</v>
      </c>
      <c r="D318" t="s">
        <v>4</v>
      </c>
      <c r="E318" t="s">
        <v>6</v>
      </c>
      <c r="F318" t="s">
        <v>8</v>
      </c>
      <c r="G318" t="s">
        <v>166</v>
      </c>
      <c r="H318" s="94">
        <v>0.43</v>
      </c>
      <c r="I318" t="s">
        <v>107</v>
      </c>
      <c r="J318" t="s">
        <v>63</v>
      </c>
    </row>
    <row r="319" spans="1:10" x14ac:dyDescent="0.25">
      <c r="A319" t="s">
        <v>131</v>
      </c>
      <c r="B319" t="s">
        <v>168</v>
      </c>
      <c r="C319" s="12" t="s">
        <v>109</v>
      </c>
      <c r="D319" t="s">
        <v>4</v>
      </c>
      <c r="E319" t="s">
        <v>6</v>
      </c>
      <c r="F319" t="s">
        <v>8</v>
      </c>
      <c r="G319" t="s">
        <v>166</v>
      </c>
      <c r="H319" s="94">
        <v>0.43</v>
      </c>
      <c r="I319" t="s">
        <v>107</v>
      </c>
      <c r="J319" t="s">
        <v>11</v>
      </c>
    </row>
    <row r="320" spans="1:10" x14ac:dyDescent="0.25">
      <c r="A320" t="s">
        <v>131</v>
      </c>
      <c r="B320" t="s">
        <v>168</v>
      </c>
      <c r="C320" s="12" t="s">
        <v>109</v>
      </c>
      <c r="D320" t="s">
        <v>4</v>
      </c>
      <c r="E320" t="s">
        <v>6</v>
      </c>
      <c r="F320" t="s">
        <v>8</v>
      </c>
      <c r="G320" t="s">
        <v>166</v>
      </c>
      <c r="H320" s="94">
        <v>0.43</v>
      </c>
      <c r="I320" t="s">
        <v>62</v>
      </c>
      <c r="J320" t="s">
        <v>13</v>
      </c>
    </row>
    <row r="321" spans="1:10" x14ac:dyDescent="0.25">
      <c r="A321" t="s">
        <v>131</v>
      </c>
      <c r="B321" t="s">
        <v>168</v>
      </c>
      <c r="C321" s="12" t="s">
        <v>109</v>
      </c>
      <c r="D321" t="s">
        <v>4</v>
      </c>
      <c r="E321" t="s">
        <v>6</v>
      </c>
      <c r="F321" t="s">
        <v>8</v>
      </c>
      <c r="G321" t="s">
        <v>166</v>
      </c>
      <c r="H321" s="94">
        <v>0.43</v>
      </c>
      <c r="I321" t="s">
        <v>62</v>
      </c>
      <c r="J321" t="s">
        <v>63</v>
      </c>
    </row>
    <row r="322" spans="1:10" x14ac:dyDescent="0.25">
      <c r="A322" t="s">
        <v>131</v>
      </c>
      <c r="B322" t="s">
        <v>168</v>
      </c>
      <c r="C322" s="12" t="s">
        <v>109</v>
      </c>
      <c r="D322" t="s">
        <v>4</v>
      </c>
      <c r="E322" t="s">
        <v>6</v>
      </c>
      <c r="F322" t="s">
        <v>8</v>
      </c>
      <c r="G322" t="s">
        <v>166</v>
      </c>
      <c r="H322" s="94">
        <v>0.43</v>
      </c>
      <c r="I322" t="s">
        <v>62</v>
      </c>
      <c r="J322" t="s">
        <v>11</v>
      </c>
    </row>
    <row r="323" spans="1:10" x14ac:dyDescent="0.25">
      <c r="A323" t="s">
        <v>131</v>
      </c>
      <c r="B323" t="s">
        <v>168</v>
      </c>
      <c r="C323" s="12" t="s">
        <v>109</v>
      </c>
      <c r="D323" t="s">
        <v>4</v>
      </c>
      <c r="E323" t="s">
        <v>6</v>
      </c>
      <c r="F323" t="s">
        <v>8</v>
      </c>
      <c r="G323" t="s">
        <v>166</v>
      </c>
      <c r="H323" s="94">
        <v>0.43</v>
      </c>
      <c r="I323" t="s">
        <v>60</v>
      </c>
      <c r="J323" t="s">
        <v>13</v>
      </c>
    </row>
    <row r="324" spans="1:10" x14ac:dyDescent="0.25">
      <c r="A324" t="s">
        <v>131</v>
      </c>
      <c r="B324" t="s">
        <v>168</v>
      </c>
      <c r="C324" s="12" t="s">
        <v>109</v>
      </c>
      <c r="D324" t="s">
        <v>4</v>
      </c>
      <c r="E324" t="s">
        <v>6</v>
      </c>
      <c r="F324" t="s">
        <v>8</v>
      </c>
      <c r="G324" t="s">
        <v>166</v>
      </c>
      <c r="H324" s="94">
        <v>0.43</v>
      </c>
      <c r="I324" t="s">
        <v>60</v>
      </c>
      <c r="J324" t="s">
        <v>63</v>
      </c>
    </row>
    <row r="325" spans="1:10" x14ac:dyDescent="0.25">
      <c r="A325" t="s">
        <v>131</v>
      </c>
      <c r="B325" t="s">
        <v>168</v>
      </c>
      <c r="C325" s="12" t="s">
        <v>109</v>
      </c>
      <c r="D325" t="s">
        <v>4</v>
      </c>
      <c r="E325" t="s">
        <v>6</v>
      </c>
      <c r="F325" t="s">
        <v>8</v>
      </c>
      <c r="G325" t="s">
        <v>166</v>
      </c>
      <c r="H325" s="94">
        <v>0.43</v>
      </c>
      <c r="I325" t="s">
        <v>60</v>
      </c>
      <c r="J325" t="s">
        <v>11</v>
      </c>
    </row>
    <row r="326" spans="1:10" x14ac:dyDescent="0.25">
      <c r="A326" t="s">
        <v>131</v>
      </c>
      <c r="B326" t="s">
        <v>14</v>
      </c>
      <c r="C326" s="12" t="s">
        <v>109</v>
      </c>
      <c r="D326" t="s">
        <v>4</v>
      </c>
      <c r="E326" t="s">
        <v>12</v>
      </c>
      <c r="F326" t="s">
        <v>72</v>
      </c>
      <c r="G326" t="s">
        <v>180</v>
      </c>
      <c r="H326" s="94">
        <v>3</v>
      </c>
      <c r="I326" t="s">
        <v>107</v>
      </c>
      <c r="J326" t="s">
        <v>13</v>
      </c>
    </row>
    <row r="327" spans="1:10" x14ac:dyDescent="0.25">
      <c r="A327" t="s">
        <v>131</v>
      </c>
      <c r="B327" t="s">
        <v>14</v>
      </c>
      <c r="C327" s="12" t="s">
        <v>109</v>
      </c>
      <c r="D327" t="s">
        <v>4</v>
      </c>
      <c r="E327" t="s">
        <v>12</v>
      </c>
      <c r="F327" t="s">
        <v>72</v>
      </c>
      <c r="G327" t="s">
        <v>180</v>
      </c>
      <c r="H327" s="94">
        <v>3</v>
      </c>
      <c r="I327" t="s">
        <v>107</v>
      </c>
      <c r="J327" t="s">
        <v>63</v>
      </c>
    </row>
    <row r="328" spans="1:10" x14ac:dyDescent="0.25">
      <c r="A328" t="s">
        <v>131</v>
      </c>
      <c r="B328" t="s">
        <v>14</v>
      </c>
      <c r="C328" s="12" t="s">
        <v>109</v>
      </c>
      <c r="D328" t="s">
        <v>4</v>
      </c>
      <c r="E328" t="s">
        <v>12</v>
      </c>
      <c r="F328" t="s">
        <v>72</v>
      </c>
      <c r="G328" t="s">
        <v>180</v>
      </c>
      <c r="H328" s="94">
        <v>3</v>
      </c>
      <c r="I328" t="s">
        <v>107</v>
      </c>
      <c r="J328" t="s">
        <v>11</v>
      </c>
    </row>
    <row r="329" spans="1:10" x14ac:dyDescent="0.25">
      <c r="A329" t="s">
        <v>131</v>
      </c>
      <c r="B329" t="s">
        <v>14</v>
      </c>
      <c r="C329" s="12" t="s">
        <v>109</v>
      </c>
      <c r="D329" t="s">
        <v>4</v>
      </c>
      <c r="E329" t="s">
        <v>12</v>
      </c>
      <c r="F329" t="s">
        <v>72</v>
      </c>
      <c r="G329" t="s">
        <v>180</v>
      </c>
      <c r="H329" s="94">
        <v>3</v>
      </c>
      <c r="I329" t="s">
        <v>62</v>
      </c>
      <c r="J329" t="s">
        <v>13</v>
      </c>
    </row>
    <row r="330" spans="1:10" x14ac:dyDescent="0.25">
      <c r="A330" t="s">
        <v>131</v>
      </c>
      <c r="B330" t="s">
        <v>14</v>
      </c>
      <c r="C330" s="12" t="s">
        <v>109</v>
      </c>
      <c r="D330" t="s">
        <v>4</v>
      </c>
      <c r="E330" t="s">
        <v>12</v>
      </c>
      <c r="F330" t="s">
        <v>72</v>
      </c>
      <c r="G330" t="s">
        <v>180</v>
      </c>
      <c r="H330" s="94">
        <v>3</v>
      </c>
      <c r="I330" t="s">
        <v>62</v>
      </c>
      <c r="J330" t="s">
        <v>63</v>
      </c>
    </row>
    <row r="331" spans="1:10" x14ac:dyDescent="0.25">
      <c r="A331" t="s">
        <v>131</v>
      </c>
      <c r="B331" t="s">
        <v>14</v>
      </c>
      <c r="C331" s="12" t="s">
        <v>109</v>
      </c>
      <c r="D331" t="s">
        <v>4</v>
      </c>
      <c r="E331" t="s">
        <v>12</v>
      </c>
      <c r="F331" t="s">
        <v>72</v>
      </c>
      <c r="G331" t="s">
        <v>180</v>
      </c>
      <c r="H331" s="94">
        <v>3</v>
      </c>
      <c r="I331" t="s">
        <v>62</v>
      </c>
      <c r="J331" t="s">
        <v>11</v>
      </c>
    </row>
    <row r="332" spans="1:10" x14ac:dyDescent="0.25">
      <c r="A332" t="s">
        <v>131</v>
      </c>
      <c r="B332" t="s">
        <v>14</v>
      </c>
      <c r="C332" s="12" t="s">
        <v>109</v>
      </c>
      <c r="D332" t="s">
        <v>4</v>
      </c>
      <c r="E332" t="s">
        <v>12</v>
      </c>
      <c r="F332" t="s">
        <v>72</v>
      </c>
      <c r="G332" t="s">
        <v>180</v>
      </c>
      <c r="H332" s="94">
        <v>3</v>
      </c>
      <c r="I332" t="s">
        <v>60</v>
      </c>
      <c r="J332" t="s">
        <v>13</v>
      </c>
    </row>
    <row r="333" spans="1:10" x14ac:dyDescent="0.25">
      <c r="A333" t="s">
        <v>131</v>
      </c>
      <c r="B333" t="s">
        <v>14</v>
      </c>
      <c r="C333" s="12" t="s">
        <v>109</v>
      </c>
      <c r="D333" t="s">
        <v>4</v>
      </c>
      <c r="E333" t="s">
        <v>12</v>
      </c>
      <c r="F333" t="s">
        <v>72</v>
      </c>
      <c r="G333" t="s">
        <v>180</v>
      </c>
      <c r="H333" s="94">
        <v>3</v>
      </c>
      <c r="I333" t="s">
        <v>60</v>
      </c>
      <c r="J333" t="s">
        <v>63</v>
      </c>
    </row>
    <row r="334" spans="1:10" x14ac:dyDescent="0.25">
      <c r="A334" t="s">
        <v>131</v>
      </c>
      <c r="B334" t="s">
        <v>14</v>
      </c>
      <c r="C334" s="12" t="s">
        <v>109</v>
      </c>
      <c r="D334" t="s">
        <v>4</v>
      </c>
      <c r="E334" t="s">
        <v>12</v>
      </c>
      <c r="F334" t="s">
        <v>72</v>
      </c>
      <c r="G334" t="s">
        <v>180</v>
      </c>
      <c r="H334" s="94">
        <v>3</v>
      </c>
      <c r="I334" t="s">
        <v>60</v>
      </c>
      <c r="J334" t="s">
        <v>11</v>
      </c>
    </row>
    <row r="335" spans="1:10" x14ac:dyDescent="0.25">
      <c r="A335" t="s">
        <v>131</v>
      </c>
      <c r="B335" t="s">
        <v>14</v>
      </c>
      <c r="C335" s="12" t="s">
        <v>109</v>
      </c>
      <c r="D335" t="s">
        <v>4</v>
      </c>
      <c r="E335" t="s">
        <v>12</v>
      </c>
      <c r="F335" t="s">
        <v>72</v>
      </c>
      <c r="G335" t="s">
        <v>180</v>
      </c>
      <c r="H335" s="94">
        <v>5</v>
      </c>
      <c r="I335" t="s">
        <v>107</v>
      </c>
      <c r="J335" t="s">
        <v>13</v>
      </c>
    </row>
    <row r="336" spans="1:10" x14ac:dyDescent="0.25">
      <c r="A336" t="s">
        <v>131</v>
      </c>
      <c r="B336" t="s">
        <v>14</v>
      </c>
      <c r="C336" s="12" t="s">
        <v>109</v>
      </c>
      <c r="D336" t="s">
        <v>4</v>
      </c>
      <c r="E336" t="s">
        <v>12</v>
      </c>
      <c r="F336" t="s">
        <v>72</v>
      </c>
      <c r="G336" t="s">
        <v>180</v>
      </c>
      <c r="H336" s="94">
        <v>5</v>
      </c>
      <c r="I336" t="s">
        <v>107</v>
      </c>
      <c r="J336" t="s">
        <v>63</v>
      </c>
    </row>
    <row r="337" spans="1:10" x14ac:dyDescent="0.25">
      <c r="A337" t="s">
        <v>131</v>
      </c>
      <c r="B337" t="s">
        <v>14</v>
      </c>
      <c r="C337" s="12" t="s">
        <v>109</v>
      </c>
      <c r="D337" t="s">
        <v>4</v>
      </c>
      <c r="E337" t="s">
        <v>12</v>
      </c>
      <c r="F337" t="s">
        <v>72</v>
      </c>
      <c r="G337" t="s">
        <v>180</v>
      </c>
      <c r="H337" s="94">
        <v>5</v>
      </c>
      <c r="I337" t="s">
        <v>107</v>
      </c>
      <c r="J337" t="s">
        <v>11</v>
      </c>
    </row>
    <row r="338" spans="1:10" x14ac:dyDescent="0.25">
      <c r="A338" t="s">
        <v>131</v>
      </c>
      <c r="B338" t="s">
        <v>14</v>
      </c>
      <c r="C338" s="12" t="s">
        <v>109</v>
      </c>
      <c r="D338" t="s">
        <v>4</v>
      </c>
      <c r="E338" t="s">
        <v>12</v>
      </c>
      <c r="F338" t="s">
        <v>72</v>
      </c>
      <c r="G338" t="s">
        <v>180</v>
      </c>
      <c r="H338" s="94">
        <v>5</v>
      </c>
      <c r="I338" t="s">
        <v>62</v>
      </c>
      <c r="J338" t="s">
        <v>13</v>
      </c>
    </row>
    <row r="339" spans="1:10" x14ac:dyDescent="0.25">
      <c r="A339" t="s">
        <v>131</v>
      </c>
      <c r="B339" t="s">
        <v>14</v>
      </c>
      <c r="C339" s="12" t="s">
        <v>109</v>
      </c>
      <c r="D339" t="s">
        <v>4</v>
      </c>
      <c r="E339" t="s">
        <v>12</v>
      </c>
      <c r="F339" t="s">
        <v>72</v>
      </c>
      <c r="G339" t="s">
        <v>180</v>
      </c>
      <c r="H339" s="94">
        <v>5</v>
      </c>
      <c r="I339" t="s">
        <v>62</v>
      </c>
      <c r="J339" t="s">
        <v>63</v>
      </c>
    </row>
    <row r="340" spans="1:10" x14ac:dyDescent="0.25">
      <c r="A340" t="s">
        <v>131</v>
      </c>
      <c r="B340" t="s">
        <v>14</v>
      </c>
      <c r="C340" s="12" t="s">
        <v>109</v>
      </c>
      <c r="D340" t="s">
        <v>4</v>
      </c>
      <c r="E340" t="s">
        <v>12</v>
      </c>
      <c r="F340" t="s">
        <v>72</v>
      </c>
      <c r="G340" t="s">
        <v>180</v>
      </c>
      <c r="H340" s="94">
        <v>5</v>
      </c>
      <c r="I340" t="s">
        <v>62</v>
      </c>
      <c r="J340" t="s">
        <v>11</v>
      </c>
    </row>
    <row r="341" spans="1:10" x14ac:dyDescent="0.25">
      <c r="A341" t="s">
        <v>131</v>
      </c>
      <c r="B341" t="s">
        <v>14</v>
      </c>
      <c r="C341" s="12" t="s">
        <v>109</v>
      </c>
      <c r="D341" t="s">
        <v>4</v>
      </c>
      <c r="E341" t="s">
        <v>12</v>
      </c>
      <c r="F341" t="s">
        <v>72</v>
      </c>
      <c r="G341" t="s">
        <v>180</v>
      </c>
      <c r="H341" s="94">
        <v>5</v>
      </c>
      <c r="I341" t="s">
        <v>60</v>
      </c>
      <c r="J341" t="s">
        <v>13</v>
      </c>
    </row>
    <row r="342" spans="1:10" x14ac:dyDescent="0.25">
      <c r="A342" t="s">
        <v>131</v>
      </c>
      <c r="B342" t="s">
        <v>14</v>
      </c>
      <c r="C342" s="12" t="s">
        <v>109</v>
      </c>
      <c r="D342" t="s">
        <v>4</v>
      </c>
      <c r="E342" t="s">
        <v>12</v>
      </c>
      <c r="F342" t="s">
        <v>72</v>
      </c>
      <c r="G342" t="s">
        <v>180</v>
      </c>
      <c r="H342" s="94">
        <v>5</v>
      </c>
      <c r="I342" t="s">
        <v>60</v>
      </c>
      <c r="J342" t="s">
        <v>63</v>
      </c>
    </row>
    <row r="343" spans="1:10" x14ac:dyDescent="0.25">
      <c r="A343" t="s">
        <v>131</v>
      </c>
      <c r="B343" t="s">
        <v>14</v>
      </c>
      <c r="C343" s="12" t="s">
        <v>109</v>
      </c>
      <c r="D343" t="s">
        <v>4</v>
      </c>
      <c r="E343" t="s">
        <v>12</v>
      </c>
      <c r="F343" t="s">
        <v>72</v>
      </c>
      <c r="G343" t="s">
        <v>180</v>
      </c>
      <c r="H343" s="94">
        <v>5</v>
      </c>
      <c r="I343" t="s">
        <v>60</v>
      </c>
      <c r="J343" t="s">
        <v>11</v>
      </c>
    </row>
    <row r="344" spans="1:10" x14ac:dyDescent="0.25">
      <c r="A344" t="s">
        <v>131</v>
      </c>
      <c r="B344" t="s">
        <v>14</v>
      </c>
      <c r="C344" s="12" t="s">
        <v>109</v>
      </c>
      <c r="D344" t="s">
        <v>4</v>
      </c>
      <c r="E344" t="s">
        <v>12</v>
      </c>
      <c r="F344" t="s">
        <v>16</v>
      </c>
      <c r="G344" t="s">
        <v>180</v>
      </c>
      <c r="H344" s="94">
        <v>3</v>
      </c>
      <c r="I344" t="s">
        <v>107</v>
      </c>
      <c r="J344" t="s">
        <v>13</v>
      </c>
    </row>
    <row r="345" spans="1:10" x14ac:dyDescent="0.25">
      <c r="A345" t="s">
        <v>131</v>
      </c>
      <c r="B345" t="s">
        <v>14</v>
      </c>
      <c r="C345" s="12" t="s">
        <v>109</v>
      </c>
      <c r="D345" t="s">
        <v>4</v>
      </c>
      <c r="E345" t="s">
        <v>12</v>
      </c>
      <c r="F345" t="s">
        <v>16</v>
      </c>
      <c r="G345" t="s">
        <v>180</v>
      </c>
      <c r="H345" s="94">
        <v>3</v>
      </c>
      <c r="I345" t="s">
        <v>107</v>
      </c>
      <c r="J345" t="s">
        <v>63</v>
      </c>
    </row>
    <row r="346" spans="1:10" x14ac:dyDescent="0.25">
      <c r="A346" t="s">
        <v>131</v>
      </c>
      <c r="B346" t="s">
        <v>14</v>
      </c>
      <c r="C346" s="12" t="s">
        <v>109</v>
      </c>
      <c r="D346" t="s">
        <v>4</v>
      </c>
      <c r="E346" t="s">
        <v>12</v>
      </c>
      <c r="F346" t="s">
        <v>16</v>
      </c>
      <c r="G346" t="s">
        <v>180</v>
      </c>
      <c r="H346" s="94">
        <v>3</v>
      </c>
      <c r="I346" t="s">
        <v>107</v>
      </c>
      <c r="J346" t="s">
        <v>11</v>
      </c>
    </row>
    <row r="347" spans="1:10" x14ac:dyDescent="0.25">
      <c r="A347" t="s">
        <v>131</v>
      </c>
      <c r="B347" t="s">
        <v>14</v>
      </c>
      <c r="C347" s="12" t="s">
        <v>109</v>
      </c>
      <c r="D347" t="s">
        <v>4</v>
      </c>
      <c r="E347" t="s">
        <v>12</v>
      </c>
      <c r="F347" t="s">
        <v>16</v>
      </c>
      <c r="G347" t="s">
        <v>180</v>
      </c>
      <c r="H347" s="94">
        <v>3</v>
      </c>
      <c r="I347" t="s">
        <v>62</v>
      </c>
      <c r="J347" t="s">
        <v>13</v>
      </c>
    </row>
    <row r="348" spans="1:10" x14ac:dyDescent="0.25">
      <c r="A348" t="s">
        <v>131</v>
      </c>
      <c r="B348" t="s">
        <v>14</v>
      </c>
      <c r="C348" s="12" t="s">
        <v>109</v>
      </c>
      <c r="D348" t="s">
        <v>4</v>
      </c>
      <c r="E348" t="s">
        <v>12</v>
      </c>
      <c r="F348" t="s">
        <v>16</v>
      </c>
      <c r="G348" t="s">
        <v>180</v>
      </c>
      <c r="H348" s="94">
        <v>3</v>
      </c>
      <c r="I348" t="s">
        <v>62</v>
      </c>
      <c r="J348" t="s">
        <v>63</v>
      </c>
    </row>
    <row r="349" spans="1:10" x14ac:dyDescent="0.25">
      <c r="A349" t="s">
        <v>131</v>
      </c>
      <c r="B349" t="s">
        <v>14</v>
      </c>
      <c r="C349" s="12" t="s">
        <v>109</v>
      </c>
      <c r="D349" t="s">
        <v>4</v>
      </c>
      <c r="E349" t="s">
        <v>12</v>
      </c>
      <c r="F349" t="s">
        <v>16</v>
      </c>
      <c r="G349" t="s">
        <v>180</v>
      </c>
      <c r="H349" s="94">
        <v>3</v>
      </c>
      <c r="I349" t="s">
        <v>62</v>
      </c>
      <c r="J349" t="s">
        <v>11</v>
      </c>
    </row>
    <row r="350" spans="1:10" x14ac:dyDescent="0.25">
      <c r="A350" t="s">
        <v>131</v>
      </c>
      <c r="B350" t="s">
        <v>14</v>
      </c>
      <c r="C350" s="12" t="s">
        <v>109</v>
      </c>
      <c r="D350" t="s">
        <v>4</v>
      </c>
      <c r="E350" t="s">
        <v>12</v>
      </c>
      <c r="F350" t="s">
        <v>16</v>
      </c>
      <c r="G350" t="s">
        <v>180</v>
      </c>
      <c r="H350" s="94">
        <v>3</v>
      </c>
      <c r="I350" t="s">
        <v>60</v>
      </c>
      <c r="J350" t="s">
        <v>13</v>
      </c>
    </row>
    <row r="351" spans="1:10" x14ac:dyDescent="0.25">
      <c r="A351" t="s">
        <v>131</v>
      </c>
      <c r="B351" t="s">
        <v>14</v>
      </c>
      <c r="C351" s="12" t="s">
        <v>109</v>
      </c>
      <c r="D351" t="s">
        <v>4</v>
      </c>
      <c r="E351" t="s">
        <v>12</v>
      </c>
      <c r="F351" t="s">
        <v>16</v>
      </c>
      <c r="G351" t="s">
        <v>180</v>
      </c>
      <c r="H351" s="94">
        <v>3</v>
      </c>
      <c r="I351" t="s">
        <v>60</v>
      </c>
      <c r="J351" t="s">
        <v>63</v>
      </c>
    </row>
    <row r="352" spans="1:10" x14ac:dyDescent="0.25">
      <c r="A352" t="s">
        <v>131</v>
      </c>
      <c r="B352" t="s">
        <v>14</v>
      </c>
      <c r="C352" s="12" t="s">
        <v>109</v>
      </c>
      <c r="D352" t="s">
        <v>4</v>
      </c>
      <c r="E352" t="s">
        <v>12</v>
      </c>
      <c r="F352" t="s">
        <v>16</v>
      </c>
      <c r="G352" t="s">
        <v>180</v>
      </c>
      <c r="H352" s="94">
        <v>3</v>
      </c>
      <c r="I352" t="s">
        <v>60</v>
      </c>
      <c r="J352" t="s">
        <v>11</v>
      </c>
    </row>
    <row r="353" spans="1:10" x14ac:dyDescent="0.25">
      <c r="A353" t="s">
        <v>131</v>
      </c>
      <c r="B353" t="s">
        <v>14</v>
      </c>
      <c r="C353" s="12" t="s">
        <v>109</v>
      </c>
      <c r="D353" t="s">
        <v>4</v>
      </c>
      <c r="E353" t="s">
        <v>12</v>
      </c>
      <c r="F353" t="s">
        <v>16</v>
      </c>
      <c r="G353" t="s">
        <v>180</v>
      </c>
      <c r="H353" s="94">
        <v>5</v>
      </c>
      <c r="I353" t="s">
        <v>107</v>
      </c>
      <c r="J353" t="s">
        <v>13</v>
      </c>
    </row>
    <row r="354" spans="1:10" x14ac:dyDescent="0.25">
      <c r="A354" t="s">
        <v>131</v>
      </c>
      <c r="B354" t="s">
        <v>14</v>
      </c>
      <c r="C354" s="12" t="s">
        <v>109</v>
      </c>
      <c r="D354" t="s">
        <v>4</v>
      </c>
      <c r="E354" t="s">
        <v>12</v>
      </c>
      <c r="F354" t="s">
        <v>16</v>
      </c>
      <c r="G354" t="s">
        <v>180</v>
      </c>
      <c r="H354" s="94">
        <v>5</v>
      </c>
      <c r="I354" t="s">
        <v>107</v>
      </c>
      <c r="J354" t="s">
        <v>63</v>
      </c>
    </row>
    <row r="355" spans="1:10" x14ac:dyDescent="0.25">
      <c r="A355" t="s">
        <v>131</v>
      </c>
      <c r="B355" t="s">
        <v>14</v>
      </c>
      <c r="C355" s="12" t="s">
        <v>109</v>
      </c>
      <c r="D355" t="s">
        <v>4</v>
      </c>
      <c r="E355" t="s">
        <v>12</v>
      </c>
      <c r="F355" t="s">
        <v>16</v>
      </c>
      <c r="G355" t="s">
        <v>180</v>
      </c>
      <c r="H355" s="94">
        <v>5</v>
      </c>
      <c r="I355" t="s">
        <v>107</v>
      </c>
      <c r="J355" t="s">
        <v>11</v>
      </c>
    </row>
    <row r="356" spans="1:10" x14ac:dyDescent="0.25">
      <c r="A356" t="s">
        <v>131</v>
      </c>
      <c r="B356" t="s">
        <v>14</v>
      </c>
      <c r="C356" s="12" t="s">
        <v>109</v>
      </c>
      <c r="D356" t="s">
        <v>4</v>
      </c>
      <c r="E356" t="s">
        <v>12</v>
      </c>
      <c r="F356" t="s">
        <v>16</v>
      </c>
      <c r="G356" t="s">
        <v>180</v>
      </c>
      <c r="H356" s="94">
        <v>5</v>
      </c>
      <c r="I356" t="s">
        <v>62</v>
      </c>
      <c r="J356" t="s">
        <v>13</v>
      </c>
    </row>
    <row r="357" spans="1:10" x14ac:dyDescent="0.25">
      <c r="A357" t="s">
        <v>131</v>
      </c>
      <c r="B357" t="s">
        <v>14</v>
      </c>
      <c r="C357" s="12" t="s">
        <v>109</v>
      </c>
      <c r="D357" t="s">
        <v>4</v>
      </c>
      <c r="E357" t="s">
        <v>12</v>
      </c>
      <c r="F357" t="s">
        <v>16</v>
      </c>
      <c r="G357" t="s">
        <v>180</v>
      </c>
      <c r="H357" s="94">
        <v>5</v>
      </c>
      <c r="I357" t="s">
        <v>62</v>
      </c>
      <c r="J357" t="s">
        <v>63</v>
      </c>
    </row>
    <row r="358" spans="1:10" x14ac:dyDescent="0.25">
      <c r="A358" t="s">
        <v>131</v>
      </c>
      <c r="B358" t="s">
        <v>14</v>
      </c>
      <c r="C358" s="12" t="s">
        <v>109</v>
      </c>
      <c r="D358" t="s">
        <v>4</v>
      </c>
      <c r="E358" t="s">
        <v>12</v>
      </c>
      <c r="F358" t="s">
        <v>16</v>
      </c>
      <c r="G358" t="s">
        <v>180</v>
      </c>
      <c r="H358" s="94">
        <v>5</v>
      </c>
      <c r="I358" t="s">
        <v>62</v>
      </c>
      <c r="J358" t="s">
        <v>11</v>
      </c>
    </row>
    <row r="359" spans="1:10" x14ac:dyDescent="0.25">
      <c r="A359" t="s">
        <v>131</v>
      </c>
      <c r="B359" t="s">
        <v>14</v>
      </c>
      <c r="C359" s="12" t="s">
        <v>109</v>
      </c>
      <c r="D359" t="s">
        <v>4</v>
      </c>
      <c r="E359" t="s">
        <v>12</v>
      </c>
      <c r="F359" t="s">
        <v>16</v>
      </c>
      <c r="G359" t="s">
        <v>180</v>
      </c>
      <c r="H359" s="94">
        <v>5</v>
      </c>
      <c r="I359" t="s">
        <v>60</v>
      </c>
      <c r="J359" t="s">
        <v>13</v>
      </c>
    </row>
    <row r="360" spans="1:10" x14ac:dyDescent="0.25">
      <c r="A360" t="s">
        <v>131</v>
      </c>
      <c r="B360" t="s">
        <v>14</v>
      </c>
      <c r="C360" s="12" t="s">
        <v>109</v>
      </c>
      <c r="D360" t="s">
        <v>4</v>
      </c>
      <c r="E360" t="s">
        <v>12</v>
      </c>
      <c r="F360" t="s">
        <v>16</v>
      </c>
      <c r="G360" t="s">
        <v>180</v>
      </c>
      <c r="H360" s="94">
        <v>5</v>
      </c>
      <c r="I360" t="s">
        <v>60</v>
      </c>
      <c r="J360" t="s">
        <v>63</v>
      </c>
    </row>
    <row r="361" spans="1:10" x14ac:dyDescent="0.25">
      <c r="A361" t="s">
        <v>131</v>
      </c>
      <c r="B361" t="s">
        <v>14</v>
      </c>
      <c r="C361" s="12" t="s">
        <v>109</v>
      </c>
      <c r="D361" t="s">
        <v>4</v>
      </c>
      <c r="E361" t="s">
        <v>12</v>
      </c>
      <c r="F361" t="s">
        <v>16</v>
      </c>
      <c r="G361" t="s">
        <v>180</v>
      </c>
      <c r="H361" s="94">
        <v>5</v>
      </c>
      <c r="I361" t="s">
        <v>60</v>
      </c>
      <c r="J361" t="s">
        <v>11</v>
      </c>
    </row>
    <row r="362" spans="1:10" x14ac:dyDescent="0.25">
      <c r="A362" t="s">
        <v>131</v>
      </c>
      <c r="B362" t="s">
        <v>14</v>
      </c>
      <c r="C362" s="12" t="s">
        <v>109</v>
      </c>
      <c r="D362" t="s">
        <v>4</v>
      </c>
      <c r="E362" t="s">
        <v>12</v>
      </c>
      <c r="F362" t="s">
        <v>8</v>
      </c>
      <c r="G362" t="s">
        <v>180</v>
      </c>
      <c r="H362" s="94">
        <v>3</v>
      </c>
      <c r="I362" t="s">
        <v>107</v>
      </c>
      <c r="J362" t="s">
        <v>13</v>
      </c>
    </row>
    <row r="363" spans="1:10" x14ac:dyDescent="0.25">
      <c r="A363" t="s">
        <v>131</v>
      </c>
      <c r="B363" t="s">
        <v>14</v>
      </c>
      <c r="C363" s="12" t="s">
        <v>109</v>
      </c>
      <c r="D363" t="s">
        <v>4</v>
      </c>
      <c r="E363" t="s">
        <v>12</v>
      </c>
      <c r="F363" t="s">
        <v>8</v>
      </c>
      <c r="G363" t="s">
        <v>180</v>
      </c>
      <c r="H363" s="94">
        <v>3</v>
      </c>
      <c r="I363" t="s">
        <v>107</v>
      </c>
      <c r="J363" t="s">
        <v>63</v>
      </c>
    </row>
    <row r="364" spans="1:10" x14ac:dyDescent="0.25">
      <c r="A364" t="s">
        <v>131</v>
      </c>
      <c r="B364" t="s">
        <v>14</v>
      </c>
      <c r="C364" s="12" t="s">
        <v>109</v>
      </c>
      <c r="D364" t="s">
        <v>4</v>
      </c>
      <c r="E364" t="s">
        <v>12</v>
      </c>
      <c r="F364" t="s">
        <v>8</v>
      </c>
      <c r="G364" t="s">
        <v>180</v>
      </c>
      <c r="H364" s="94">
        <v>3</v>
      </c>
      <c r="I364" t="s">
        <v>107</v>
      </c>
      <c r="J364" t="s">
        <v>11</v>
      </c>
    </row>
    <row r="365" spans="1:10" x14ac:dyDescent="0.25">
      <c r="A365" t="s">
        <v>131</v>
      </c>
      <c r="B365" t="s">
        <v>14</v>
      </c>
      <c r="C365" s="12" t="s">
        <v>109</v>
      </c>
      <c r="D365" t="s">
        <v>4</v>
      </c>
      <c r="E365" t="s">
        <v>12</v>
      </c>
      <c r="F365" t="s">
        <v>8</v>
      </c>
      <c r="G365" t="s">
        <v>180</v>
      </c>
      <c r="H365" s="94">
        <v>3</v>
      </c>
      <c r="I365" t="s">
        <v>62</v>
      </c>
      <c r="J365" t="s">
        <v>13</v>
      </c>
    </row>
    <row r="366" spans="1:10" x14ac:dyDescent="0.25">
      <c r="A366" t="s">
        <v>131</v>
      </c>
      <c r="B366" t="s">
        <v>14</v>
      </c>
      <c r="C366" s="12" t="s">
        <v>109</v>
      </c>
      <c r="D366" t="s">
        <v>4</v>
      </c>
      <c r="E366" t="s">
        <v>12</v>
      </c>
      <c r="F366" t="s">
        <v>8</v>
      </c>
      <c r="G366" t="s">
        <v>180</v>
      </c>
      <c r="H366" s="94">
        <v>3</v>
      </c>
      <c r="I366" t="s">
        <v>62</v>
      </c>
      <c r="J366" t="s">
        <v>63</v>
      </c>
    </row>
    <row r="367" spans="1:10" x14ac:dyDescent="0.25">
      <c r="A367" t="s">
        <v>131</v>
      </c>
      <c r="B367" t="s">
        <v>14</v>
      </c>
      <c r="C367" s="12" t="s">
        <v>109</v>
      </c>
      <c r="D367" t="s">
        <v>4</v>
      </c>
      <c r="E367" t="s">
        <v>12</v>
      </c>
      <c r="F367" t="s">
        <v>8</v>
      </c>
      <c r="G367" t="s">
        <v>180</v>
      </c>
      <c r="H367" s="94">
        <v>3</v>
      </c>
      <c r="I367" t="s">
        <v>62</v>
      </c>
      <c r="J367" t="s">
        <v>11</v>
      </c>
    </row>
    <row r="368" spans="1:10" x14ac:dyDescent="0.25">
      <c r="A368" t="s">
        <v>131</v>
      </c>
      <c r="B368" t="s">
        <v>14</v>
      </c>
      <c r="C368" s="12" t="s">
        <v>109</v>
      </c>
      <c r="D368" t="s">
        <v>4</v>
      </c>
      <c r="E368" t="s">
        <v>12</v>
      </c>
      <c r="F368" t="s">
        <v>8</v>
      </c>
      <c r="G368" t="s">
        <v>180</v>
      </c>
      <c r="H368" s="94">
        <v>3</v>
      </c>
      <c r="I368" t="s">
        <v>60</v>
      </c>
      <c r="J368" t="s">
        <v>13</v>
      </c>
    </row>
    <row r="369" spans="1:10" x14ac:dyDescent="0.25">
      <c r="A369" t="s">
        <v>131</v>
      </c>
      <c r="B369" t="s">
        <v>14</v>
      </c>
      <c r="C369" s="12" t="s">
        <v>109</v>
      </c>
      <c r="D369" t="s">
        <v>4</v>
      </c>
      <c r="E369" t="s">
        <v>12</v>
      </c>
      <c r="F369" t="s">
        <v>8</v>
      </c>
      <c r="G369" t="s">
        <v>180</v>
      </c>
      <c r="H369" s="94">
        <v>3</v>
      </c>
      <c r="I369" t="s">
        <v>60</v>
      </c>
      <c r="J369" t="s">
        <v>63</v>
      </c>
    </row>
    <row r="370" spans="1:10" x14ac:dyDescent="0.25">
      <c r="A370" t="s">
        <v>131</v>
      </c>
      <c r="B370" t="s">
        <v>14</v>
      </c>
      <c r="C370" s="12" t="s">
        <v>109</v>
      </c>
      <c r="D370" t="s">
        <v>4</v>
      </c>
      <c r="E370" t="s">
        <v>12</v>
      </c>
      <c r="F370" t="s">
        <v>8</v>
      </c>
      <c r="G370" t="s">
        <v>180</v>
      </c>
      <c r="H370" s="94">
        <v>3</v>
      </c>
      <c r="I370" t="s">
        <v>60</v>
      </c>
      <c r="J370" t="s">
        <v>11</v>
      </c>
    </row>
    <row r="371" spans="1:10" x14ac:dyDescent="0.25">
      <c r="A371" t="s">
        <v>131</v>
      </c>
      <c r="B371" t="s">
        <v>14</v>
      </c>
      <c r="C371" s="12" t="s">
        <v>109</v>
      </c>
      <c r="D371" t="s">
        <v>4</v>
      </c>
      <c r="E371" t="s">
        <v>12</v>
      </c>
      <c r="F371" t="s">
        <v>8</v>
      </c>
      <c r="G371" t="s">
        <v>180</v>
      </c>
      <c r="H371" s="94">
        <v>5</v>
      </c>
      <c r="I371" t="s">
        <v>107</v>
      </c>
      <c r="J371" t="s">
        <v>13</v>
      </c>
    </row>
    <row r="372" spans="1:10" x14ac:dyDescent="0.25">
      <c r="A372" t="s">
        <v>131</v>
      </c>
      <c r="B372" t="s">
        <v>14</v>
      </c>
      <c r="C372" s="12" t="s">
        <v>109</v>
      </c>
      <c r="D372" t="s">
        <v>4</v>
      </c>
      <c r="E372" t="s">
        <v>12</v>
      </c>
      <c r="F372" t="s">
        <v>8</v>
      </c>
      <c r="G372" t="s">
        <v>180</v>
      </c>
      <c r="H372" s="94">
        <v>5</v>
      </c>
      <c r="I372" t="s">
        <v>107</v>
      </c>
      <c r="J372" t="s">
        <v>63</v>
      </c>
    </row>
    <row r="373" spans="1:10" x14ac:dyDescent="0.25">
      <c r="A373" t="s">
        <v>131</v>
      </c>
      <c r="B373" t="s">
        <v>14</v>
      </c>
      <c r="C373" s="12" t="s">
        <v>109</v>
      </c>
      <c r="D373" t="s">
        <v>4</v>
      </c>
      <c r="E373" t="s">
        <v>12</v>
      </c>
      <c r="F373" t="s">
        <v>8</v>
      </c>
      <c r="G373" t="s">
        <v>180</v>
      </c>
      <c r="H373" s="94">
        <v>5</v>
      </c>
      <c r="I373" t="s">
        <v>107</v>
      </c>
      <c r="J373" t="s">
        <v>11</v>
      </c>
    </row>
    <row r="374" spans="1:10" x14ac:dyDescent="0.25">
      <c r="A374" t="s">
        <v>131</v>
      </c>
      <c r="B374" t="s">
        <v>14</v>
      </c>
      <c r="C374" s="12" t="s">
        <v>109</v>
      </c>
      <c r="D374" t="s">
        <v>4</v>
      </c>
      <c r="E374" t="s">
        <v>12</v>
      </c>
      <c r="F374" t="s">
        <v>8</v>
      </c>
      <c r="G374" t="s">
        <v>180</v>
      </c>
      <c r="H374" s="94">
        <v>5</v>
      </c>
      <c r="I374" t="s">
        <v>62</v>
      </c>
      <c r="J374" t="s">
        <v>13</v>
      </c>
    </row>
    <row r="375" spans="1:10" x14ac:dyDescent="0.25">
      <c r="A375" t="s">
        <v>131</v>
      </c>
      <c r="B375" t="s">
        <v>14</v>
      </c>
      <c r="C375" s="12" t="s">
        <v>109</v>
      </c>
      <c r="D375" t="s">
        <v>4</v>
      </c>
      <c r="E375" t="s">
        <v>12</v>
      </c>
      <c r="F375" t="s">
        <v>8</v>
      </c>
      <c r="G375" t="s">
        <v>180</v>
      </c>
      <c r="H375" s="94">
        <v>5</v>
      </c>
      <c r="I375" t="s">
        <v>62</v>
      </c>
      <c r="J375" t="s">
        <v>63</v>
      </c>
    </row>
    <row r="376" spans="1:10" x14ac:dyDescent="0.25">
      <c r="A376" t="s">
        <v>131</v>
      </c>
      <c r="B376" t="s">
        <v>14</v>
      </c>
      <c r="C376" s="12" t="s">
        <v>109</v>
      </c>
      <c r="D376" t="s">
        <v>4</v>
      </c>
      <c r="E376" t="s">
        <v>12</v>
      </c>
      <c r="F376" t="s">
        <v>8</v>
      </c>
      <c r="G376" t="s">
        <v>180</v>
      </c>
      <c r="H376" s="94">
        <v>5</v>
      </c>
      <c r="I376" t="s">
        <v>62</v>
      </c>
      <c r="J376" t="s">
        <v>11</v>
      </c>
    </row>
    <row r="377" spans="1:10" x14ac:dyDescent="0.25">
      <c r="A377" t="s">
        <v>131</v>
      </c>
      <c r="B377" t="s">
        <v>14</v>
      </c>
      <c r="C377" s="12" t="s">
        <v>109</v>
      </c>
      <c r="D377" t="s">
        <v>4</v>
      </c>
      <c r="E377" t="s">
        <v>12</v>
      </c>
      <c r="F377" t="s">
        <v>8</v>
      </c>
      <c r="G377" t="s">
        <v>180</v>
      </c>
      <c r="H377" s="94">
        <v>5</v>
      </c>
      <c r="I377" t="s">
        <v>60</v>
      </c>
      <c r="J377" t="s">
        <v>13</v>
      </c>
    </row>
    <row r="378" spans="1:10" x14ac:dyDescent="0.25">
      <c r="A378" t="s">
        <v>131</v>
      </c>
      <c r="B378" t="s">
        <v>14</v>
      </c>
      <c r="C378" s="12" t="s">
        <v>109</v>
      </c>
      <c r="D378" t="s">
        <v>4</v>
      </c>
      <c r="E378" t="s">
        <v>12</v>
      </c>
      <c r="F378" t="s">
        <v>8</v>
      </c>
      <c r="G378" t="s">
        <v>180</v>
      </c>
      <c r="H378" s="94">
        <v>5</v>
      </c>
      <c r="I378" t="s">
        <v>60</v>
      </c>
      <c r="J378" t="s">
        <v>63</v>
      </c>
    </row>
    <row r="379" spans="1:10" x14ac:dyDescent="0.25">
      <c r="A379" t="s">
        <v>131</v>
      </c>
      <c r="B379" t="s">
        <v>14</v>
      </c>
      <c r="C379" s="12" t="s">
        <v>109</v>
      </c>
      <c r="D379" t="s">
        <v>4</v>
      </c>
      <c r="E379" t="s">
        <v>12</v>
      </c>
      <c r="F379" t="s">
        <v>8</v>
      </c>
      <c r="G379" t="s">
        <v>180</v>
      </c>
      <c r="H379" s="94">
        <v>5</v>
      </c>
      <c r="I379" t="s">
        <v>60</v>
      </c>
      <c r="J379" t="s">
        <v>11</v>
      </c>
    </row>
    <row r="380" spans="1:10" x14ac:dyDescent="0.25">
      <c r="A380" t="s">
        <v>131</v>
      </c>
      <c r="B380" t="s">
        <v>14</v>
      </c>
      <c r="C380" s="12" t="s">
        <v>109</v>
      </c>
      <c r="D380" t="s">
        <v>4</v>
      </c>
      <c r="E380" t="s">
        <v>6</v>
      </c>
      <c r="F380" t="s">
        <v>72</v>
      </c>
      <c r="G380" t="s">
        <v>180</v>
      </c>
      <c r="H380" s="94">
        <v>3</v>
      </c>
      <c r="I380" t="s">
        <v>107</v>
      </c>
      <c r="J380" t="s">
        <v>13</v>
      </c>
    </row>
    <row r="381" spans="1:10" x14ac:dyDescent="0.25">
      <c r="A381" t="s">
        <v>131</v>
      </c>
      <c r="B381" t="s">
        <v>14</v>
      </c>
      <c r="C381" s="12" t="s">
        <v>109</v>
      </c>
      <c r="D381" t="s">
        <v>4</v>
      </c>
      <c r="E381" t="s">
        <v>6</v>
      </c>
      <c r="F381" t="s">
        <v>72</v>
      </c>
      <c r="G381" t="s">
        <v>180</v>
      </c>
      <c r="H381" s="94">
        <v>3</v>
      </c>
      <c r="I381" t="s">
        <v>107</v>
      </c>
      <c r="J381" t="s">
        <v>63</v>
      </c>
    </row>
    <row r="382" spans="1:10" x14ac:dyDescent="0.25">
      <c r="A382" t="s">
        <v>131</v>
      </c>
      <c r="B382" t="s">
        <v>14</v>
      </c>
      <c r="C382" s="12" t="s">
        <v>109</v>
      </c>
      <c r="D382" t="s">
        <v>4</v>
      </c>
      <c r="E382" t="s">
        <v>6</v>
      </c>
      <c r="F382" t="s">
        <v>72</v>
      </c>
      <c r="G382" t="s">
        <v>180</v>
      </c>
      <c r="H382" s="94">
        <v>3</v>
      </c>
      <c r="I382" t="s">
        <v>107</v>
      </c>
      <c r="J382" t="s">
        <v>11</v>
      </c>
    </row>
    <row r="383" spans="1:10" x14ac:dyDescent="0.25">
      <c r="A383" t="s">
        <v>131</v>
      </c>
      <c r="B383" t="s">
        <v>14</v>
      </c>
      <c r="C383" s="12" t="s">
        <v>109</v>
      </c>
      <c r="D383" t="s">
        <v>4</v>
      </c>
      <c r="E383" t="s">
        <v>6</v>
      </c>
      <c r="F383" t="s">
        <v>72</v>
      </c>
      <c r="G383" t="s">
        <v>180</v>
      </c>
      <c r="H383" s="94">
        <v>3</v>
      </c>
      <c r="I383" t="s">
        <v>62</v>
      </c>
      <c r="J383" t="s">
        <v>13</v>
      </c>
    </row>
    <row r="384" spans="1:10" x14ac:dyDescent="0.25">
      <c r="A384" t="s">
        <v>131</v>
      </c>
      <c r="B384" t="s">
        <v>14</v>
      </c>
      <c r="C384" s="12" t="s">
        <v>109</v>
      </c>
      <c r="D384" t="s">
        <v>4</v>
      </c>
      <c r="E384" t="s">
        <v>6</v>
      </c>
      <c r="F384" t="s">
        <v>72</v>
      </c>
      <c r="G384" t="s">
        <v>180</v>
      </c>
      <c r="H384" s="94">
        <v>3</v>
      </c>
      <c r="I384" t="s">
        <v>62</v>
      </c>
      <c r="J384" t="s">
        <v>63</v>
      </c>
    </row>
    <row r="385" spans="1:10" x14ac:dyDescent="0.25">
      <c r="A385" t="s">
        <v>131</v>
      </c>
      <c r="B385" t="s">
        <v>14</v>
      </c>
      <c r="C385" s="12" t="s">
        <v>109</v>
      </c>
      <c r="D385" t="s">
        <v>4</v>
      </c>
      <c r="E385" t="s">
        <v>6</v>
      </c>
      <c r="F385" t="s">
        <v>72</v>
      </c>
      <c r="G385" t="s">
        <v>180</v>
      </c>
      <c r="H385" s="94">
        <v>3</v>
      </c>
      <c r="I385" t="s">
        <v>62</v>
      </c>
      <c r="J385" t="s">
        <v>11</v>
      </c>
    </row>
    <row r="386" spans="1:10" x14ac:dyDescent="0.25">
      <c r="A386" t="s">
        <v>131</v>
      </c>
      <c r="B386" t="s">
        <v>14</v>
      </c>
      <c r="C386" s="12" t="s">
        <v>109</v>
      </c>
      <c r="D386" t="s">
        <v>4</v>
      </c>
      <c r="E386" t="s">
        <v>6</v>
      </c>
      <c r="F386" t="s">
        <v>72</v>
      </c>
      <c r="G386" t="s">
        <v>180</v>
      </c>
      <c r="H386" s="94">
        <v>3</v>
      </c>
      <c r="I386" t="s">
        <v>60</v>
      </c>
      <c r="J386" t="s">
        <v>13</v>
      </c>
    </row>
    <row r="387" spans="1:10" x14ac:dyDescent="0.25">
      <c r="A387" t="s">
        <v>131</v>
      </c>
      <c r="B387" t="s">
        <v>14</v>
      </c>
      <c r="C387" s="12" t="s">
        <v>109</v>
      </c>
      <c r="D387" t="s">
        <v>4</v>
      </c>
      <c r="E387" t="s">
        <v>6</v>
      </c>
      <c r="F387" t="s">
        <v>72</v>
      </c>
      <c r="G387" t="s">
        <v>180</v>
      </c>
      <c r="H387" s="94">
        <v>3</v>
      </c>
      <c r="I387" t="s">
        <v>60</v>
      </c>
      <c r="J387" t="s">
        <v>63</v>
      </c>
    </row>
    <row r="388" spans="1:10" x14ac:dyDescent="0.25">
      <c r="A388" t="s">
        <v>131</v>
      </c>
      <c r="B388" t="s">
        <v>14</v>
      </c>
      <c r="C388" s="12" t="s">
        <v>109</v>
      </c>
      <c r="D388" t="s">
        <v>4</v>
      </c>
      <c r="E388" t="s">
        <v>6</v>
      </c>
      <c r="F388" t="s">
        <v>72</v>
      </c>
      <c r="G388" t="s">
        <v>180</v>
      </c>
      <c r="H388" s="94">
        <v>3</v>
      </c>
      <c r="I388" t="s">
        <v>60</v>
      </c>
      <c r="J388" t="s">
        <v>11</v>
      </c>
    </row>
    <row r="389" spans="1:10" x14ac:dyDescent="0.25">
      <c r="A389" t="s">
        <v>131</v>
      </c>
      <c r="B389" t="s">
        <v>14</v>
      </c>
      <c r="C389" s="12" t="s">
        <v>109</v>
      </c>
      <c r="D389" t="s">
        <v>4</v>
      </c>
      <c r="E389" t="s">
        <v>6</v>
      </c>
      <c r="F389" t="s">
        <v>72</v>
      </c>
      <c r="G389" t="s">
        <v>180</v>
      </c>
      <c r="H389" s="94">
        <v>5</v>
      </c>
      <c r="I389" t="s">
        <v>107</v>
      </c>
      <c r="J389" t="s">
        <v>13</v>
      </c>
    </row>
    <row r="390" spans="1:10" x14ac:dyDescent="0.25">
      <c r="A390" t="s">
        <v>131</v>
      </c>
      <c r="B390" t="s">
        <v>14</v>
      </c>
      <c r="C390" s="12" t="s">
        <v>109</v>
      </c>
      <c r="D390" t="s">
        <v>4</v>
      </c>
      <c r="E390" t="s">
        <v>6</v>
      </c>
      <c r="F390" t="s">
        <v>72</v>
      </c>
      <c r="G390" t="s">
        <v>180</v>
      </c>
      <c r="H390" s="94">
        <v>5</v>
      </c>
      <c r="I390" t="s">
        <v>107</v>
      </c>
      <c r="J390" t="s">
        <v>63</v>
      </c>
    </row>
    <row r="391" spans="1:10" x14ac:dyDescent="0.25">
      <c r="A391" t="s">
        <v>131</v>
      </c>
      <c r="B391" t="s">
        <v>14</v>
      </c>
      <c r="C391" s="12" t="s">
        <v>109</v>
      </c>
      <c r="D391" t="s">
        <v>4</v>
      </c>
      <c r="E391" t="s">
        <v>6</v>
      </c>
      <c r="F391" t="s">
        <v>72</v>
      </c>
      <c r="G391" t="s">
        <v>180</v>
      </c>
      <c r="H391" s="94">
        <v>5</v>
      </c>
      <c r="I391" t="s">
        <v>107</v>
      </c>
      <c r="J391" t="s">
        <v>11</v>
      </c>
    </row>
    <row r="392" spans="1:10" x14ac:dyDescent="0.25">
      <c r="A392" t="s">
        <v>131</v>
      </c>
      <c r="B392" t="s">
        <v>14</v>
      </c>
      <c r="C392" s="12" t="s">
        <v>109</v>
      </c>
      <c r="D392" t="s">
        <v>4</v>
      </c>
      <c r="E392" t="s">
        <v>6</v>
      </c>
      <c r="F392" t="s">
        <v>72</v>
      </c>
      <c r="G392" t="s">
        <v>180</v>
      </c>
      <c r="H392" s="94">
        <v>5</v>
      </c>
      <c r="I392" t="s">
        <v>62</v>
      </c>
      <c r="J392" t="s">
        <v>13</v>
      </c>
    </row>
    <row r="393" spans="1:10" x14ac:dyDescent="0.25">
      <c r="A393" t="s">
        <v>131</v>
      </c>
      <c r="B393" t="s">
        <v>14</v>
      </c>
      <c r="C393" s="12" t="s">
        <v>109</v>
      </c>
      <c r="D393" t="s">
        <v>4</v>
      </c>
      <c r="E393" t="s">
        <v>6</v>
      </c>
      <c r="F393" t="s">
        <v>72</v>
      </c>
      <c r="G393" t="s">
        <v>180</v>
      </c>
      <c r="H393" s="94">
        <v>5</v>
      </c>
      <c r="I393" t="s">
        <v>62</v>
      </c>
      <c r="J393" t="s">
        <v>63</v>
      </c>
    </row>
    <row r="394" spans="1:10" x14ac:dyDescent="0.25">
      <c r="A394" t="s">
        <v>131</v>
      </c>
      <c r="B394" t="s">
        <v>14</v>
      </c>
      <c r="C394" s="12" t="s">
        <v>109</v>
      </c>
      <c r="D394" t="s">
        <v>4</v>
      </c>
      <c r="E394" t="s">
        <v>6</v>
      </c>
      <c r="F394" t="s">
        <v>72</v>
      </c>
      <c r="G394" t="s">
        <v>180</v>
      </c>
      <c r="H394" s="94">
        <v>5</v>
      </c>
      <c r="I394" t="s">
        <v>62</v>
      </c>
      <c r="J394" t="s">
        <v>11</v>
      </c>
    </row>
    <row r="395" spans="1:10" x14ac:dyDescent="0.25">
      <c r="A395" t="s">
        <v>131</v>
      </c>
      <c r="B395" t="s">
        <v>14</v>
      </c>
      <c r="C395" s="12" t="s">
        <v>109</v>
      </c>
      <c r="D395" t="s">
        <v>4</v>
      </c>
      <c r="E395" t="s">
        <v>6</v>
      </c>
      <c r="F395" t="s">
        <v>72</v>
      </c>
      <c r="G395" t="s">
        <v>180</v>
      </c>
      <c r="H395" s="94">
        <v>5</v>
      </c>
      <c r="I395" t="s">
        <v>60</v>
      </c>
      <c r="J395" t="s">
        <v>13</v>
      </c>
    </row>
    <row r="396" spans="1:10" x14ac:dyDescent="0.25">
      <c r="A396" t="s">
        <v>131</v>
      </c>
      <c r="B396" t="s">
        <v>14</v>
      </c>
      <c r="C396" s="12" t="s">
        <v>109</v>
      </c>
      <c r="D396" t="s">
        <v>4</v>
      </c>
      <c r="E396" t="s">
        <v>6</v>
      </c>
      <c r="F396" t="s">
        <v>72</v>
      </c>
      <c r="G396" t="s">
        <v>180</v>
      </c>
      <c r="H396" s="94">
        <v>5</v>
      </c>
      <c r="I396" t="s">
        <v>60</v>
      </c>
      <c r="J396" t="s">
        <v>63</v>
      </c>
    </row>
    <row r="397" spans="1:10" x14ac:dyDescent="0.25">
      <c r="A397" t="s">
        <v>131</v>
      </c>
      <c r="B397" t="s">
        <v>14</v>
      </c>
      <c r="C397" s="12" t="s">
        <v>109</v>
      </c>
      <c r="D397" t="s">
        <v>4</v>
      </c>
      <c r="E397" t="s">
        <v>6</v>
      </c>
      <c r="F397" t="s">
        <v>72</v>
      </c>
      <c r="G397" t="s">
        <v>180</v>
      </c>
      <c r="H397" s="94">
        <v>5</v>
      </c>
      <c r="I397" t="s">
        <v>60</v>
      </c>
      <c r="J397" t="s">
        <v>11</v>
      </c>
    </row>
    <row r="398" spans="1:10" x14ac:dyDescent="0.25">
      <c r="A398" t="s">
        <v>131</v>
      </c>
      <c r="B398" t="s">
        <v>14</v>
      </c>
      <c r="C398" s="12" t="s">
        <v>109</v>
      </c>
      <c r="D398" t="s">
        <v>4</v>
      </c>
      <c r="E398" t="s">
        <v>6</v>
      </c>
      <c r="F398" t="s">
        <v>16</v>
      </c>
      <c r="G398" t="s">
        <v>180</v>
      </c>
      <c r="H398" s="94">
        <v>3</v>
      </c>
      <c r="I398" t="s">
        <v>107</v>
      </c>
      <c r="J398" t="s">
        <v>13</v>
      </c>
    </row>
    <row r="399" spans="1:10" x14ac:dyDescent="0.25">
      <c r="A399" t="s">
        <v>131</v>
      </c>
      <c r="B399" t="s">
        <v>14</v>
      </c>
      <c r="C399" s="12" t="s">
        <v>109</v>
      </c>
      <c r="D399" t="s">
        <v>4</v>
      </c>
      <c r="E399" t="s">
        <v>6</v>
      </c>
      <c r="F399" t="s">
        <v>16</v>
      </c>
      <c r="G399" t="s">
        <v>180</v>
      </c>
      <c r="H399" s="94">
        <v>3</v>
      </c>
      <c r="I399" t="s">
        <v>107</v>
      </c>
      <c r="J399" t="s">
        <v>63</v>
      </c>
    </row>
    <row r="400" spans="1:10" x14ac:dyDescent="0.25">
      <c r="A400" t="s">
        <v>131</v>
      </c>
      <c r="B400" t="s">
        <v>14</v>
      </c>
      <c r="C400" s="12" t="s">
        <v>109</v>
      </c>
      <c r="D400" t="s">
        <v>4</v>
      </c>
      <c r="E400" t="s">
        <v>6</v>
      </c>
      <c r="F400" t="s">
        <v>16</v>
      </c>
      <c r="G400" t="s">
        <v>180</v>
      </c>
      <c r="H400" s="94">
        <v>3</v>
      </c>
      <c r="I400" t="s">
        <v>107</v>
      </c>
      <c r="J400" t="s">
        <v>11</v>
      </c>
    </row>
    <row r="401" spans="1:10" x14ac:dyDescent="0.25">
      <c r="A401" t="s">
        <v>131</v>
      </c>
      <c r="B401" t="s">
        <v>14</v>
      </c>
      <c r="C401" s="12" t="s">
        <v>109</v>
      </c>
      <c r="D401" t="s">
        <v>4</v>
      </c>
      <c r="E401" t="s">
        <v>6</v>
      </c>
      <c r="F401" t="s">
        <v>16</v>
      </c>
      <c r="G401" t="s">
        <v>180</v>
      </c>
      <c r="H401" s="94">
        <v>3</v>
      </c>
      <c r="I401" t="s">
        <v>62</v>
      </c>
      <c r="J401" t="s">
        <v>13</v>
      </c>
    </row>
    <row r="402" spans="1:10" x14ac:dyDescent="0.25">
      <c r="A402" t="s">
        <v>131</v>
      </c>
      <c r="B402" t="s">
        <v>14</v>
      </c>
      <c r="C402" s="12" t="s">
        <v>109</v>
      </c>
      <c r="D402" t="s">
        <v>4</v>
      </c>
      <c r="E402" t="s">
        <v>6</v>
      </c>
      <c r="F402" t="s">
        <v>16</v>
      </c>
      <c r="G402" t="s">
        <v>180</v>
      </c>
      <c r="H402" s="94">
        <v>3</v>
      </c>
      <c r="I402" t="s">
        <v>62</v>
      </c>
      <c r="J402" t="s">
        <v>63</v>
      </c>
    </row>
    <row r="403" spans="1:10" x14ac:dyDescent="0.25">
      <c r="A403" t="s">
        <v>131</v>
      </c>
      <c r="B403" t="s">
        <v>14</v>
      </c>
      <c r="C403" s="12" t="s">
        <v>109</v>
      </c>
      <c r="D403" t="s">
        <v>4</v>
      </c>
      <c r="E403" t="s">
        <v>6</v>
      </c>
      <c r="F403" t="s">
        <v>16</v>
      </c>
      <c r="G403" t="s">
        <v>180</v>
      </c>
      <c r="H403" s="94">
        <v>3</v>
      </c>
      <c r="I403" t="s">
        <v>62</v>
      </c>
      <c r="J403" t="s">
        <v>11</v>
      </c>
    </row>
    <row r="404" spans="1:10" x14ac:dyDescent="0.25">
      <c r="A404" t="s">
        <v>131</v>
      </c>
      <c r="B404" t="s">
        <v>14</v>
      </c>
      <c r="C404" s="12" t="s">
        <v>109</v>
      </c>
      <c r="D404" t="s">
        <v>4</v>
      </c>
      <c r="E404" t="s">
        <v>6</v>
      </c>
      <c r="F404" t="s">
        <v>16</v>
      </c>
      <c r="G404" t="s">
        <v>180</v>
      </c>
      <c r="H404" s="94">
        <v>3</v>
      </c>
      <c r="I404" t="s">
        <v>60</v>
      </c>
      <c r="J404" t="s">
        <v>13</v>
      </c>
    </row>
    <row r="405" spans="1:10" x14ac:dyDescent="0.25">
      <c r="A405" t="s">
        <v>131</v>
      </c>
      <c r="B405" t="s">
        <v>14</v>
      </c>
      <c r="C405" s="12" t="s">
        <v>109</v>
      </c>
      <c r="D405" t="s">
        <v>4</v>
      </c>
      <c r="E405" t="s">
        <v>6</v>
      </c>
      <c r="F405" t="s">
        <v>16</v>
      </c>
      <c r="G405" t="s">
        <v>180</v>
      </c>
      <c r="H405" s="94">
        <v>3</v>
      </c>
      <c r="I405" t="s">
        <v>60</v>
      </c>
      <c r="J405" t="s">
        <v>63</v>
      </c>
    </row>
    <row r="406" spans="1:10" x14ac:dyDescent="0.25">
      <c r="A406" t="s">
        <v>131</v>
      </c>
      <c r="B406" t="s">
        <v>14</v>
      </c>
      <c r="C406" s="12" t="s">
        <v>109</v>
      </c>
      <c r="D406" t="s">
        <v>4</v>
      </c>
      <c r="E406" t="s">
        <v>6</v>
      </c>
      <c r="F406" t="s">
        <v>16</v>
      </c>
      <c r="G406" t="s">
        <v>180</v>
      </c>
      <c r="H406" s="94">
        <v>3</v>
      </c>
      <c r="I406" t="s">
        <v>60</v>
      </c>
      <c r="J406" t="s">
        <v>11</v>
      </c>
    </row>
    <row r="407" spans="1:10" x14ac:dyDescent="0.25">
      <c r="A407" t="s">
        <v>131</v>
      </c>
      <c r="B407" t="s">
        <v>14</v>
      </c>
      <c r="C407" s="12" t="s">
        <v>109</v>
      </c>
      <c r="D407" t="s">
        <v>4</v>
      </c>
      <c r="E407" t="s">
        <v>6</v>
      </c>
      <c r="F407" t="s">
        <v>16</v>
      </c>
      <c r="G407" t="s">
        <v>180</v>
      </c>
      <c r="H407" s="94">
        <v>5</v>
      </c>
      <c r="I407" t="s">
        <v>107</v>
      </c>
      <c r="J407" t="s">
        <v>13</v>
      </c>
    </row>
    <row r="408" spans="1:10" x14ac:dyDescent="0.25">
      <c r="A408" t="s">
        <v>131</v>
      </c>
      <c r="B408" t="s">
        <v>14</v>
      </c>
      <c r="C408" s="12" t="s">
        <v>109</v>
      </c>
      <c r="D408" t="s">
        <v>4</v>
      </c>
      <c r="E408" t="s">
        <v>6</v>
      </c>
      <c r="F408" t="s">
        <v>16</v>
      </c>
      <c r="G408" t="s">
        <v>180</v>
      </c>
      <c r="H408" s="94">
        <v>5</v>
      </c>
      <c r="I408" t="s">
        <v>107</v>
      </c>
      <c r="J408" t="s">
        <v>63</v>
      </c>
    </row>
    <row r="409" spans="1:10" x14ac:dyDescent="0.25">
      <c r="A409" t="s">
        <v>131</v>
      </c>
      <c r="B409" t="s">
        <v>14</v>
      </c>
      <c r="C409" s="12" t="s">
        <v>109</v>
      </c>
      <c r="D409" t="s">
        <v>4</v>
      </c>
      <c r="E409" t="s">
        <v>6</v>
      </c>
      <c r="F409" t="s">
        <v>16</v>
      </c>
      <c r="G409" t="s">
        <v>180</v>
      </c>
      <c r="H409" s="94">
        <v>5</v>
      </c>
      <c r="I409" t="s">
        <v>107</v>
      </c>
      <c r="J409" t="s">
        <v>11</v>
      </c>
    </row>
    <row r="410" spans="1:10" x14ac:dyDescent="0.25">
      <c r="A410" t="s">
        <v>131</v>
      </c>
      <c r="B410" t="s">
        <v>14</v>
      </c>
      <c r="C410" s="12" t="s">
        <v>109</v>
      </c>
      <c r="D410" t="s">
        <v>4</v>
      </c>
      <c r="E410" t="s">
        <v>6</v>
      </c>
      <c r="F410" t="s">
        <v>16</v>
      </c>
      <c r="G410" t="s">
        <v>180</v>
      </c>
      <c r="H410" s="94">
        <v>5</v>
      </c>
      <c r="I410" t="s">
        <v>62</v>
      </c>
      <c r="J410" t="s">
        <v>13</v>
      </c>
    </row>
    <row r="411" spans="1:10" x14ac:dyDescent="0.25">
      <c r="A411" t="s">
        <v>131</v>
      </c>
      <c r="B411" t="s">
        <v>14</v>
      </c>
      <c r="C411" s="12" t="s">
        <v>109</v>
      </c>
      <c r="D411" t="s">
        <v>4</v>
      </c>
      <c r="E411" t="s">
        <v>6</v>
      </c>
      <c r="F411" t="s">
        <v>16</v>
      </c>
      <c r="G411" t="s">
        <v>180</v>
      </c>
      <c r="H411" s="94">
        <v>5</v>
      </c>
      <c r="I411" t="s">
        <v>62</v>
      </c>
      <c r="J411" t="s">
        <v>63</v>
      </c>
    </row>
    <row r="412" spans="1:10" x14ac:dyDescent="0.25">
      <c r="A412" t="s">
        <v>131</v>
      </c>
      <c r="B412" t="s">
        <v>14</v>
      </c>
      <c r="C412" s="12" t="s">
        <v>109</v>
      </c>
      <c r="D412" t="s">
        <v>4</v>
      </c>
      <c r="E412" t="s">
        <v>6</v>
      </c>
      <c r="F412" t="s">
        <v>16</v>
      </c>
      <c r="G412" t="s">
        <v>180</v>
      </c>
      <c r="H412" s="94">
        <v>5</v>
      </c>
      <c r="I412" t="s">
        <v>62</v>
      </c>
      <c r="J412" t="s">
        <v>11</v>
      </c>
    </row>
    <row r="413" spans="1:10" x14ac:dyDescent="0.25">
      <c r="A413" t="s">
        <v>131</v>
      </c>
      <c r="B413" t="s">
        <v>14</v>
      </c>
      <c r="C413" s="12" t="s">
        <v>109</v>
      </c>
      <c r="D413" t="s">
        <v>4</v>
      </c>
      <c r="E413" t="s">
        <v>6</v>
      </c>
      <c r="F413" t="s">
        <v>16</v>
      </c>
      <c r="G413" t="s">
        <v>180</v>
      </c>
      <c r="H413" s="94">
        <v>5</v>
      </c>
      <c r="I413" t="s">
        <v>60</v>
      </c>
      <c r="J413" t="s">
        <v>13</v>
      </c>
    </row>
    <row r="414" spans="1:10" x14ac:dyDescent="0.25">
      <c r="A414" t="s">
        <v>131</v>
      </c>
      <c r="B414" t="s">
        <v>14</v>
      </c>
      <c r="C414" s="12" t="s">
        <v>109</v>
      </c>
      <c r="D414" t="s">
        <v>4</v>
      </c>
      <c r="E414" t="s">
        <v>6</v>
      </c>
      <c r="F414" t="s">
        <v>16</v>
      </c>
      <c r="G414" t="s">
        <v>180</v>
      </c>
      <c r="H414" s="94">
        <v>5</v>
      </c>
      <c r="I414" t="s">
        <v>60</v>
      </c>
      <c r="J414" t="s">
        <v>63</v>
      </c>
    </row>
    <row r="415" spans="1:10" x14ac:dyDescent="0.25">
      <c r="A415" t="s">
        <v>131</v>
      </c>
      <c r="B415" t="s">
        <v>14</v>
      </c>
      <c r="C415" s="12" t="s">
        <v>109</v>
      </c>
      <c r="D415" t="s">
        <v>4</v>
      </c>
      <c r="E415" t="s">
        <v>6</v>
      </c>
      <c r="F415" t="s">
        <v>16</v>
      </c>
      <c r="G415" t="s">
        <v>180</v>
      </c>
      <c r="H415" s="94">
        <v>5</v>
      </c>
      <c r="I415" t="s">
        <v>60</v>
      </c>
      <c r="J415" t="s">
        <v>11</v>
      </c>
    </row>
    <row r="416" spans="1:10" x14ac:dyDescent="0.25">
      <c r="A416" t="s">
        <v>131</v>
      </c>
      <c r="B416" t="s">
        <v>14</v>
      </c>
      <c r="C416" s="12" t="s">
        <v>109</v>
      </c>
      <c r="D416" t="s">
        <v>4</v>
      </c>
      <c r="E416" t="s">
        <v>6</v>
      </c>
      <c r="F416" t="s">
        <v>8</v>
      </c>
      <c r="G416" t="s">
        <v>180</v>
      </c>
      <c r="H416" s="94">
        <v>3</v>
      </c>
      <c r="I416" t="s">
        <v>107</v>
      </c>
      <c r="J416" t="s">
        <v>13</v>
      </c>
    </row>
    <row r="417" spans="1:10" x14ac:dyDescent="0.25">
      <c r="A417" t="s">
        <v>131</v>
      </c>
      <c r="B417" t="s">
        <v>14</v>
      </c>
      <c r="C417" s="12" t="s">
        <v>109</v>
      </c>
      <c r="D417" t="s">
        <v>4</v>
      </c>
      <c r="E417" t="s">
        <v>6</v>
      </c>
      <c r="F417" t="s">
        <v>8</v>
      </c>
      <c r="G417" t="s">
        <v>180</v>
      </c>
      <c r="H417" s="94">
        <v>3</v>
      </c>
      <c r="I417" t="s">
        <v>107</v>
      </c>
      <c r="J417" t="s">
        <v>63</v>
      </c>
    </row>
    <row r="418" spans="1:10" x14ac:dyDescent="0.25">
      <c r="A418" t="s">
        <v>131</v>
      </c>
      <c r="B418" t="s">
        <v>14</v>
      </c>
      <c r="C418" s="12" t="s">
        <v>109</v>
      </c>
      <c r="D418" t="s">
        <v>4</v>
      </c>
      <c r="E418" t="s">
        <v>6</v>
      </c>
      <c r="F418" t="s">
        <v>8</v>
      </c>
      <c r="G418" t="s">
        <v>180</v>
      </c>
      <c r="H418" s="94">
        <v>3</v>
      </c>
      <c r="I418" t="s">
        <v>107</v>
      </c>
      <c r="J418" t="s">
        <v>11</v>
      </c>
    </row>
    <row r="419" spans="1:10" x14ac:dyDescent="0.25">
      <c r="A419" t="s">
        <v>131</v>
      </c>
      <c r="B419" t="s">
        <v>14</v>
      </c>
      <c r="C419" s="12" t="s">
        <v>109</v>
      </c>
      <c r="D419" t="s">
        <v>4</v>
      </c>
      <c r="E419" t="s">
        <v>6</v>
      </c>
      <c r="F419" t="s">
        <v>8</v>
      </c>
      <c r="G419" t="s">
        <v>180</v>
      </c>
      <c r="H419" s="94">
        <v>3</v>
      </c>
      <c r="I419" t="s">
        <v>62</v>
      </c>
      <c r="J419" t="s">
        <v>13</v>
      </c>
    </row>
    <row r="420" spans="1:10" x14ac:dyDescent="0.25">
      <c r="A420" t="s">
        <v>131</v>
      </c>
      <c r="B420" t="s">
        <v>14</v>
      </c>
      <c r="C420" s="12" t="s">
        <v>109</v>
      </c>
      <c r="D420" t="s">
        <v>4</v>
      </c>
      <c r="E420" t="s">
        <v>6</v>
      </c>
      <c r="F420" t="s">
        <v>8</v>
      </c>
      <c r="G420" t="s">
        <v>180</v>
      </c>
      <c r="H420" s="94">
        <v>3</v>
      </c>
      <c r="I420" t="s">
        <v>62</v>
      </c>
      <c r="J420" t="s">
        <v>63</v>
      </c>
    </row>
    <row r="421" spans="1:10" x14ac:dyDescent="0.25">
      <c r="A421" t="s">
        <v>131</v>
      </c>
      <c r="B421" t="s">
        <v>14</v>
      </c>
      <c r="C421" s="12" t="s">
        <v>109</v>
      </c>
      <c r="D421" t="s">
        <v>4</v>
      </c>
      <c r="E421" t="s">
        <v>6</v>
      </c>
      <c r="F421" t="s">
        <v>8</v>
      </c>
      <c r="G421" t="s">
        <v>180</v>
      </c>
      <c r="H421" s="94">
        <v>3</v>
      </c>
      <c r="I421" t="s">
        <v>62</v>
      </c>
      <c r="J421" t="s">
        <v>11</v>
      </c>
    </row>
    <row r="422" spans="1:10" x14ac:dyDescent="0.25">
      <c r="A422" t="s">
        <v>131</v>
      </c>
      <c r="B422" t="s">
        <v>14</v>
      </c>
      <c r="C422" s="12" t="s">
        <v>109</v>
      </c>
      <c r="D422" t="s">
        <v>4</v>
      </c>
      <c r="E422" t="s">
        <v>6</v>
      </c>
      <c r="F422" t="s">
        <v>8</v>
      </c>
      <c r="G422" t="s">
        <v>180</v>
      </c>
      <c r="H422" s="94">
        <v>3</v>
      </c>
      <c r="I422" t="s">
        <v>60</v>
      </c>
      <c r="J422" t="s">
        <v>13</v>
      </c>
    </row>
    <row r="423" spans="1:10" x14ac:dyDescent="0.25">
      <c r="A423" t="s">
        <v>131</v>
      </c>
      <c r="B423" t="s">
        <v>14</v>
      </c>
      <c r="C423" s="12" t="s">
        <v>109</v>
      </c>
      <c r="D423" t="s">
        <v>4</v>
      </c>
      <c r="E423" t="s">
        <v>6</v>
      </c>
      <c r="F423" t="s">
        <v>8</v>
      </c>
      <c r="G423" t="s">
        <v>180</v>
      </c>
      <c r="H423" s="94">
        <v>3</v>
      </c>
      <c r="I423" t="s">
        <v>60</v>
      </c>
      <c r="J423" t="s">
        <v>63</v>
      </c>
    </row>
    <row r="424" spans="1:10" x14ac:dyDescent="0.25">
      <c r="A424" t="s">
        <v>131</v>
      </c>
      <c r="B424" t="s">
        <v>14</v>
      </c>
      <c r="C424" s="12" t="s">
        <v>109</v>
      </c>
      <c r="D424" t="s">
        <v>4</v>
      </c>
      <c r="E424" t="s">
        <v>6</v>
      </c>
      <c r="F424" t="s">
        <v>8</v>
      </c>
      <c r="G424" t="s">
        <v>180</v>
      </c>
      <c r="H424" s="94">
        <v>3</v>
      </c>
      <c r="I424" t="s">
        <v>60</v>
      </c>
      <c r="J424" t="s">
        <v>11</v>
      </c>
    </row>
    <row r="425" spans="1:10" x14ac:dyDescent="0.25">
      <c r="A425" t="s">
        <v>131</v>
      </c>
      <c r="B425" t="s">
        <v>14</v>
      </c>
      <c r="C425" s="12" t="s">
        <v>109</v>
      </c>
      <c r="D425" t="s">
        <v>4</v>
      </c>
      <c r="E425" t="s">
        <v>6</v>
      </c>
      <c r="F425" t="s">
        <v>8</v>
      </c>
      <c r="G425" t="s">
        <v>180</v>
      </c>
      <c r="H425" s="94">
        <v>5</v>
      </c>
      <c r="I425" t="s">
        <v>107</v>
      </c>
      <c r="J425" t="s">
        <v>13</v>
      </c>
    </row>
    <row r="426" spans="1:10" x14ac:dyDescent="0.25">
      <c r="A426" t="s">
        <v>131</v>
      </c>
      <c r="B426" t="s">
        <v>14</v>
      </c>
      <c r="C426" s="12" t="s">
        <v>109</v>
      </c>
      <c r="D426" t="s">
        <v>4</v>
      </c>
      <c r="E426" t="s">
        <v>6</v>
      </c>
      <c r="F426" t="s">
        <v>8</v>
      </c>
      <c r="G426" t="s">
        <v>180</v>
      </c>
      <c r="H426" s="94">
        <v>5</v>
      </c>
      <c r="I426" t="s">
        <v>107</v>
      </c>
      <c r="J426" t="s">
        <v>63</v>
      </c>
    </row>
    <row r="427" spans="1:10" x14ac:dyDescent="0.25">
      <c r="A427" t="s">
        <v>131</v>
      </c>
      <c r="B427" t="s">
        <v>14</v>
      </c>
      <c r="C427" s="12" t="s">
        <v>109</v>
      </c>
      <c r="D427" t="s">
        <v>4</v>
      </c>
      <c r="E427" t="s">
        <v>6</v>
      </c>
      <c r="F427" t="s">
        <v>8</v>
      </c>
      <c r="G427" t="s">
        <v>180</v>
      </c>
      <c r="H427" s="94">
        <v>5</v>
      </c>
      <c r="I427" t="s">
        <v>107</v>
      </c>
      <c r="J427" t="s">
        <v>11</v>
      </c>
    </row>
    <row r="428" spans="1:10" x14ac:dyDescent="0.25">
      <c r="A428" t="s">
        <v>131</v>
      </c>
      <c r="B428" t="s">
        <v>14</v>
      </c>
      <c r="C428" s="12" t="s">
        <v>109</v>
      </c>
      <c r="D428" t="s">
        <v>4</v>
      </c>
      <c r="E428" t="s">
        <v>6</v>
      </c>
      <c r="F428" t="s">
        <v>8</v>
      </c>
      <c r="G428" t="s">
        <v>180</v>
      </c>
      <c r="H428" s="94">
        <v>5</v>
      </c>
      <c r="I428" t="s">
        <v>62</v>
      </c>
      <c r="J428" t="s">
        <v>13</v>
      </c>
    </row>
    <row r="429" spans="1:10" x14ac:dyDescent="0.25">
      <c r="A429" t="s">
        <v>131</v>
      </c>
      <c r="B429" t="s">
        <v>14</v>
      </c>
      <c r="C429" s="12" t="s">
        <v>109</v>
      </c>
      <c r="D429" t="s">
        <v>4</v>
      </c>
      <c r="E429" t="s">
        <v>6</v>
      </c>
      <c r="F429" t="s">
        <v>8</v>
      </c>
      <c r="G429" t="s">
        <v>180</v>
      </c>
      <c r="H429" s="94">
        <v>5</v>
      </c>
      <c r="I429" t="s">
        <v>62</v>
      </c>
      <c r="J429" t="s">
        <v>63</v>
      </c>
    </row>
    <row r="430" spans="1:10" x14ac:dyDescent="0.25">
      <c r="A430" t="s">
        <v>131</v>
      </c>
      <c r="B430" t="s">
        <v>14</v>
      </c>
      <c r="C430" s="12" t="s">
        <v>109</v>
      </c>
      <c r="D430" t="s">
        <v>4</v>
      </c>
      <c r="E430" t="s">
        <v>6</v>
      </c>
      <c r="F430" t="s">
        <v>8</v>
      </c>
      <c r="G430" t="s">
        <v>180</v>
      </c>
      <c r="H430" s="94">
        <v>5</v>
      </c>
      <c r="I430" t="s">
        <v>62</v>
      </c>
      <c r="J430" t="s">
        <v>11</v>
      </c>
    </row>
    <row r="431" spans="1:10" x14ac:dyDescent="0.25">
      <c r="A431" t="s">
        <v>131</v>
      </c>
      <c r="B431" t="s">
        <v>14</v>
      </c>
      <c r="C431" s="12" t="s">
        <v>109</v>
      </c>
      <c r="D431" t="s">
        <v>4</v>
      </c>
      <c r="E431" t="s">
        <v>6</v>
      </c>
      <c r="F431" t="s">
        <v>8</v>
      </c>
      <c r="G431" t="s">
        <v>180</v>
      </c>
      <c r="H431" s="94">
        <v>5</v>
      </c>
      <c r="I431" t="s">
        <v>60</v>
      </c>
      <c r="J431" t="s">
        <v>13</v>
      </c>
    </row>
    <row r="432" spans="1:10" x14ac:dyDescent="0.25">
      <c r="A432" t="s">
        <v>131</v>
      </c>
      <c r="B432" t="s">
        <v>14</v>
      </c>
      <c r="C432" s="12" t="s">
        <v>109</v>
      </c>
      <c r="D432" t="s">
        <v>4</v>
      </c>
      <c r="E432" t="s">
        <v>6</v>
      </c>
      <c r="F432" t="s">
        <v>8</v>
      </c>
      <c r="G432" t="s">
        <v>180</v>
      </c>
      <c r="H432" s="94">
        <v>5</v>
      </c>
      <c r="I432" t="s">
        <v>60</v>
      </c>
      <c r="J432" t="s">
        <v>63</v>
      </c>
    </row>
    <row r="433" spans="1:10" x14ac:dyDescent="0.25">
      <c r="A433" t="s">
        <v>131</v>
      </c>
      <c r="B433" t="s">
        <v>14</v>
      </c>
      <c r="C433" s="12" t="s">
        <v>109</v>
      </c>
      <c r="D433" t="s">
        <v>4</v>
      </c>
      <c r="E433" t="s">
        <v>6</v>
      </c>
      <c r="F433" t="s">
        <v>8</v>
      </c>
      <c r="G433" t="s">
        <v>180</v>
      </c>
      <c r="H433" s="94">
        <v>5</v>
      </c>
      <c r="I433" t="s">
        <v>60</v>
      </c>
      <c r="J433" t="s">
        <v>11</v>
      </c>
    </row>
    <row r="434" spans="1:10" x14ac:dyDescent="0.25">
      <c r="A434" t="s">
        <v>131</v>
      </c>
      <c r="B434" t="s">
        <v>167</v>
      </c>
      <c r="C434" s="12" t="s">
        <v>109</v>
      </c>
      <c r="D434" t="s">
        <v>4</v>
      </c>
      <c r="E434" t="s">
        <v>12</v>
      </c>
      <c r="F434" t="s">
        <v>72</v>
      </c>
      <c r="G434" t="s">
        <v>180</v>
      </c>
      <c r="H434" s="94">
        <v>3</v>
      </c>
      <c r="I434" t="s">
        <v>107</v>
      </c>
      <c r="J434" t="s">
        <v>13</v>
      </c>
    </row>
    <row r="435" spans="1:10" x14ac:dyDescent="0.25">
      <c r="A435" t="s">
        <v>131</v>
      </c>
      <c r="B435" t="s">
        <v>167</v>
      </c>
      <c r="C435" s="12" t="s">
        <v>109</v>
      </c>
      <c r="D435" t="s">
        <v>4</v>
      </c>
      <c r="E435" t="s">
        <v>12</v>
      </c>
      <c r="F435" t="s">
        <v>72</v>
      </c>
      <c r="G435" t="s">
        <v>180</v>
      </c>
      <c r="H435" s="94">
        <v>3</v>
      </c>
      <c r="I435" t="s">
        <v>107</v>
      </c>
      <c r="J435" t="s">
        <v>63</v>
      </c>
    </row>
    <row r="436" spans="1:10" x14ac:dyDescent="0.25">
      <c r="A436" t="s">
        <v>131</v>
      </c>
      <c r="B436" t="s">
        <v>167</v>
      </c>
      <c r="C436" s="12" t="s">
        <v>109</v>
      </c>
      <c r="D436" t="s">
        <v>4</v>
      </c>
      <c r="E436" t="s">
        <v>12</v>
      </c>
      <c r="F436" t="s">
        <v>72</v>
      </c>
      <c r="G436" t="s">
        <v>180</v>
      </c>
      <c r="H436" s="94">
        <v>3</v>
      </c>
      <c r="I436" t="s">
        <v>107</v>
      </c>
      <c r="J436" t="s">
        <v>11</v>
      </c>
    </row>
    <row r="437" spans="1:10" x14ac:dyDescent="0.25">
      <c r="A437" t="s">
        <v>131</v>
      </c>
      <c r="B437" t="s">
        <v>167</v>
      </c>
      <c r="C437" s="12" t="s">
        <v>109</v>
      </c>
      <c r="D437" t="s">
        <v>4</v>
      </c>
      <c r="E437" t="s">
        <v>12</v>
      </c>
      <c r="F437" t="s">
        <v>72</v>
      </c>
      <c r="G437" t="s">
        <v>180</v>
      </c>
      <c r="H437" s="94">
        <v>3</v>
      </c>
      <c r="I437" t="s">
        <v>62</v>
      </c>
      <c r="J437" t="s">
        <v>13</v>
      </c>
    </row>
    <row r="438" spans="1:10" x14ac:dyDescent="0.25">
      <c r="A438" t="s">
        <v>131</v>
      </c>
      <c r="B438" t="s">
        <v>167</v>
      </c>
      <c r="C438" s="12" t="s">
        <v>109</v>
      </c>
      <c r="D438" t="s">
        <v>4</v>
      </c>
      <c r="E438" t="s">
        <v>12</v>
      </c>
      <c r="F438" t="s">
        <v>72</v>
      </c>
      <c r="G438" t="s">
        <v>180</v>
      </c>
      <c r="H438" s="94">
        <v>3</v>
      </c>
      <c r="I438" t="s">
        <v>62</v>
      </c>
      <c r="J438" t="s">
        <v>63</v>
      </c>
    </row>
    <row r="439" spans="1:10" x14ac:dyDescent="0.25">
      <c r="A439" t="s">
        <v>131</v>
      </c>
      <c r="B439" t="s">
        <v>167</v>
      </c>
      <c r="C439" s="12" t="s">
        <v>109</v>
      </c>
      <c r="D439" t="s">
        <v>4</v>
      </c>
      <c r="E439" t="s">
        <v>12</v>
      </c>
      <c r="F439" t="s">
        <v>72</v>
      </c>
      <c r="G439" t="s">
        <v>180</v>
      </c>
      <c r="H439" s="94">
        <v>3</v>
      </c>
      <c r="I439" t="s">
        <v>62</v>
      </c>
      <c r="J439" t="s">
        <v>11</v>
      </c>
    </row>
    <row r="440" spans="1:10" x14ac:dyDescent="0.25">
      <c r="A440" t="s">
        <v>131</v>
      </c>
      <c r="B440" t="s">
        <v>167</v>
      </c>
      <c r="C440" s="12" t="s">
        <v>109</v>
      </c>
      <c r="D440" t="s">
        <v>4</v>
      </c>
      <c r="E440" t="s">
        <v>12</v>
      </c>
      <c r="F440" t="s">
        <v>72</v>
      </c>
      <c r="G440" t="s">
        <v>180</v>
      </c>
      <c r="H440" s="94">
        <v>3</v>
      </c>
      <c r="I440" t="s">
        <v>60</v>
      </c>
      <c r="J440" t="s">
        <v>13</v>
      </c>
    </row>
    <row r="441" spans="1:10" x14ac:dyDescent="0.25">
      <c r="A441" t="s">
        <v>131</v>
      </c>
      <c r="B441" t="s">
        <v>167</v>
      </c>
      <c r="C441" s="12" t="s">
        <v>109</v>
      </c>
      <c r="D441" t="s">
        <v>4</v>
      </c>
      <c r="E441" t="s">
        <v>12</v>
      </c>
      <c r="F441" t="s">
        <v>72</v>
      </c>
      <c r="G441" t="s">
        <v>180</v>
      </c>
      <c r="H441" s="94">
        <v>3</v>
      </c>
      <c r="I441" t="s">
        <v>60</v>
      </c>
      <c r="J441" t="s">
        <v>63</v>
      </c>
    </row>
    <row r="442" spans="1:10" x14ac:dyDescent="0.25">
      <c r="A442" t="s">
        <v>131</v>
      </c>
      <c r="B442" t="s">
        <v>167</v>
      </c>
      <c r="C442" s="12" t="s">
        <v>109</v>
      </c>
      <c r="D442" t="s">
        <v>4</v>
      </c>
      <c r="E442" t="s">
        <v>12</v>
      </c>
      <c r="F442" t="s">
        <v>72</v>
      </c>
      <c r="G442" t="s">
        <v>180</v>
      </c>
      <c r="H442" s="94">
        <v>3</v>
      </c>
      <c r="I442" t="s">
        <v>60</v>
      </c>
      <c r="J442" t="s">
        <v>11</v>
      </c>
    </row>
    <row r="443" spans="1:10" x14ac:dyDescent="0.25">
      <c r="A443" t="s">
        <v>131</v>
      </c>
      <c r="B443" t="s">
        <v>167</v>
      </c>
      <c r="C443" s="12" t="s">
        <v>109</v>
      </c>
      <c r="D443" t="s">
        <v>4</v>
      </c>
      <c r="E443" t="s">
        <v>12</v>
      </c>
      <c r="F443" t="s">
        <v>72</v>
      </c>
      <c r="G443" t="s">
        <v>180</v>
      </c>
      <c r="H443" s="94">
        <v>5</v>
      </c>
      <c r="I443" t="s">
        <v>107</v>
      </c>
      <c r="J443" t="s">
        <v>13</v>
      </c>
    </row>
    <row r="444" spans="1:10" x14ac:dyDescent="0.25">
      <c r="A444" t="s">
        <v>131</v>
      </c>
      <c r="B444" t="s">
        <v>167</v>
      </c>
      <c r="C444" s="12" t="s">
        <v>109</v>
      </c>
      <c r="D444" t="s">
        <v>4</v>
      </c>
      <c r="E444" t="s">
        <v>12</v>
      </c>
      <c r="F444" t="s">
        <v>72</v>
      </c>
      <c r="G444" t="s">
        <v>180</v>
      </c>
      <c r="H444" s="94">
        <v>5</v>
      </c>
      <c r="I444" t="s">
        <v>107</v>
      </c>
      <c r="J444" t="s">
        <v>63</v>
      </c>
    </row>
    <row r="445" spans="1:10" x14ac:dyDescent="0.25">
      <c r="A445" t="s">
        <v>131</v>
      </c>
      <c r="B445" t="s">
        <v>167</v>
      </c>
      <c r="C445" s="12" t="s">
        <v>109</v>
      </c>
      <c r="D445" t="s">
        <v>4</v>
      </c>
      <c r="E445" t="s">
        <v>12</v>
      </c>
      <c r="F445" t="s">
        <v>72</v>
      </c>
      <c r="G445" t="s">
        <v>180</v>
      </c>
      <c r="H445" s="94">
        <v>5</v>
      </c>
      <c r="I445" t="s">
        <v>107</v>
      </c>
      <c r="J445" t="s">
        <v>11</v>
      </c>
    </row>
    <row r="446" spans="1:10" x14ac:dyDescent="0.25">
      <c r="A446" t="s">
        <v>131</v>
      </c>
      <c r="B446" t="s">
        <v>167</v>
      </c>
      <c r="C446" s="12" t="s">
        <v>109</v>
      </c>
      <c r="D446" t="s">
        <v>4</v>
      </c>
      <c r="E446" t="s">
        <v>12</v>
      </c>
      <c r="F446" t="s">
        <v>72</v>
      </c>
      <c r="G446" t="s">
        <v>180</v>
      </c>
      <c r="H446" s="94">
        <v>5</v>
      </c>
      <c r="I446" t="s">
        <v>62</v>
      </c>
      <c r="J446" t="s">
        <v>13</v>
      </c>
    </row>
    <row r="447" spans="1:10" x14ac:dyDescent="0.25">
      <c r="A447" t="s">
        <v>131</v>
      </c>
      <c r="B447" t="s">
        <v>167</v>
      </c>
      <c r="C447" s="12" t="s">
        <v>109</v>
      </c>
      <c r="D447" t="s">
        <v>4</v>
      </c>
      <c r="E447" t="s">
        <v>12</v>
      </c>
      <c r="F447" t="s">
        <v>72</v>
      </c>
      <c r="G447" t="s">
        <v>180</v>
      </c>
      <c r="H447" s="94">
        <v>5</v>
      </c>
      <c r="I447" t="s">
        <v>62</v>
      </c>
      <c r="J447" t="s">
        <v>63</v>
      </c>
    </row>
    <row r="448" spans="1:10" x14ac:dyDescent="0.25">
      <c r="A448" t="s">
        <v>131</v>
      </c>
      <c r="B448" t="s">
        <v>167</v>
      </c>
      <c r="C448" s="12" t="s">
        <v>109</v>
      </c>
      <c r="D448" t="s">
        <v>4</v>
      </c>
      <c r="E448" t="s">
        <v>12</v>
      </c>
      <c r="F448" t="s">
        <v>72</v>
      </c>
      <c r="G448" t="s">
        <v>180</v>
      </c>
      <c r="H448" s="94">
        <v>5</v>
      </c>
      <c r="I448" t="s">
        <v>62</v>
      </c>
      <c r="J448" t="s">
        <v>11</v>
      </c>
    </row>
    <row r="449" spans="1:10" x14ac:dyDescent="0.25">
      <c r="A449" t="s">
        <v>131</v>
      </c>
      <c r="B449" t="s">
        <v>167</v>
      </c>
      <c r="C449" s="12" t="s">
        <v>109</v>
      </c>
      <c r="D449" t="s">
        <v>4</v>
      </c>
      <c r="E449" t="s">
        <v>12</v>
      </c>
      <c r="F449" t="s">
        <v>72</v>
      </c>
      <c r="G449" t="s">
        <v>180</v>
      </c>
      <c r="H449" s="94">
        <v>5</v>
      </c>
      <c r="I449" t="s">
        <v>60</v>
      </c>
      <c r="J449" t="s">
        <v>13</v>
      </c>
    </row>
    <row r="450" spans="1:10" x14ac:dyDescent="0.25">
      <c r="A450" t="s">
        <v>131</v>
      </c>
      <c r="B450" t="s">
        <v>167</v>
      </c>
      <c r="C450" s="12" t="s">
        <v>109</v>
      </c>
      <c r="D450" t="s">
        <v>4</v>
      </c>
      <c r="E450" t="s">
        <v>12</v>
      </c>
      <c r="F450" t="s">
        <v>72</v>
      </c>
      <c r="G450" t="s">
        <v>180</v>
      </c>
      <c r="H450" s="94">
        <v>5</v>
      </c>
      <c r="I450" t="s">
        <v>60</v>
      </c>
      <c r="J450" t="s">
        <v>63</v>
      </c>
    </row>
    <row r="451" spans="1:10" x14ac:dyDescent="0.25">
      <c r="A451" t="s">
        <v>131</v>
      </c>
      <c r="B451" t="s">
        <v>167</v>
      </c>
      <c r="C451" s="12" t="s">
        <v>109</v>
      </c>
      <c r="D451" t="s">
        <v>4</v>
      </c>
      <c r="E451" t="s">
        <v>12</v>
      </c>
      <c r="F451" t="s">
        <v>72</v>
      </c>
      <c r="G451" t="s">
        <v>180</v>
      </c>
      <c r="H451" s="94">
        <v>5</v>
      </c>
      <c r="I451" t="s">
        <v>60</v>
      </c>
      <c r="J451" t="s">
        <v>11</v>
      </c>
    </row>
    <row r="452" spans="1:10" x14ac:dyDescent="0.25">
      <c r="A452" t="s">
        <v>131</v>
      </c>
      <c r="B452" t="s">
        <v>167</v>
      </c>
      <c r="C452" s="12" t="s">
        <v>109</v>
      </c>
      <c r="D452" t="s">
        <v>4</v>
      </c>
      <c r="E452" t="s">
        <v>12</v>
      </c>
      <c r="F452" t="s">
        <v>16</v>
      </c>
      <c r="G452" t="s">
        <v>180</v>
      </c>
      <c r="H452" s="94">
        <v>3</v>
      </c>
      <c r="I452" t="s">
        <v>107</v>
      </c>
      <c r="J452" t="s">
        <v>13</v>
      </c>
    </row>
    <row r="453" spans="1:10" x14ac:dyDescent="0.25">
      <c r="A453" t="s">
        <v>131</v>
      </c>
      <c r="B453" t="s">
        <v>167</v>
      </c>
      <c r="C453" s="12" t="s">
        <v>109</v>
      </c>
      <c r="D453" t="s">
        <v>4</v>
      </c>
      <c r="E453" t="s">
        <v>12</v>
      </c>
      <c r="F453" t="s">
        <v>16</v>
      </c>
      <c r="G453" t="s">
        <v>180</v>
      </c>
      <c r="H453" s="94">
        <v>3</v>
      </c>
      <c r="I453" t="s">
        <v>107</v>
      </c>
      <c r="J453" t="s">
        <v>63</v>
      </c>
    </row>
    <row r="454" spans="1:10" x14ac:dyDescent="0.25">
      <c r="A454" t="s">
        <v>131</v>
      </c>
      <c r="B454" t="s">
        <v>167</v>
      </c>
      <c r="C454" s="12" t="s">
        <v>109</v>
      </c>
      <c r="D454" t="s">
        <v>4</v>
      </c>
      <c r="E454" t="s">
        <v>12</v>
      </c>
      <c r="F454" t="s">
        <v>16</v>
      </c>
      <c r="G454" t="s">
        <v>180</v>
      </c>
      <c r="H454" s="94">
        <v>3</v>
      </c>
      <c r="I454" t="s">
        <v>107</v>
      </c>
      <c r="J454" t="s">
        <v>11</v>
      </c>
    </row>
    <row r="455" spans="1:10" x14ac:dyDescent="0.25">
      <c r="A455" t="s">
        <v>131</v>
      </c>
      <c r="B455" t="s">
        <v>167</v>
      </c>
      <c r="C455" s="12" t="s">
        <v>109</v>
      </c>
      <c r="D455" t="s">
        <v>4</v>
      </c>
      <c r="E455" t="s">
        <v>12</v>
      </c>
      <c r="F455" t="s">
        <v>16</v>
      </c>
      <c r="G455" t="s">
        <v>180</v>
      </c>
      <c r="H455" s="94">
        <v>3</v>
      </c>
      <c r="I455" t="s">
        <v>62</v>
      </c>
      <c r="J455" t="s">
        <v>13</v>
      </c>
    </row>
    <row r="456" spans="1:10" x14ac:dyDescent="0.25">
      <c r="A456" t="s">
        <v>131</v>
      </c>
      <c r="B456" t="s">
        <v>167</v>
      </c>
      <c r="C456" s="12" t="s">
        <v>109</v>
      </c>
      <c r="D456" t="s">
        <v>4</v>
      </c>
      <c r="E456" t="s">
        <v>12</v>
      </c>
      <c r="F456" t="s">
        <v>16</v>
      </c>
      <c r="G456" t="s">
        <v>180</v>
      </c>
      <c r="H456" s="94">
        <v>3</v>
      </c>
      <c r="I456" t="s">
        <v>62</v>
      </c>
      <c r="J456" t="s">
        <v>63</v>
      </c>
    </row>
    <row r="457" spans="1:10" x14ac:dyDescent="0.25">
      <c r="A457" t="s">
        <v>131</v>
      </c>
      <c r="B457" t="s">
        <v>167</v>
      </c>
      <c r="C457" s="12" t="s">
        <v>109</v>
      </c>
      <c r="D457" t="s">
        <v>4</v>
      </c>
      <c r="E457" t="s">
        <v>12</v>
      </c>
      <c r="F457" t="s">
        <v>16</v>
      </c>
      <c r="G457" t="s">
        <v>180</v>
      </c>
      <c r="H457" s="94">
        <v>3</v>
      </c>
      <c r="I457" t="s">
        <v>62</v>
      </c>
      <c r="J457" t="s">
        <v>11</v>
      </c>
    </row>
    <row r="458" spans="1:10" x14ac:dyDescent="0.25">
      <c r="A458" t="s">
        <v>131</v>
      </c>
      <c r="B458" t="s">
        <v>167</v>
      </c>
      <c r="C458" s="12" t="s">
        <v>109</v>
      </c>
      <c r="D458" t="s">
        <v>4</v>
      </c>
      <c r="E458" t="s">
        <v>12</v>
      </c>
      <c r="F458" t="s">
        <v>16</v>
      </c>
      <c r="G458" t="s">
        <v>180</v>
      </c>
      <c r="H458" s="94">
        <v>3</v>
      </c>
      <c r="I458" t="s">
        <v>60</v>
      </c>
      <c r="J458" t="s">
        <v>13</v>
      </c>
    </row>
    <row r="459" spans="1:10" x14ac:dyDescent="0.25">
      <c r="A459" t="s">
        <v>131</v>
      </c>
      <c r="B459" t="s">
        <v>167</v>
      </c>
      <c r="C459" s="12" t="s">
        <v>109</v>
      </c>
      <c r="D459" t="s">
        <v>4</v>
      </c>
      <c r="E459" t="s">
        <v>12</v>
      </c>
      <c r="F459" t="s">
        <v>16</v>
      </c>
      <c r="G459" t="s">
        <v>180</v>
      </c>
      <c r="H459" s="94">
        <v>3</v>
      </c>
      <c r="I459" t="s">
        <v>60</v>
      </c>
      <c r="J459" t="s">
        <v>63</v>
      </c>
    </row>
    <row r="460" spans="1:10" x14ac:dyDescent="0.25">
      <c r="A460" t="s">
        <v>131</v>
      </c>
      <c r="B460" t="s">
        <v>167</v>
      </c>
      <c r="C460" s="12" t="s">
        <v>109</v>
      </c>
      <c r="D460" t="s">
        <v>4</v>
      </c>
      <c r="E460" t="s">
        <v>12</v>
      </c>
      <c r="F460" t="s">
        <v>16</v>
      </c>
      <c r="G460" t="s">
        <v>180</v>
      </c>
      <c r="H460" s="94">
        <v>3</v>
      </c>
      <c r="I460" t="s">
        <v>60</v>
      </c>
      <c r="J460" t="s">
        <v>11</v>
      </c>
    </row>
    <row r="461" spans="1:10" x14ac:dyDescent="0.25">
      <c r="A461" t="s">
        <v>131</v>
      </c>
      <c r="B461" t="s">
        <v>167</v>
      </c>
      <c r="C461" s="12" t="s">
        <v>109</v>
      </c>
      <c r="D461" t="s">
        <v>4</v>
      </c>
      <c r="E461" t="s">
        <v>12</v>
      </c>
      <c r="F461" t="s">
        <v>16</v>
      </c>
      <c r="G461" t="s">
        <v>180</v>
      </c>
      <c r="H461" s="94">
        <v>5</v>
      </c>
      <c r="I461" t="s">
        <v>107</v>
      </c>
      <c r="J461" t="s">
        <v>13</v>
      </c>
    </row>
    <row r="462" spans="1:10" x14ac:dyDescent="0.25">
      <c r="A462" t="s">
        <v>131</v>
      </c>
      <c r="B462" t="s">
        <v>167</v>
      </c>
      <c r="C462" s="12" t="s">
        <v>109</v>
      </c>
      <c r="D462" t="s">
        <v>4</v>
      </c>
      <c r="E462" t="s">
        <v>12</v>
      </c>
      <c r="F462" t="s">
        <v>16</v>
      </c>
      <c r="G462" t="s">
        <v>180</v>
      </c>
      <c r="H462" s="94">
        <v>5</v>
      </c>
      <c r="I462" t="s">
        <v>107</v>
      </c>
      <c r="J462" t="s">
        <v>63</v>
      </c>
    </row>
    <row r="463" spans="1:10" x14ac:dyDescent="0.25">
      <c r="A463" t="s">
        <v>131</v>
      </c>
      <c r="B463" t="s">
        <v>167</v>
      </c>
      <c r="C463" s="12" t="s">
        <v>109</v>
      </c>
      <c r="D463" t="s">
        <v>4</v>
      </c>
      <c r="E463" t="s">
        <v>12</v>
      </c>
      <c r="F463" t="s">
        <v>16</v>
      </c>
      <c r="G463" t="s">
        <v>180</v>
      </c>
      <c r="H463" s="94">
        <v>5</v>
      </c>
      <c r="I463" t="s">
        <v>107</v>
      </c>
      <c r="J463" t="s">
        <v>11</v>
      </c>
    </row>
    <row r="464" spans="1:10" x14ac:dyDescent="0.25">
      <c r="A464" t="s">
        <v>131</v>
      </c>
      <c r="B464" t="s">
        <v>167</v>
      </c>
      <c r="C464" s="12" t="s">
        <v>109</v>
      </c>
      <c r="D464" t="s">
        <v>4</v>
      </c>
      <c r="E464" t="s">
        <v>12</v>
      </c>
      <c r="F464" t="s">
        <v>16</v>
      </c>
      <c r="G464" t="s">
        <v>180</v>
      </c>
      <c r="H464" s="94">
        <v>5</v>
      </c>
      <c r="I464" t="s">
        <v>62</v>
      </c>
      <c r="J464" t="s">
        <v>13</v>
      </c>
    </row>
    <row r="465" spans="1:10" x14ac:dyDescent="0.25">
      <c r="A465" t="s">
        <v>131</v>
      </c>
      <c r="B465" t="s">
        <v>167</v>
      </c>
      <c r="C465" s="12" t="s">
        <v>109</v>
      </c>
      <c r="D465" t="s">
        <v>4</v>
      </c>
      <c r="E465" t="s">
        <v>12</v>
      </c>
      <c r="F465" t="s">
        <v>16</v>
      </c>
      <c r="G465" t="s">
        <v>180</v>
      </c>
      <c r="H465" s="94">
        <v>5</v>
      </c>
      <c r="I465" t="s">
        <v>62</v>
      </c>
      <c r="J465" t="s">
        <v>63</v>
      </c>
    </row>
    <row r="466" spans="1:10" x14ac:dyDescent="0.25">
      <c r="A466" t="s">
        <v>131</v>
      </c>
      <c r="B466" t="s">
        <v>167</v>
      </c>
      <c r="C466" s="12" t="s">
        <v>109</v>
      </c>
      <c r="D466" t="s">
        <v>4</v>
      </c>
      <c r="E466" t="s">
        <v>12</v>
      </c>
      <c r="F466" t="s">
        <v>16</v>
      </c>
      <c r="G466" t="s">
        <v>180</v>
      </c>
      <c r="H466" s="94">
        <v>5</v>
      </c>
      <c r="I466" t="s">
        <v>62</v>
      </c>
      <c r="J466" t="s">
        <v>11</v>
      </c>
    </row>
    <row r="467" spans="1:10" x14ac:dyDescent="0.25">
      <c r="A467" t="s">
        <v>131</v>
      </c>
      <c r="B467" t="s">
        <v>167</v>
      </c>
      <c r="C467" s="12" t="s">
        <v>109</v>
      </c>
      <c r="D467" t="s">
        <v>4</v>
      </c>
      <c r="E467" t="s">
        <v>12</v>
      </c>
      <c r="F467" t="s">
        <v>16</v>
      </c>
      <c r="G467" t="s">
        <v>180</v>
      </c>
      <c r="H467" s="94">
        <v>5</v>
      </c>
      <c r="I467" t="s">
        <v>60</v>
      </c>
      <c r="J467" t="s">
        <v>13</v>
      </c>
    </row>
    <row r="468" spans="1:10" x14ac:dyDescent="0.25">
      <c r="A468" t="s">
        <v>131</v>
      </c>
      <c r="B468" t="s">
        <v>167</v>
      </c>
      <c r="C468" s="12" t="s">
        <v>109</v>
      </c>
      <c r="D468" t="s">
        <v>4</v>
      </c>
      <c r="E468" t="s">
        <v>12</v>
      </c>
      <c r="F468" t="s">
        <v>16</v>
      </c>
      <c r="G468" t="s">
        <v>180</v>
      </c>
      <c r="H468" s="94">
        <v>5</v>
      </c>
      <c r="I468" t="s">
        <v>60</v>
      </c>
      <c r="J468" t="s">
        <v>63</v>
      </c>
    </row>
    <row r="469" spans="1:10" x14ac:dyDescent="0.25">
      <c r="A469" t="s">
        <v>131</v>
      </c>
      <c r="B469" t="s">
        <v>167</v>
      </c>
      <c r="C469" s="12" t="s">
        <v>109</v>
      </c>
      <c r="D469" t="s">
        <v>4</v>
      </c>
      <c r="E469" t="s">
        <v>12</v>
      </c>
      <c r="F469" t="s">
        <v>16</v>
      </c>
      <c r="G469" t="s">
        <v>180</v>
      </c>
      <c r="H469" s="94">
        <v>5</v>
      </c>
      <c r="I469" t="s">
        <v>60</v>
      </c>
      <c r="J469" t="s">
        <v>11</v>
      </c>
    </row>
    <row r="470" spans="1:10" x14ac:dyDescent="0.25">
      <c r="A470" t="s">
        <v>131</v>
      </c>
      <c r="B470" t="s">
        <v>167</v>
      </c>
      <c r="C470" s="12" t="s">
        <v>109</v>
      </c>
      <c r="D470" t="s">
        <v>4</v>
      </c>
      <c r="E470" t="s">
        <v>12</v>
      </c>
      <c r="F470" t="s">
        <v>8</v>
      </c>
      <c r="G470" t="s">
        <v>180</v>
      </c>
      <c r="H470" s="94">
        <v>3</v>
      </c>
      <c r="I470" t="s">
        <v>107</v>
      </c>
      <c r="J470" t="s">
        <v>13</v>
      </c>
    </row>
    <row r="471" spans="1:10" x14ac:dyDescent="0.25">
      <c r="A471" t="s">
        <v>131</v>
      </c>
      <c r="B471" t="s">
        <v>167</v>
      </c>
      <c r="C471" s="12" t="s">
        <v>109</v>
      </c>
      <c r="D471" t="s">
        <v>4</v>
      </c>
      <c r="E471" t="s">
        <v>12</v>
      </c>
      <c r="F471" t="s">
        <v>8</v>
      </c>
      <c r="G471" t="s">
        <v>180</v>
      </c>
      <c r="H471" s="94">
        <v>3</v>
      </c>
      <c r="I471" t="s">
        <v>107</v>
      </c>
      <c r="J471" t="s">
        <v>63</v>
      </c>
    </row>
    <row r="472" spans="1:10" x14ac:dyDescent="0.25">
      <c r="A472" t="s">
        <v>131</v>
      </c>
      <c r="B472" t="s">
        <v>167</v>
      </c>
      <c r="C472" s="12" t="s">
        <v>109</v>
      </c>
      <c r="D472" t="s">
        <v>4</v>
      </c>
      <c r="E472" t="s">
        <v>12</v>
      </c>
      <c r="F472" t="s">
        <v>8</v>
      </c>
      <c r="G472" t="s">
        <v>180</v>
      </c>
      <c r="H472" s="94">
        <v>3</v>
      </c>
      <c r="I472" t="s">
        <v>107</v>
      </c>
      <c r="J472" t="s">
        <v>11</v>
      </c>
    </row>
    <row r="473" spans="1:10" x14ac:dyDescent="0.25">
      <c r="A473" t="s">
        <v>131</v>
      </c>
      <c r="B473" t="s">
        <v>167</v>
      </c>
      <c r="C473" s="12" t="s">
        <v>109</v>
      </c>
      <c r="D473" t="s">
        <v>4</v>
      </c>
      <c r="E473" t="s">
        <v>12</v>
      </c>
      <c r="F473" t="s">
        <v>8</v>
      </c>
      <c r="G473" t="s">
        <v>180</v>
      </c>
      <c r="H473" s="94">
        <v>3</v>
      </c>
      <c r="I473" t="s">
        <v>62</v>
      </c>
      <c r="J473" t="s">
        <v>13</v>
      </c>
    </row>
    <row r="474" spans="1:10" x14ac:dyDescent="0.25">
      <c r="A474" t="s">
        <v>131</v>
      </c>
      <c r="B474" t="s">
        <v>167</v>
      </c>
      <c r="C474" s="12" t="s">
        <v>109</v>
      </c>
      <c r="D474" t="s">
        <v>4</v>
      </c>
      <c r="E474" t="s">
        <v>12</v>
      </c>
      <c r="F474" t="s">
        <v>8</v>
      </c>
      <c r="G474" t="s">
        <v>180</v>
      </c>
      <c r="H474" s="94">
        <v>3</v>
      </c>
      <c r="I474" t="s">
        <v>62</v>
      </c>
      <c r="J474" t="s">
        <v>63</v>
      </c>
    </row>
    <row r="475" spans="1:10" x14ac:dyDescent="0.25">
      <c r="A475" t="s">
        <v>131</v>
      </c>
      <c r="B475" t="s">
        <v>167</v>
      </c>
      <c r="C475" s="12" t="s">
        <v>109</v>
      </c>
      <c r="D475" t="s">
        <v>4</v>
      </c>
      <c r="E475" t="s">
        <v>12</v>
      </c>
      <c r="F475" t="s">
        <v>8</v>
      </c>
      <c r="G475" t="s">
        <v>180</v>
      </c>
      <c r="H475" s="94">
        <v>3</v>
      </c>
      <c r="I475" t="s">
        <v>62</v>
      </c>
      <c r="J475" t="s">
        <v>11</v>
      </c>
    </row>
    <row r="476" spans="1:10" x14ac:dyDescent="0.25">
      <c r="A476" t="s">
        <v>131</v>
      </c>
      <c r="B476" t="s">
        <v>167</v>
      </c>
      <c r="C476" s="12" t="s">
        <v>109</v>
      </c>
      <c r="D476" t="s">
        <v>4</v>
      </c>
      <c r="E476" t="s">
        <v>12</v>
      </c>
      <c r="F476" t="s">
        <v>8</v>
      </c>
      <c r="G476" t="s">
        <v>180</v>
      </c>
      <c r="H476" s="94">
        <v>3</v>
      </c>
      <c r="I476" t="s">
        <v>60</v>
      </c>
      <c r="J476" t="s">
        <v>13</v>
      </c>
    </row>
    <row r="477" spans="1:10" x14ac:dyDescent="0.25">
      <c r="A477" t="s">
        <v>131</v>
      </c>
      <c r="B477" t="s">
        <v>167</v>
      </c>
      <c r="C477" s="12" t="s">
        <v>109</v>
      </c>
      <c r="D477" t="s">
        <v>4</v>
      </c>
      <c r="E477" t="s">
        <v>12</v>
      </c>
      <c r="F477" t="s">
        <v>8</v>
      </c>
      <c r="G477" t="s">
        <v>180</v>
      </c>
      <c r="H477" s="94">
        <v>3</v>
      </c>
      <c r="I477" t="s">
        <v>60</v>
      </c>
      <c r="J477" t="s">
        <v>63</v>
      </c>
    </row>
    <row r="478" spans="1:10" x14ac:dyDescent="0.25">
      <c r="A478" t="s">
        <v>131</v>
      </c>
      <c r="B478" t="s">
        <v>167</v>
      </c>
      <c r="C478" s="12" t="s">
        <v>109</v>
      </c>
      <c r="D478" t="s">
        <v>4</v>
      </c>
      <c r="E478" t="s">
        <v>12</v>
      </c>
      <c r="F478" t="s">
        <v>8</v>
      </c>
      <c r="G478" t="s">
        <v>180</v>
      </c>
      <c r="H478" s="94">
        <v>3</v>
      </c>
      <c r="I478" t="s">
        <v>60</v>
      </c>
      <c r="J478" t="s">
        <v>11</v>
      </c>
    </row>
    <row r="479" spans="1:10" x14ac:dyDescent="0.25">
      <c r="A479" t="s">
        <v>131</v>
      </c>
      <c r="B479" t="s">
        <v>167</v>
      </c>
      <c r="C479" s="12" t="s">
        <v>109</v>
      </c>
      <c r="D479" t="s">
        <v>4</v>
      </c>
      <c r="E479" t="s">
        <v>12</v>
      </c>
      <c r="F479" t="s">
        <v>8</v>
      </c>
      <c r="G479" t="s">
        <v>180</v>
      </c>
      <c r="H479" s="94">
        <v>5</v>
      </c>
      <c r="I479" t="s">
        <v>107</v>
      </c>
      <c r="J479" t="s">
        <v>13</v>
      </c>
    </row>
    <row r="480" spans="1:10" x14ac:dyDescent="0.25">
      <c r="A480" t="s">
        <v>131</v>
      </c>
      <c r="B480" t="s">
        <v>167</v>
      </c>
      <c r="C480" s="12" t="s">
        <v>109</v>
      </c>
      <c r="D480" t="s">
        <v>4</v>
      </c>
      <c r="E480" t="s">
        <v>12</v>
      </c>
      <c r="F480" t="s">
        <v>8</v>
      </c>
      <c r="G480" t="s">
        <v>180</v>
      </c>
      <c r="H480" s="94">
        <v>5</v>
      </c>
      <c r="I480" t="s">
        <v>107</v>
      </c>
      <c r="J480" t="s">
        <v>63</v>
      </c>
    </row>
    <row r="481" spans="1:10" x14ac:dyDescent="0.25">
      <c r="A481" t="s">
        <v>131</v>
      </c>
      <c r="B481" t="s">
        <v>167</v>
      </c>
      <c r="C481" s="12" t="s">
        <v>109</v>
      </c>
      <c r="D481" t="s">
        <v>4</v>
      </c>
      <c r="E481" t="s">
        <v>12</v>
      </c>
      <c r="F481" t="s">
        <v>8</v>
      </c>
      <c r="G481" t="s">
        <v>180</v>
      </c>
      <c r="H481" s="94">
        <v>5</v>
      </c>
      <c r="I481" t="s">
        <v>107</v>
      </c>
      <c r="J481" t="s">
        <v>11</v>
      </c>
    </row>
    <row r="482" spans="1:10" x14ac:dyDescent="0.25">
      <c r="A482" t="s">
        <v>131</v>
      </c>
      <c r="B482" t="s">
        <v>167</v>
      </c>
      <c r="C482" s="12" t="s">
        <v>109</v>
      </c>
      <c r="D482" t="s">
        <v>4</v>
      </c>
      <c r="E482" t="s">
        <v>12</v>
      </c>
      <c r="F482" t="s">
        <v>8</v>
      </c>
      <c r="G482" t="s">
        <v>180</v>
      </c>
      <c r="H482" s="94">
        <v>5</v>
      </c>
      <c r="I482" t="s">
        <v>62</v>
      </c>
      <c r="J482" t="s">
        <v>13</v>
      </c>
    </row>
    <row r="483" spans="1:10" x14ac:dyDescent="0.25">
      <c r="A483" t="s">
        <v>131</v>
      </c>
      <c r="B483" t="s">
        <v>167</v>
      </c>
      <c r="C483" s="12" t="s">
        <v>109</v>
      </c>
      <c r="D483" t="s">
        <v>4</v>
      </c>
      <c r="E483" t="s">
        <v>12</v>
      </c>
      <c r="F483" t="s">
        <v>8</v>
      </c>
      <c r="G483" t="s">
        <v>180</v>
      </c>
      <c r="H483" s="94">
        <v>5</v>
      </c>
      <c r="I483" t="s">
        <v>62</v>
      </c>
      <c r="J483" t="s">
        <v>63</v>
      </c>
    </row>
    <row r="484" spans="1:10" x14ac:dyDescent="0.25">
      <c r="A484" t="s">
        <v>131</v>
      </c>
      <c r="B484" t="s">
        <v>167</v>
      </c>
      <c r="C484" s="12" t="s">
        <v>109</v>
      </c>
      <c r="D484" t="s">
        <v>4</v>
      </c>
      <c r="E484" t="s">
        <v>12</v>
      </c>
      <c r="F484" t="s">
        <v>8</v>
      </c>
      <c r="G484" t="s">
        <v>180</v>
      </c>
      <c r="H484" s="94">
        <v>5</v>
      </c>
      <c r="I484" t="s">
        <v>62</v>
      </c>
      <c r="J484" t="s">
        <v>11</v>
      </c>
    </row>
    <row r="485" spans="1:10" x14ac:dyDescent="0.25">
      <c r="A485" t="s">
        <v>131</v>
      </c>
      <c r="B485" t="s">
        <v>167</v>
      </c>
      <c r="C485" s="12" t="s">
        <v>109</v>
      </c>
      <c r="D485" t="s">
        <v>4</v>
      </c>
      <c r="E485" t="s">
        <v>12</v>
      </c>
      <c r="F485" t="s">
        <v>8</v>
      </c>
      <c r="G485" t="s">
        <v>180</v>
      </c>
      <c r="H485" s="94">
        <v>5</v>
      </c>
      <c r="I485" t="s">
        <v>60</v>
      </c>
      <c r="J485" t="s">
        <v>13</v>
      </c>
    </row>
    <row r="486" spans="1:10" x14ac:dyDescent="0.25">
      <c r="A486" t="s">
        <v>131</v>
      </c>
      <c r="B486" t="s">
        <v>167</v>
      </c>
      <c r="C486" s="12" t="s">
        <v>109</v>
      </c>
      <c r="D486" t="s">
        <v>4</v>
      </c>
      <c r="E486" t="s">
        <v>12</v>
      </c>
      <c r="F486" t="s">
        <v>8</v>
      </c>
      <c r="G486" t="s">
        <v>180</v>
      </c>
      <c r="H486" s="94">
        <v>5</v>
      </c>
      <c r="I486" t="s">
        <v>60</v>
      </c>
      <c r="J486" t="s">
        <v>63</v>
      </c>
    </row>
    <row r="487" spans="1:10" x14ac:dyDescent="0.25">
      <c r="A487" t="s">
        <v>131</v>
      </c>
      <c r="B487" t="s">
        <v>167</v>
      </c>
      <c r="C487" s="12" t="s">
        <v>109</v>
      </c>
      <c r="D487" t="s">
        <v>4</v>
      </c>
      <c r="E487" t="s">
        <v>12</v>
      </c>
      <c r="F487" t="s">
        <v>8</v>
      </c>
      <c r="G487" t="s">
        <v>180</v>
      </c>
      <c r="H487" s="94">
        <v>5</v>
      </c>
      <c r="I487" t="s">
        <v>60</v>
      </c>
      <c r="J487" t="s">
        <v>11</v>
      </c>
    </row>
    <row r="488" spans="1:10" x14ac:dyDescent="0.25">
      <c r="A488" t="s">
        <v>131</v>
      </c>
      <c r="B488" t="s">
        <v>167</v>
      </c>
      <c r="C488" s="12" t="s">
        <v>109</v>
      </c>
      <c r="D488" t="s">
        <v>4</v>
      </c>
      <c r="E488" t="s">
        <v>6</v>
      </c>
      <c r="F488" t="s">
        <v>72</v>
      </c>
      <c r="G488" t="s">
        <v>180</v>
      </c>
      <c r="H488" s="94">
        <v>3</v>
      </c>
      <c r="I488" t="s">
        <v>107</v>
      </c>
      <c r="J488" t="s">
        <v>13</v>
      </c>
    </row>
    <row r="489" spans="1:10" x14ac:dyDescent="0.25">
      <c r="A489" t="s">
        <v>131</v>
      </c>
      <c r="B489" t="s">
        <v>167</v>
      </c>
      <c r="C489" s="12" t="s">
        <v>109</v>
      </c>
      <c r="D489" t="s">
        <v>4</v>
      </c>
      <c r="E489" t="s">
        <v>6</v>
      </c>
      <c r="F489" t="s">
        <v>72</v>
      </c>
      <c r="G489" t="s">
        <v>180</v>
      </c>
      <c r="H489" s="94">
        <v>3</v>
      </c>
      <c r="I489" t="s">
        <v>107</v>
      </c>
      <c r="J489" t="s">
        <v>63</v>
      </c>
    </row>
    <row r="490" spans="1:10" x14ac:dyDescent="0.25">
      <c r="A490" t="s">
        <v>131</v>
      </c>
      <c r="B490" t="s">
        <v>167</v>
      </c>
      <c r="C490" s="12" t="s">
        <v>109</v>
      </c>
      <c r="D490" t="s">
        <v>4</v>
      </c>
      <c r="E490" t="s">
        <v>6</v>
      </c>
      <c r="F490" t="s">
        <v>72</v>
      </c>
      <c r="G490" t="s">
        <v>180</v>
      </c>
      <c r="H490" s="94">
        <v>3</v>
      </c>
      <c r="I490" t="s">
        <v>107</v>
      </c>
      <c r="J490" t="s">
        <v>11</v>
      </c>
    </row>
    <row r="491" spans="1:10" x14ac:dyDescent="0.25">
      <c r="A491" t="s">
        <v>131</v>
      </c>
      <c r="B491" t="s">
        <v>167</v>
      </c>
      <c r="C491" s="12" t="s">
        <v>109</v>
      </c>
      <c r="D491" t="s">
        <v>4</v>
      </c>
      <c r="E491" t="s">
        <v>6</v>
      </c>
      <c r="F491" t="s">
        <v>72</v>
      </c>
      <c r="G491" t="s">
        <v>180</v>
      </c>
      <c r="H491" s="94">
        <v>3</v>
      </c>
      <c r="I491" t="s">
        <v>62</v>
      </c>
      <c r="J491" t="s">
        <v>13</v>
      </c>
    </row>
    <row r="492" spans="1:10" x14ac:dyDescent="0.25">
      <c r="A492" t="s">
        <v>131</v>
      </c>
      <c r="B492" t="s">
        <v>167</v>
      </c>
      <c r="C492" s="12" t="s">
        <v>109</v>
      </c>
      <c r="D492" t="s">
        <v>4</v>
      </c>
      <c r="E492" t="s">
        <v>6</v>
      </c>
      <c r="F492" t="s">
        <v>72</v>
      </c>
      <c r="G492" t="s">
        <v>180</v>
      </c>
      <c r="H492" s="94">
        <v>3</v>
      </c>
      <c r="I492" t="s">
        <v>62</v>
      </c>
      <c r="J492" t="s">
        <v>63</v>
      </c>
    </row>
    <row r="493" spans="1:10" x14ac:dyDescent="0.25">
      <c r="A493" t="s">
        <v>131</v>
      </c>
      <c r="B493" t="s">
        <v>167</v>
      </c>
      <c r="C493" s="12" t="s">
        <v>109</v>
      </c>
      <c r="D493" t="s">
        <v>4</v>
      </c>
      <c r="E493" t="s">
        <v>6</v>
      </c>
      <c r="F493" t="s">
        <v>72</v>
      </c>
      <c r="G493" t="s">
        <v>180</v>
      </c>
      <c r="H493" s="94">
        <v>3</v>
      </c>
      <c r="I493" t="s">
        <v>62</v>
      </c>
      <c r="J493" t="s">
        <v>11</v>
      </c>
    </row>
    <row r="494" spans="1:10" x14ac:dyDescent="0.25">
      <c r="A494" t="s">
        <v>131</v>
      </c>
      <c r="B494" t="s">
        <v>167</v>
      </c>
      <c r="C494" s="12" t="s">
        <v>109</v>
      </c>
      <c r="D494" t="s">
        <v>4</v>
      </c>
      <c r="E494" t="s">
        <v>6</v>
      </c>
      <c r="F494" t="s">
        <v>72</v>
      </c>
      <c r="G494" t="s">
        <v>180</v>
      </c>
      <c r="H494" s="94">
        <v>3</v>
      </c>
      <c r="I494" t="s">
        <v>60</v>
      </c>
      <c r="J494" t="s">
        <v>13</v>
      </c>
    </row>
    <row r="495" spans="1:10" x14ac:dyDescent="0.25">
      <c r="A495" t="s">
        <v>131</v>
      </c>
      <c r="B495" t="s">
        <v>167</v>
      </c>
      <c r="C495" s="12" t="s">
        <v>109</v>
      </c>
      <c r="D495" t="s">
        <v>4</v>
      </c>
      <c r="E495" t="s">
        <v>6</v>
      </c>
      <c r="F495" t="s">
        <v>72</v>
      </c>
      <c r="G495" t="s">
        <v>180</v>
      </c>
      <c r="H495" s="94">
        <v>3</v>
      </c>
      <c r="I495" t="s">
        <v>60</v>
      </c>
      <c r="J495" t="s">
        <v>63</v>
      </c>
    </row>
    <row r="496" spans="1:10" x14ac:dyDescent="0.25">
      <c r="A496" t="s">
        <v>131</v>
      </c>
      <c r="B496" t="s">
        <v>167</v>
      </c>
      <c r="C496" s="12" t="s">
        <v>109</v>
      </c>
      <c r="D496" t="s">
        <v>4</v>
      </c>
      <c r="E496" t="s">
        <v>6</v>
      </c>
      <c r="F496" t="s">
        <v>72</v>
      </c>
      <c r="G496" t="s">
        <v>180</v>
      </c>
      <c r="H496" s="94">
        <v>3</v>
      </c>
      <c r="I496" t="s">
        <v>60</v>
      </c>
      <c r="J496" t="s">
        <v>11</v>
      </c>
    </row>
    <row r="497" spans="1:10" x14ac:dyDescent="0.25">
      <c r="A497" t="s">
        <v>131</v>
      </c>
      <c r="B497" t="s">
        <v>167</v>
      </c>
      <c r="C497" s="12" t="s">
        <v>109</v>
      </c>
      <c r="D497" t="s">
        <v>4</v>
      </c>
      <c r="E497" t="s">
        <v>6</v>
      </c>
      <c r="F497" t="s">
        <v>72</v>
      </c>
      <c r="G497" t="s">
        <v>180</v>
      </c>
      <c r="H497" s="94">
        <v>5</v>
      </c>
      <c r="I497" t="s">
        <v>107</v>
      </c>
      <c r="J497" t="s">
        <v>13</v>
      </c>
    </row>
    <row r="498" spans="1:10" x14ac:dyDescent="0.25">
      <c r="A498" t="s">
        <v>131</v>
      </c>
      <c r="B498" t="s">
        <v>167</v>
      </c>
      <c r="C498" s="12" t="s">
        <v>109</v>
      </c>
      <c r="D498" t="s">
        <v>4</v>
      </c>
      <c r="E498" t="s">
        <v>6</v>
      </c>
      <c r="F498" t="s">
        <v>72</v>
      </c>
      <c r="G498" t="s">
        <v>180</v>
      </c>
      <c r="H498" s="94">
        <v>5</v>
      </c>
      <c r="I498" t="s">
        <v>107</v>
      </c>
      <c r="J498" t="s">
        <v>63</v>
      </c>
    </row>
    <row r="499" spans="1:10" x14ac:dyDescent="0.25">
      <c r="A499" t="s">
        <v>131</v>
      </c>
      <c r="B499" t="s">
        <v>167</v>
      </c>
      <c r="C499" s="12" t="s">
        <v>109</v>
      </c>
      <c r="D499" t="s">
        <v>4</v>
      </c>
      <c r="E499" t="s">
        <v>6</v>
      </c>
      <c r="F499" t="s">
        <v>72</v>
      </c>
      <c r="G499" t="s">
        <v>180</v>
      </c>
      <c r="H499" s="94">
        <v>5</v>
      </c>
      <c r="I499" t="s">
        <v>107</v>
      </c>
      <c r="J499" t="s">
        <v>11</v>
      </c>
    </row>
    <row r="500" spans="1:10" x14ac:dyDescent="0.25">
      <c r="A500" t="s">
        <v>131</v>
      </c>
      <c r="B500" t="s">
        <v>167</v>
      </c>
      <c r="C500" s="12" t="s">
        <v>109</v>
      </c>
      <c r="D500" t="s">
        <v>4</v>
      </c>
      <c r="E500" t="s">
        <v>6</v>
      </c>
      <c r="F500" t="s">
        <v>72</v>
      </c>
      <c r="G500" t="s">
        <v>180</v>
      </c>
      <c r="H500" s="94">
        <v>5</v>
      </c>
      <c r="I500" t="s">
        <v>62</v>
      </c>
      <c r="J500" t="s">
        <v>13</v>
      </c>
    </row>
    <row r="501" spans="1:10" x14ac:dyDescent="0.25">
      <c r="A501" t="s">
        <v>131</v>
      </c>
      <c r="B501" t="s">
        <v>167</v>
      </c>
      <c r="C501" s="12" t="s">
        <v>109</v>
      </c>
      <c r="D501" t="s">
        <v>4</v>
      </c>
      <c r="E501" t="s">
        <v>6</v>
      </c>
      <c r="F501" t="s">
        <v>72</v>
      </c>
      <c r="G501" t="s">
        <v>180</v>
      </c>
      <c r="H501" s="94">
        <v>5</v>
      </c>
      <c r="I501" t="s">
        <v>62</v>
      </c>
      <c r="J501" t="s">
        <v>63</v>
      </c>
    </row>
    <row r="502" spans="1:10" x14ac:dyDescent="0.25">
      <c r="A502" t="s">
        <v>131</v>
      </c>
      <c r="B502" t="s">
        <v>167</v>
      </c>
      <c r="C502" s="12" t="s">
        <v>109</v>
      </c>
      <c r="D502" t="s">
        <v>4</v>
      </c>
      <c r="E502" t="s">
        <v>6</v>
      </c>
      <c r="F502" t="s">
        <v>72</v>
      </c>
      <c r="G502" t="s">
        <v>180</v>
      </c>
      <c r="H502" s="94">
        <v>5</v>
      </c>
      <c r="I502" t="s">
        <v>62</v>
      </c>
      <c r="J502" t="s">
        <v>11</v>
      </c>
    </row>
    <row r="503" spans="1:10" x14ac:dyDescent="0.25">
      <c r="A503" t="s">
        <v>131</v>
      </c>
      <c r="B503" t="s">
        <v>167</v>
      </c>
      <c r="C503" s="12" t="s">
        <v>109</v>
      </c>
      <c r="D503" t="s">
        <v>4</v>
      </c>
      <c r="E503" t="s">
        <v>6</v>
      </c>
      <c r="F503" t="s">
        <v>72</v>
      </c>
      <c r="G503" t="s">
        <v>180</v>
      </c>
      <c r="H503" s="94">
        <v>5</v>
      </c>
      <c r="I503" t="s">
        <v>60</v>
      </c>
      <c r="J503" t="s">
        <v>13</v>
      </c>
    </row>
    <row r="504" spans="1:10" x14ac:dyDescent="0.25">
      <c r="A504" t="s">
        <v>131</v>
      </c>
      <c r="B504" t="s">
        <v>167</v>
      </c>
      <c r="C504" s="12" t="s">
        <v>109</v>
      </c>
      <c r="D504" t="s">
        <v>4</v>
      </c>
      <c r="E504" t="s">
        <v>6</v>
      </c>
      <c r="F504" t="s">
        <v>72</v>
      </c>
      <c r="G504" t="s">
        <v>180</v>
      </c>
      <c r="H504" s="94">
        <v>5</v>
      </c>
      <c r="I504" t="s">
        <v>60</v>
      </c>
      <c r="J504" t="s">
        <v>63</v>
      </c>
    </row>
    <row r="505" spans="1:10" x14ac:dyDescent="0.25">
      <c r="A505" t="s">
        <v>131</v>
      </c>
      <c r="B505" t="s">
        <v>167</v>
      </c>
      <c r="C505" s="12" t="s">
        <v>109</v>
      </c>
      <c r="D505" t="s">
        <v>4</v>
      </c>
      <c r="E505" t="s">
        <v>6</v>
      </c>
      <c r="F505" t="s">
        <v>72</v>
      </c>
      <c r="G505" t="s">
        <v>180</v>
      </c>
      <c r="H505" s="94">
        <v>5</v>
      </c>
      <c r="I505" t="s">
        <v>60</v>
      </c>
      <c r="J505" t="s">
        <v>11</v>
      </c>
    </row>
    <row r="506" spans="1:10" x14ac:dyDescent="0.25">
      <c r="A506" t="s">
        <v>131</v>
      </c>
      <c r="B506" t="s">
        <v>167</v>
      </c>
      <c r="C506" s="12" t="s">
        <v>109</v>
      </c>
      <c r="D506" t="s">
        <v>4</v>
      </c>
      <c r="E506" t="s">
        <v>6</v>
      </c>
      <c r="F506" t="s">
        <v>16</v>
      </c>
      <c r="G506" t="s">
        <v>180</v>
      </c>
      <c r="H506" s="94">
        <v>3</v>
      </c>
      <c r="I506" t="s">
        <v>107</v>
      </c>
      <c r="J506" t="s">
        <v>13</v>
      </c>
    </row>
    <row r="507" spans="1:10" x14ac:dyDescent="0.25">
      <c r="A507" t="s">
        <v>131</v>
      </c>
      <c r="B507" t="s">
        <v>167</v>
      </c>
      <c r="C507" s="12" t="s">
        <v>109</v>
      </c>
      <c r="D507" t="s">
        <v>4</v>
      </c>
      <c r="E507" t="s">
        <v>6</v>
      </c>
      <c r="F507" t="s">
        <v>16</v>
      </c>
      <c r="G507" t="s">
        <v>180</v>
      </c>
      <c r="H507" s="94">
        <v>3</v>
      </c>
      <c r="I507" t="s">
        <v>107</v>
      </c>
      <c r="J507" t="s">
        <v>63</v>
      </c>
    </row>
    <row r="508" spans="1:10" x14ac:dyDescent="0.25">
      <c r="A508" t="s">
        <v>131</v>
      </c>
      <c r="B508" t="s">
        <v>167</v>
      </c>
      <c r="C508" s="12" t="s">
        <v>109</v>
      </c>
      <c r="D508" t="s">
        <v>4</v>
      </c>
      <c r="E508" t="s">
        <v>6</v>
      </c>
      <c r="F508" t="s">
        <v>16</v>
      </c>
      <c r="G508" t="s">
        <v>180</v>
      </c>
      <c r="H508" s="94">
        <v>3</v>
      </c>
      <c r="I508" t="s">
        <v>107</v>
      </c>
      <c r="J508" t="s">
        <v>11</v>
      </c>
    </row>
    <row r="509" spans="1:10" x14ac:dyDescent="0.25">
      <c r="A509" t="s">
        <v>131</v>
      </c>
      <c r="B509" t="s">
        <v>167</v>
      </c>
      <c r="C509" s="12" t="s">
        <v>109</v>
      </c>
      <c r="D509" t="s">
        <v>4</v>
      </c>
      <c r="E509" t="s">
        <v>6</v>
      </c>
      <c r="F509" t="s">
        <v>16</v>
      </c>
      <c r="G509" t="s">
        <v>180</v>
      </c>
      <c r="H509" s="94">
        <v>3</v>
      </c>
      <c r="I509" t="s">
        <v>62</v>
      </c>
      <c r="J509" t="s">
        <v>13</v>
      </c>
    </row>
    <row r="510" spans="1:10" x14ac:dyDescent="0.25">
      <c r="A510" t="s">
        <v>131</v>
      </c>
      <c r="B510" t="s">
        <v>167</v>
      </c>
      <c r="C510" s="12" t="s">
        <v>109</v>
      </c>
      <c r="D510" t="s">
        <v>4</v>
      </c>
      <c r="E510" t="s">
        <v>6</v>
      </c>
      <c r="F510" t="s">
        <v>16</v>
      </c>
      <c r="G510" t="s">
        <v>180</v>
      </c>
      <c r="H510" s="94">
        <v>3</v>
      </c>
      <c r="I510" t="s">
        <v>62</v>
      </c>
      <c r="J510" t="s">
        <v>63</v>
      </c>
    </row>
    <row r="511" spans="1:10" x14ac:dyDescent="0.25">
      <c r="A511" t="s">
        <v>131</v>
      </c>
      <c r="B511" t="s">
        <v>167</v>
      </c>
      <c r="C511" s="12" t="s">
        <v>109</v>
      </c>
      <c r="D511" t="s">
        <v>4</v>
      </c>
      <c r="E511" t="s">
        <v>6</v>
      </c>
      <c r="F511" t="s">
        <v>16</v>
      </c>
      <c r="G511" t="s">
        <v>180</v>
      </c>
      <c r="H511" s="94">
        <v>3</v>
      </c>
      <c r="I511" t="s">
        <v>62</v>
      </c>
      <c r="J511" t="s">
        <v>11</v>
      </c>
    </row>
    <row r="512" spans="1:10" x14ac:dyDescent="0.25">
      <c r="A512" t="s">
        <v>131</v>
      </c>
      <c r="B512" t="s">
        <v>167</v>
      </c>
      <c r="C512" s="12" t="s">
        <v>109</v>
      </c>
      <c r="D512" t="s">
        <v>4</v>
      </c>
      <c r="E512" t="s">
        <v>6</v>
      </c>
      <c r="F512" t="s">
        <v>16</v>
      </c>
      <c r="G512" t="s">
        <v>180</v>
      </c>
      <c r="H512" s="94">
        <v>3</v>
      </c>
      <c r="I512" t="s">
        <v>60</v>
      </c>
      <c r="J512" t="s">
        <v>13</v>
      </c>
    </row>
    <row r="513" spans="1:10" x14ac:dyDescent="0.25">
      <c r="A513" t="s">
        <v>131</v>
      </c>
      <c r="B513" t="s">
        <v>167</v>
      </c>
      <c r="C513" s="12" t="s">
        <v>109</v>
      </c>
      <c r="D513" t="s">
        <v>4</v>
      </c>
      <c r="E513" t="s">
        <v>6</v>
      </c>
      <c r="F513" t="s">
        <v>16</v>
      </c>
      <c r="G513" t="s">
        <v>180</v>
      </c>
      <c r="H513" s="94">
        <v>3</v>
      </c>
      <c r="I513" t="s">
        <v>60</v>
      </c>
      <c r="J513" t="s">
        <v>63</v>
      </c>
    </row>
    <row r="514" spans="1:10" x14ac:dyDescent="0.25">
      <c r="A514" t="s">
        <v>131</v>
      </c>
      <c r="B514" t="s">
        <v>167</v>
      </c>
      <c r="C514" s="12" t="s">
        <v>109</v>
      </c>
      <c r="D514" t="s">
        <v>4</v>
      </c>
      <c r="E514" t="s">
        <v>6</v>
      </c>
      <c r="F514" t="s">
        <v>16</v>
      </c>
      <c r="G514" t="s">
        <v>180</v>
      </c>
      <c r="H514" s="94">
        <v>3</v>
      </c>
      <c r="I514" t="s">
        <v>60</v>
      </c>
      <c r="J514" t="s">
        <v>11</v>
      </c>
    </row>
    <row r="515" spans="1:10" x14ac:dyDescent="0.25">
      <c r="A515" t="s">
        <v>131</v>
      </c>
      <c r="B515" t="s">
        <v>167</v>
      </c>
      <c r="C515" s="12" t="s">
        <v>109</v>
      </c>
      <c r="D515" t="s">
        <v>4</v>
      </c>
      <c r="E515" t="s">
        <v>6</v>
      </c>
      <c r="F515" t="s">
        <v>16</v>
      </c>
      <c r="G515" t="s">
        <v>180</v>
      </c>
      <c r="H515" s="94">
        <v>5</v>
      </c>
      <c r="I515" t="s">
        <v>107</v>
      </c>
      <c r="J515" t="s">
        <v>13</v>
      </c>
    </row>
    <row r="516" spans="1:10" x14ac:dyDescent="0.25">
      <c r="A516" t="s">
        <v>131</v>
      </c>
      <c r="B516" t="s">
        <v>167</v>
      </c>
      <c r="C516" s="12" t="s">
        <v>109</v>
      </c>
      <c r="D516" t="s">
        <v>4</v>
      </c>
      <c r="E516" t="s">
        <v>6</v>
      </c>
      <c r="F516" t="s">
        <v>16</v>
      </c>
      <c r="G516" t="s">
        <v>180</v>
      </c>
      <c r="H516" s="94">
        <v>5</v>
      </c>
      <c r="I516" t="s">
        <v>107</v>
      </c>
      <c r="J516" t="s">
        <v>63</v>
      </c>
    </row>
    <row r="517" spans="1:10" x14ac:dyDescent="0.25">
      <c r="A517" t="s">
        <v>131</v>
      </c>
      <c r="B517" t="s">
        <v>167</v>
      </c>
      <c r="C517" s="12" t="s">
        <v>109</v>
      </c>
      <c r="D517" t="s">
        <v>4</v>
      </c>
      <c r="E517" t="s">
        <v>6</v>
      </c>
      <c r="F517" t="s">
        <v>16</v>
      </c>
      <c r="G517" t="s">
        <v>180</v>
      </c>
      <c r="H517" s="94">
        <v>5</v>
      </c>
      <c r="I517" t="s">
        <v>107</v>
      </c>
      <c r="J517" t="s">
        <v>11</v>
      </c>
    </row>
    <row r="518" spans="1:10" x14ac:dyDescent="0.25">
      <c r="A518" t="s">
        <v>131</v>
      </c>
      <c r="B518" t="s">
        <v>167</v>
      </c>
      <c r="C518" s="12" t="s">
        <v>109</v>
      </c>
      <c r="D518" t="s">
        <v>4</v>
      </c>
      <c r="E518" t="s">
        <v>6</v>
      </c>
      <c r="F518" t="s">
        <v>16</v>
      </c>
      <c r="G518" t="s">
        <v>180</v>
      </c>
      <c r="H518" s="94">
        <v>5</v>
      </c>
      <c r="I518" t="s">
        <v>62</v>
      </c>
      <c r="J518" t="s">
        <v>13</v>
      </c>
    </row>
    <row r="519" spans="1:10" x14ac:dyDescent="0.25">
      <c r="A519" t="s">
        <v>131</v>
      </c>
      <c r="B519" t="s">
        <v>167</v>
      </c>
      <c r="C519" s="12" t="s">
        <v>109</v>
      </c>
      <c r="D519" t="s">
        <v>4</v>
      </c>
      <c r="E519" t="s">
        <v>6</v>
      </c>
      <c r="F519" t="s">
        <v>16</v>
      </c>
      <c r="G519" t="s">
        <v>180</v>
      </c>
      <c r="H519" s="94">
        <v>5</v>
      </c>
      <c r="I519" t="s">
        <v>62</v>
      </c>
      <c r="J519" t="s">
        <v>63</v>
      </c>
    </row>
    <row r="520" spans="1:10" x14ac:dyDescent="0.25">
      <c r="A520" t="s">
        <v>131</v>
      </c>
      <c r="B520" t="s">
        <v>167</v>
      </c>
      <c r="C520" s="12" t="s">
        <v>109</v>
      </c>
      <c r="D520" t="s">
        <v>4</v>
      </c>
      <c r="E520" t="s">
        <v>6</v>
      </c>
      <c r="F520" t="s">
        <v>16</v>
      </c>
      <c r="G520" t="s">
        <v>180</v>
      </c>
      <c r="H520" s="94">
        <v>5</v>
      </c>
      <c r="I520" t="s">
        <v>62</v>
      </c>
      <c r="J520" t="s">
        <v>11</v>
      </c>
    </row>
    <row r="521" spans="1:10" x14ac:dyDescent="0.25">
      <c r="A521" t="s">
        <v>131</v>
      </c>
      <c r="B521" t="s">
        <v>167</v>
      </c>
      <c r="C521" s="12" t="s">
        <v>109</v>
      </c>
      <c r="D521" t="s">
        <v>4</v>
      </c>
      <c r="E521" t="s">
        <v>6</v>
      </c>
      <c r="F521" t="s">
        <v>16</v>
      </c>
      <c r="G521" t="s">
        <v>180</v>
      </c>
      <c r="H521" s="94">
        <v>5</v>
      </c>
      <c r="I521" t="s">
        <v>60</v>
      </c>
      <c r="J521" t="s">
        <v>13</v>
      </c>
    </row>
    <row r="522" spans="1:10" x14ac:dyDescent="0.25">
      <c r="A522" t="s">
        <v>131</v>
      </c>
      <c r="B522" t="s">
        <v>167</v>
      </c>
      <c r="C522" s="12" t="s">
        <v>109</v>
      </c>
      <c r="D522" t="s">
        <v>4</v>
      </c>
      <c r="E522" t="s">
        <v>6</v>
      </c>
      <c r="F522" t="s">
        <v>16</v>
      </c>
      <c r="G522" t="s">
        <v>180</v>
      </c>
      <c r="H522" s="94">
        <v>5</v>
      </c>
      <c r="I522" t="s">
        <v>60</v>
      </c>
      <c r="J522" t="s">
        <v>63</v>
      </c>
    </row>
    <row r="523" spans="1:10" x14ac:dyDescent="0.25">
      <c r="A523" t="s">
        <v>131</v>
      </c>
      <c r="B523" t="s">
        <v>167</v>
      </c>
      <c r="C523" s="12" t="s">
        <v>109</v>
      </c>
      <c r="D523" t="s">
        <v>4</v>
      </c>
      <c r="E523" t="s">
        <v>6</v>
      </c>
      <c r="F523" t="s">
        <v>16</v>
      </c>
      <c r="G523" t="s">
        <v>180</v>
      </c>
      <c r="H523" s="94">
        <v>5</v>
      </c>
      <c r="I523" t="s">
        <v>60</v>
      </c>
      <c r="J523" t="s">
        <v>11</v>
      </c>
    </row>
    <row r="524" spans="1:10" x14ac:dyDescent="0.25">
      <c r="A524" t="s">
        <v>131</v>
      </c>
      <c r="B524" t="s">
        <v>167</v>
      </c>
      <c r="C524" s="12" t="s">
        <v>109</v>
      </c>
      <c r="D524" t="s">
        <v>4</v>
      </c>
      <c r="E524" t="s">
        <v>6</v>
      </c>
      <c r="F524" t="s">
        <v>8</v>
      </c>
      <c r="G524" t="s">
        <v>180</v>
      </c>
      <c r="H524" s="94">
        <v>3</v>
      </c>
      <c r="I524" t="s">
        <v>107</v>
      </c>
      <c r="J524" t="s">
        <v>13</v>
      </c>
    </row>
    <row r="525" spans="1:10" x14ac:dyDescent="0.25">
      <c r="A525" t="s">
        <v>131</v>
      </c>
      <c r="B525" t="s">
        <v>167</v>
      </c>
      <c r="C525" s="12" t="s">
        <v>109</v>
      </c>
      <c r="D525" t="s">
        <v>4</v>
      </c>
      <c r="E525" t="s">
        <v>6</v>
      </c>
      <c r="F525" t="s">
        <v>8</v>
      </c>
      <c r="G525" t="s">
        <v>180</v>
      </c>
      <c r="H525" s="94">
        <v>3</v>
      </c>
      <c r="I525" t="s">
        <v>107</v>
      </c>
      <c r="J525" t="s">
        <v>63</v>
      </c>
    </row>
    <row r="526" spans="1:10" x14ac:dyDescent="0.25">
      <c r="A526" t="s">
        <v>131</v>
      </c>
      <c r="B526" t="s">
        <v>167</v>
      </c>
      <c r="C526" s="12" t="s">
        <v>109</v>
      </c>
      <c r="D526" t="s">
        <v>4</v>
      </c>
      <c r="E526" t="s">
        <v>6</v>
      </c>
      <c r="F526" t="s">
        <v>8</v>
      </c>
      <c r="G526" t="s">
        <v>180</v>
      </c>
      <c r="H526" s="94">
        <v>3</v>
      </c>
      <c r="I526" t="s">
        <v>107</v>
      </c>
      <c r="J526" t="s">
        <v>11</v>
      </c>
    </row>
    <row r="527" spans="1:10" x14ac:dyDescent="0.25">
      <c r="A527" t="s">
        <v>131</v>
      </c>
      <c r="B527" t="s">
        <v>167</v>
      </c>
      <c r="C527" s="12" t="s">
        <v>109</v>
      </c>
      <c r="D527" t="s">
        <v>4</v>
      </c>
      <c r="E527" t="s">
        <v>6</v>
      </c>
      <c r="F527" t="s">
        <v>8</v>
      </c>
      <c r="G527" t="s">
        <v>180</v>
      </c>
      <c r="H527" s="94">
        <v>3</v>
      </c>
      <c r="I527" t="s">
        <v>62</v>
      </c>
      <c r="J527" t="s">
        <v>13</v>
      </c>
    </row>
    <row r="528" spans="1:10" x14ac:dyDescent="0.25">
      <c r="A528" t="s">
        <v>131</v>
      </c>
      <c r="B528" t="s">
        <v>167</v>
      </c>
      <c r="C528" s="12" t="s">
        <v>109</v>
      </c>
      <c r="D528" t="s">
        <v>4</v>
      </c>
      <c r="E528" t="s">
        <v>6</v>
      </c>
      <c r="F528" t="s">
        <v>8</v>
      </c>
      <c r="G528" t="s">
        <v>180</v>
      </c>
      <c r="H528" s="94">
        <v>3</v>
      </c>
      <c r="I528" t="s">
        <v>62</v>
      </c>
      <c r="J528" t="s">
        <v>63</v>
      </c>
    </row>
    <row r="529" spans="1:10" x14ac:dyDescent="0.25">
      <c r="A529" t="s">
        <v>131</v>
      </c>
      <c r="B529" t="s">
        <v>167</v>
      </c>
      <c r="C529" s="12" t="s">
        <v>109</v>
      </c>
      <c r="D529" t="s">
        <v>4</v>
      </c>
      <c r="E529" t="s">
        <v>6</v>
      </c>
      <c r="F529" t="s">
        <v>8</v>
      </c>
      <c r="G529" t="s">
        <v>180</v>
      </c>
      <c r="H529" s="94">
        <v>3</v>
      </c>
      <c r="I529" t="s">
        <v>62</v>
      </c>
      <c r="J529" t="s">
        <v>11</v>
      </c>
    </row>
    <row r="530" spans="1:10" x14ac:dyDescent="0.25">
      <c r="A530" t="s">
        <v>131</v>
      </c>
      <c r="B530" t="s">
        <v>167</v>
      </c>
      <c r="C530" s="12" t="s">
        <v>109</v>
      </c>
      <c r="D530" t="s">
        <v>4</v>
      </c>
      <c r="E530" t="s">
        <v>6</v>
      </c>
      <c r="F530" t="s">
        <v>8</v>
      </c>
      <c r="G530" t="s">
        <v>180</v>
      </c>
      <c r="H530" s="94">
        <v>3</v>
      </c>
      <c r="I530" t="s">
        <v>60</v>
      </c>
      <c r="J530" t="s">
        <v>13</v>
      </c>
    </row>
    <row r="531" spans="1:10" x14ac:dyDescent="0.25">
      <c r="A531" t="s">
        <v>131</v>
      </c>
      <c r="B531" t="s">
        <v>167</v>
      </c>
      <c r="C531" s="12" t="s">
        <v>109</v>
      </c>
      <c r="D531" t="s">
        <v>4</v>
      </c>
      <c r="E531" t="s">
        <v>6</v>
      </c>
      <c r="F531" t="s">
        <v>8</v>
      </c>
      <c r="G531" t="s">
        <v>180</v>
      </c>
      <c r="H531" s="94">
        <v>3</v>
      </c>
      <c r="I531" t="s">
        <v>60</v>
      </c>
      <c r="J531" t="s">
        <v>63</v>
      </c>
    </row>
    <row r="532" spans="1:10" x14ac:dyDescent="0.25">
      <c r="A532" t="s">
        <v>131</v>
      </c>
      <c r="B532" t="s">
        <v>167</v>
      </c>
      <c r="C532" s="12" t="s">
        <v>109</v>
      </c>
      <c r="D532" t="s">
        <v>4</v>
      </c>
      <c r="E532" t="s">
        <v>6</v>
      </c>
      <c r="F532" t="s">
        <v>8</v>
      </c>
      <c r="G532" t="s">
        <v>180</v>
      </c>
      <c r="H532" s="94">
        <v>3</v>
      </c>
      <c r="I532" t="s">
        <v>60</v>
      </c>
      <c r="J532" t="s">
        <v>11</v>
      </c>
    </row>
    <row r="533" spans="1:10" x14ac:dyDescent="0.25">
      <c r="A533" t="s">
        <v>131</v>
      </c>
      <c r="B533" t="s">
        <v>167</v>
      </c>
      <c r="C533" s="12" t="s">
        <v>109</v>
      </c>
      <c r="D533" t="s">
        <v>4</v>
      </c>
      <c r="E533" t="s">
        <v>6</v>
      </c>
      <c r="F533" t="s">
        <v>8</v>
      </c>
      <c r="G533" t="s">
        <v>180</v>
      </c>
      <c r="H533" s="94">
        <v>5</v>
      </c>
      <c r="I533" t="s">
        <v>107</v>
      </c>
      <c r="J533" t="s">
        <v>13</v>
      </c>
    </row>
    <row r="534" spans="1:10" x14ac:dyDescent="0.25">
      <c r="A534" t="s">
        <v>131</v>
      </c>
      <c r="B534" t="s">
        <v>167</v>
      </c>
      <c r="C534" s="12" t="s">
        <v>109</v>
      </c>
      <c r="D534" t="s">
        <v>4</v>
      </c>
      <c r="E534" t="s">
        <v>6</v>
      </c>
      <c r="F534" t="s">
        <v>8</v>
      </c>
      <c r="G534" t="s">
        <v>180</v>
      </c>
      <c r="H534" s="94">
        <v>5</v>
      </c>
      <c r="I534" t="s">
        <v>107</v>
      </c>
      <c r="J534" t="s">
        <v>63</v>
      </c>
    </row>
    <row r="535" spans="1:10" x14ac:dyDescent="0.25">
      <c r="A535" t="s">
        <v>131</v>
      </c>
      <c r="B535" t="s">
        <v>167</v>
      </c>
      <c r="C535" s="12" t="s">
        <v>109</v>
      </c>
      <c r="D535" t="s">
        <v>4</v>
      </c>
      <c r="E535" t="s">
        <v>6</v>
      </c>
      <c r="F535" t="s">
        <v>8</v>
      </c>
      <c r="G535" t="s">
        <v>180</v>
      </c>
      <c r="H535" s="94">
        <v>5</v>
      </c>
      <c r="I535" t="s">
        <v>107</v>
      </c>
      <c r="J535" t="s">
        <v>11</v>
      </c>
    </row>
    <row r="536" spans="1:10" x14ac:dyDescent="0.25">
      <c r="A536" t="s">
        <v>131</v>
      </c>
      <c r="B536" t="s">
        <v>167</v>
      </c>
      <c r="C536" s="12" t="s">
        <v>109</v>
      </c>
      <c r="D536" t="s">
        <v>4</v>
      </c>
      <c r="E536" t="s">
        <v>6</v>
      </c>
      <c r="F536" t="s">
        <v>8</v>
      </c>
      <c r="G536" t="s">
        <v>180</v>
      </c>
      <c r="H536" s="94">
        <v>5</v>
      </c>
      <c r="I536" t="s">
        <v>62</v>
      </c>
      <c r="J536" t="s">
        <v>13</v>
      </c>
    </row>
    <row r="537" spans="1:10" x14ac:dyDescent="0.25">
      <c r="A537" t="s">
        <v>131</v>
      </c>
      <c r="B537" t="s">
        <v>167</v>
      </c>
      <c r="C537" s="12" t="s">
        <v>109</v>
      </c>
      <c r="D537" t="s">
        <v>4</v>
      </c>
      <c r="E537" t="s">
        <v>6</v>
      </c>
      <c r="F537" t="s">
        <v>8</v>
      </c>
      <c r="G537" t="s">
        <v>180</v>
      </c>
      <c r="H537" s="94">
        <v>5</v>
      </c>
      <c r="I537" t="s">
        <v>62</v>
      </c>
      <c r="J537" t="s">
        <v>63</v>
      </c>
    </row>
    <row r="538" spans="1:10" x14ac:dyDescent="0.25">
      <c r="A538" t="s">
        <v>131</v>
      </c>
      <c r="B538" t="s">
        <v>167</v>
      </c>
      <c r="C538" s="12" t="s">
        <v>109</v>
      </c>
      <c r="D538" t="s">
        <v>4</v>
      </c>
      <c r="E538" t="s">
        <v>6</v>
      </c>
      <c r="F538" t="s">
        <v>8</v>
      </c>
      <c r="G538" t="s">
        <v>180</v>
      </c>
      <c r="H538" s="94">
        <v>5</v>
      </c>
      <c r="I538" t="s">
        <v>62</v>
      </c>
      <c r="J538" t="s">
        <v>11</v>
      </c>
    </row>
    <row r="539" spans="1:10" x14ac:dyDescent="0.25">
      <c r="A539" t="s">
        <v>131</v>
      </c>
      <c r="B539" t="s">
        <v>167</v>
      </c>
      <c r="C539" s="12" t="s">
        <v>109</v>
      </c>
      <c r="D539" t="s">
        <v>4</v>
      </c>
      <c r="E539" t="s">
        <v>6</v>
      </c>
      <c r="F539" t="s">
        <v>8</v>
      </c>
      <c r="G539" t="s">
        <v>180</v>
      </c>
      <c r="H539" s="94">
        <v>5</v>
      </c>
      <c r="I539" t="s">
        <v>60</v>
      </c>
      <c r="J539" t="s">
        <v>13</v>
      </c>
    </row>
    <row r="540" spans="1:10" x14ac:dyDescent="0.25">
      <c r="A540" t="s">
        <v>131</v>
      </c>
      <c r="B540" t="s">
        <v>167</v>
      </c>
      <c r="C540" s="12" t="s">
        <v>109</v>
      </c>
      <c r="D540" t="s">
        <v>4</v>
      </c>
      <c r="E540" t="s">
        <v>6</v>
      </c>
      <c r="F540" t="s">
        <v>8</v>
      </c>
      <c r="G540" t="s">
        <v>180</v>
      </c>
      <c r="H540" s="94">
        <v>5</v>
      </c>
      <c r="I540" t="s">
        <v>60</v>
      </c>
      <c r="J540" t="s">
        <v>63</v>
      </c>
    </row>
    <row r="541" spans="1:10" x14ac:dyDescent="0.25">
      <c r="A541" t="s">
        <v>131</v>
      </c>
      <c r="B541" t="s">
        <v>167</v>
      </c>
      <c r="C541" s="12" t="s">
        <v>109</v>
      </c>
      <c r="D541" t="s">
        <v>4</v>
      </c>
      <c r="E541" t="s">
        <v>6</v>
      </c>
      <c r="F541" t="s">
        <v>8</v>
      </c>
      <c r="G541" t="s">
        <v>180</v>
      </c>
      <c r="H541" s="94">
        <v>5</v>
      </c>
      <c r="I541" t="s">
        <v>60</v>
      </c>
      <c r="J541" t="s">
        <v>11</v>
      </c>
    </row>
    <row r="542" spans="1:10" x14ac:dyDescent="0.25">
      <c r="A542" t="s">
        <v>131</v>
      </c>
      <c r="B542" t="s">
        <v>168</v>
      </c>
      <c r="C542" s="12" t="s">
        <v>109</v>
      </c>
      <c r="D542" t="s">
        <v>4</v>
      </c>
      <c r="E542" t="s">
        <v>12</v>
      </c>
      <c r="F542" t="s">
        <v>72</v>
      </c>
      <c r="G542" t="s">
        <v>180</v>
      </c>
      <c r="H542" s="94">
        <v>3</v>
      </c>
      <c r="I542" t="s">
        <v>107</v>
      </c>
      <c r="J542" t="s">
        <v>13</v>
      </c>
    </row>
    <row r="543" spans="1:10" x14ac:dyDescent="0.25">
      <c r="A543" t="s">
        <v>131</v>
      </c>
      <c r="B543" t="s">
        <v>168</v>
      </c>
      <c r="C543" s="12" t="s">
        <v>109</v>
      </c>
      <c r="D543" t="s">
        <v>4</v>
      </c>
      <c r="E543" t="s">
        <v>12</v>
      </c>
      <c r="F543" t="s">
        <v>72</v>
      </c>
      <c r="G543" t="s">
        <v>180</v>
      </c>
      <c r="H543" s="94">
        <v>3</v>
      </c>
      <c r="I543" t="s">
        <v>107</v>
      </c>
      <c r="J543" t="s">
        <v>63</v>
      </c>
    </row>
    <row r="544" spans="1:10" x14ac:dyDescent="0.25">
      <c r="A544" t="s">
        <v>131</v>
      </c>
      <c r="B544" t="s">
        <v>168</v>
      </c>
      <c r="C544" s="12" t="s">
        <v>109</v>
      </c>
      <c r="D544" t="s">
        <v>4</v>
      </c>
      <c r="E544" t="s">
        <v>12</v>
      </c>
      <c r="F544" t="s">
        <v>72</v>
      </c>
      <c r="G544" t="s">
        <v>180</v>
      </c>
      <c r="H544" s="94">
        <v>3</v>
      </c>
      <c r="I544" t="s">
        <v>107</v>
      </c>
      <c r="J544" t="s">
        <v>11</v>
      </c>
    </row>
    <row r="545" spans="1:10" x14ac:dyDescent="0.25">
      <c r="A545" t="s">
        <v>131</v>
      </c>
      <c r="B545" t="s">
        <v>168</v>
      </c>
      <c r="C545" s="12" t="s">
        <v>109</v>
      </c>
      <c r="D545" t="s">
        <v>4</v>
      </c>
      <c r="E545" t="s">
        <v>12</v>
      </c>
      <c r="F545" t="s">
        <v>72</v>
      </c>
      <c r="G545" t="s">
        <v>180</v>
      </c>
      <c r="H545" s="94">
        <v>3</v>
      </c>
      <c r="I545" t="s">
        <v>62</v>
      </c>
      <c r="J545" t="s">
        <v>13</v>
      </c>
    </row>
    <row r="546" spans="1:10" x14ac:dyDescent="0.25">
      <c r="A546" t="s">
        <v>131</v>
      </c>
      <c r="B546" t="s">
        <v>168</v>
      </c>
      <c r="C546" s="12" t="s">
        <v>109</v>
      </c>
      <c r="D546" t="s">
        <v>4</v>
      </c>
      <c r="E546" t="s">
        <v>12</v>
      </c>
      <c r="F546" t="s">
        <v>72</v>
      </c>
      <c r="G546" t="s">
        <v>180</v>
      </c>
      <c r="H546" s="94">
        <v>3</v>
      </c>
      <c r="I546" t="s">
        <v>62</v>
      </c>
      <c r="J546" t="s">
        <v>63</v>
      </c>
    </row>
    <row r="547" spans="1:10" x14ac:dyDescent="0.25">
      <c r="A547" t="s">
        <v>131</v>
      </c>
      <c r="B547" t="s">
        <v>168</v>
      </c>
      <c r="C547" s="12" t="s">
        <v>109</v>
      </c>
      <c r="D547" t="s">
        <v>4</v>
      </c>
      <c r="E547" t="s">
        <v>12</v>
      </c>
      <c r="F547" t="s">
        <v>72</v>
      </c>
      <c r="G547" t="s">
        <v>180</v>
      </c>
      <c r="H547" s="94">
        <v>3</v>
      </c>
      <c r="I547" t="s">
        <v>62</v>
      </c>
      <c r="J547" t="s">
        <v>11</v>
      </c>
    </row>
    <row r="548" spans="1:10" x14ac:dyDescent="0.25">
      <c r="A548" t="s">
        <v>131</v>
      </c>
      <c r="B548" t="s">
        <v>168</v>
      </c>
      <c r="C548" s="12" t="s">
        <v>109</v>
      </c>
      <c r="D548" t="s">
        <v>4</v>
      </c>
      <c r="E548" t="s">
        <v>12</v>
      </c>
      <c r="F548" t="s">
        <v>72</v>
      </c>
      <c r="G548" t="s">
        <v>180</v>
      </c>
      <c r="H548" s="94">
        <v>3</v>
      </c>
      <c r="I548" t="s">
        <v>60</v>
      </c>
      <c r="J548" t="s">
        <v>13</v>
      </c>
    </row>
    <row r="549" spans="1:10" x14ac:dyDescent="0.25">
      <c r="A549" t="s">
        <v>131</v>
      </c>
      <c r="B549" t="s">
        <v>168</v>
      </c>
      <c r="C549" s="12" t="s">
        <v>109</v>
      </c>
      <c r="D549" t="s">
        <v>4</v>
      </c>
      <c r="E549" t="s">
        <v>12</v>
      </c>
      <c r="F549" t="s">
        <v>72</v>
      </c>
      <c r="G549" t="s">
        <v>180</v>
      </c>
      <c r="H549" s="94">
        <v>3</v>
      </c>
      <c r="I549" t="s">
        <v>60</v>
      </c>
      <c r="J549" t="s">
        <v>63</v>
      </c>
    </row>
    <row r="550" spans="1:10" x14ac:dyDescent="0.25">
      <c r="A550" t="s">
        <v>131</v>
      </c>
      <c r="B550" t="s">
        <v>168</v>
      </c>
      <c r="C550" s="12" t="s">
        <v>109</v>
      </c>
      <c r="D550" t="s">
        <v>4</v>
      </c>
      <c r="E550" t="s">
        <v>12</v>
      </c>
      <c r="F550" t="s">
        <v>72</v>
      </c>
      <c r="G550" t="s">
        <v>180</v>
      </c>
      <c r="H550" s="94">
        <v>3</v>
      </c>
      <c r="I550" t="s">
        <v>60</v>
      </c>
      <c r="J550" t="s">
        <v>11</v>
      </c>
    </row>
    <row r="551" spans="1:10" x14ac:dyDescent="0.25">
      <c r="A551" t="s">
        <v>131</v>
      </c>
      <c r="B551" t="s">
        <v>168</v>
      </c>
      <c r="C551" s="12" t="s">
        <v>109</v>
      </c>
      <c r="D551" t="s">
        <v>4</v>
      </c>
      <c r="E551" t="s">
        <v>12</v>
      </c>
      <c r="F551" t="s">
        <v>72</v>
      </c>
      <c r="G551" t="s">
        <v>180</v>
      </c>
      <c r="H551" s="94">
        <v>5</v>
      </c>
      <c r="I551" t="s">
        <v>107</v>
      </c>
      <c r="J551" t="s">
        <v>13</v>
      </c>
    </row>
    <row r="552" spans="1:10" x14ac:dyDescent="0.25">
      <c r="A552" t="s">
        <v>131</v>
      </c>
      <c r="B552" t="s">
        <v>168</v>
      </c>
      <c r="C552" s="12" t="s">
        <v>109</v>
      </c>
      <c r="D552" t="s">
        <v>4</v>
      </c>
      <c r="E552" t="s">
        <v>12</v>
      </c>
      <c r="F552" t="s">
        <v>72</v>
      </c>
      <c r="G552" t="s">
        <v>180</v>
      </c>
      <c r="H552" s="94">
        <v>5</v>
      </c>
      <c r="I552" t="s">
        <v>107</v>
      </c>
      <c r="J552" t="s">
        <v>63</v>
      </c>
    </row>
    <row r="553" spans="1:10" x14ac:dyDescent="0.25">
      <c r="A553" t="s">
        <v>131</v>
      </c>
      <c r="B553" t="s">
        <v>168</v>
      </c>
      <c r="C553" s="12" t="s">
        <v>109</v>
      </c>
      <c r="D553" t="s">
        <v>4</v>
      </c>
      <c r="E553" t="s">
        <v>12</v>
      </c>
      <c r="F553" t="s">
        <v>72</v>
      </c>
      <c r="G553" t="s">
        <v>180</v>
      </c>
      <c r="H553" s="94">
        <v>5</v>
      </c>
      <c r="I553" t="s">
        <v>107</v>
      </c>
      <c r="J553" t="s">
        <v>11</v>
      </c>
    </row>
    <row r="554" spans="1:10" x14ac:dyDescent="0.25">
      <c r="A554" t="s">
        <v>131</v>
      </c>
      <c r="B554" t="s">
        <v>168</v>
      </c>
      <c r="C554" s="12" t="s">
        <v>109</v>
      </c>
      <c r="D554" t="s">
        <v>4</v>
      </c>
      <c r="E554" t="s">
        <v>12</v>
      </c>
      <c r="F554" t="s">
        <v>72</v>
      </c>
      <c r="G554" t="s">
        <v>180</v>
      </c>
      <c r="H554" s="94">
        <v>5</v>
      </c>
      <c r="I554" t="s">
        <v>62</v>
      </c>
      <c r="J554" t="s">
        <v>13</v>
      </c>
    </row>
    <row r="555" spans="1:10" x14ac:dyDescent="0.25">
      <c r="A555" t="s">
        <v>131</v>
      </c>
      <c r="B555" t="s">
        <v>168</v>
      </c>
      <c r="C555" s="12" t="s">
        <v>109</v>
      </c>
      <c r="D555" t="s">
        <v>4</v>
      </c>
      <c r="E555" t="s">
        <v>12</v>
      </c>
      <c r="F555" t="s">
        <v>72</v>
      </c>
      <c r="G555" t="s">
        <v>180</v>
      </c>
      <c r="H555" s="94">
        <v>5</v>
      </c>
      <c r="I555" t="s">
        <v>62</v>
      </c>
      <c r="J555" t="s">
        <v>63</v>
      </c>
    </row>
    <row r="556" spans="1:10" x14ac:dyDescent="0.25">
      <c r="A556" t="s">
        <v>131</v>
      </c>
      <c r="B556" t="s">
        <v>168</v>
      </c>
      <c r="C556" s="12" t="s">
        <v>109</v>
      </c>
      <c r="D556" t="s">
        <v>4</v>
      </c>
      <c r="E556" t="s">
        <v>12</v>
      </c>
      <c r="F556" t="s">
        <v>72</v>
      </c>
      <c r="G556" t="s">
        <v>180</v>
      </c>
      <c r="H556" s="94">
        <v>5</v>
      </c>
      <c r="I556" t="s">
        <v>62</v>
      </c>
      <c r="J556" t="s">
        <v>11</v>
      </c>
    </row>
    <row r="557" spans="1:10" x14ac:dyDescent="0.25">
      <c r="A557" t="s">
        <v>131</v>
      </c>
      <c r="B557" t="s">
        <v>168</v>
      </c>
      <c r="C557" s="12" t="s">
        <v>109</v>
      </c>
      <c r="D557" t="s">
        <v>4</v>
      </c>
      <c r="E557" t="s">
        <v>12</v>
      </c>
      <c r="F557" t="s">
        <v>72</v>
      </c>
      <c r="G557" t="s">
        <v>180</v>
      </c>
      <c r="H557" s="94">
        <v>5</v>
      </c>
      <c r="I557" t="s">
        <v>60</v>
      </c>
      <c r="J557" t="s">
        <v>13</v>
      </c>
    </row>
    <row r="558" spans="1:10" x14ac:dyDescent="0.25">
      <c r="A558" t="s">
        <v>131</v>
      </c>
      <c r="B558" t="s">
        <v>168</v>
      </c>
      <c r="C558" s="12" t="s">
        <v>109</v>
      </c>
      <c r="D558" t="s">
        <v>4</v>
      </c>
      <c r="E558" t="s">
        <v>12</v>
      </c>
      <c r="F558" t="s">
        <v>72</v>
      </c>
      <c r="G558" t="s">
        <v>180</v>
      </c>
      <c r="H558" s="94">
        <v>5</v>
      </c>
      <c r="I558" t="s">
        <v>60</v>
      </c>
      <c r="J558" t="s">
        <v>63</v>
      </c>
    </row>
    <row r="559" spans="1:10" x14ac:dyDescent="0.25">
      <c r="A559" t="s">
        <v>131</v>
      </c>
      <c r="B559" t="s">
        <v>168</v>
      </c>
      <c r="C559" s="12" t="s">
        <v>109</v>
      </c>
      <c r="D559" t="s">
        <v>4</v>
      </c>
      <c r="E559" t="s">
        <v>12</v>
      </c>
      <c r="F559" t="s">
        <v>72</v>
      </c>
      <c r="G559" t="s">
        <v>180</v>
      </c>
      <c r="H559" s="94">
        <v>5</v>
      </c>
      <c r="I559" t="s">
        <v>60</v>
      </c>
      <c r="J559" t="s">
        <v>11</v>
      </c>
    </row>
    <row r="560" spans="1:10" x14ac:dyDescent="0.25">
      <c r="A560" t="s">
        <v>131</v>
      </c>
      <c r="B560" t="s">
        <v>168</v>
      </c>
      <c r="C560" s="12" t="s">
        <v>109</v>
      </c>
      <c r="D560" t="s">
        <v>4</v>
      </c>
      <c r="E560" t="s">
        <v>12</v>
      </c>
      <c r="F560" t="s">
        <v>16</v>
      </c>
      <c r="G560" t="s">
        <v>180</v>
      </c>
      <c r="H560" s="94">
        <v>3</v>
      </c>
      <c r="I560" t="s">
        <v>107</v>
      </c>
      <c r="J560" t="s">
        <v>13</v>
      </c>
    </row>
    <row r="561" spans="1:10" x14ac:dyDescent="0.25">
      <c r="A561" t="s">
        <v>131</v>
      </c>
      <c r="B561" t="s">
        <v>168</v>
      </c>
      <c r="C561" s="12" t="s">
        <v>109</v>
      </c>
      <c r="D561" t="s">
        <v>4</v>
      </c>
      <c r="E561" t="s">
        <v>12</v>
      </c>
      <c r="F561" t="s">
        <v>16</v>
      </c>
      <c r="G561" t="s">
        <v>180</v>
      </c>
      <c r="H561" s="94">
        <v>3</v>
      </c>
      <c r="I561" t="s">
        <v>107</v>
      </c>
      <c r="J561" t="s">
        <v>63</v>
      </c>
    </row>
    <row r="562" spans="1:10" x14ac:dyDescent="0.25">
      <c r="A562" t="s">
        <v>131</v>
      </c>
      <c r="B562" t="s">
        <v>168</v>
      </c>
      <c r="C562" s="12" t="s">
        <v>109</v>
      </c>
      <c r="D562" t="s">
        <v>4</v>
      </c>
      <c r="E562" t="s">
        <v>12</v>
      </c>
      <c r="F562" t="s">
        <v>16</v>
      </c>
      <c r="G562" t="s">
        <v>180</v>
      </c>
      <c r="H562" s="94">
        <v>3</v>
      </c>
      <c r="I562" t="s">
        <v>107</v>
      </c>
      <c r="J562" t="s">
        <v>11</v>
      </c>
    </row>
    <row r="563" spans="1:10" x14ac:dyDescent="0.25">
      <c r="A563" t="s">
        <v>131</v>
      </c>
      <c r="B563" t="s">
        <v>168</v>
      </c>
      <c r="C563" s="12" t="s">
        <v>109</v>
      </c>
      <c r="D563" t="s">
        <v>4</v>
      </c>
      <c r="E563" t="s">
        <v>12</v>
      </c>
      <c r="F563" t="s">
        <v>16</v>
      </c>
      <c r="G563" t="s">
        <v>180</v>
      </c>
      <c r="H563" s="94">
        <v>3</v>
      </c>
      <c r="I563" t="s">
        <v>62</v>
      </c>
      <c r="J563" t="s">
        <v>13</v>
      </c>
    </row>
    <row r="564" spans="1:10" x14ac:dyDescent="0.25">
      <c r="A564" t="s">
        <v>131</v>
      </c>
      <c r="B564" t="s">
        <v>168</v>
      </c>
      <c r="C564" s="12" t="s">
        <v>109</v>
      </c>
      <c r="D564" t="s">
        <v>4</v>
      </c>
      <c r="E564" t="s">
        <v>12</v>
      </c>
      <c r="F564" t="s">
        <v>16</v>
      </c>
      <c r="G564" t="s">
        <v>180</v>
      </c>
      <c r="H564" s="94">
        <v>3</v>
      </c>
      <c r="I564" t="s">
        <v>62</v>
      </c>
      <c r="J564" t="s">
        <v>63</v>
      </c>
    </row>
    <row r="565" spans="1:10" x14ac:dyDescent="0.25">
      <c r="A565" t="s">
        <v>131</v>
      </c>
      <c r="B565" t="s">
        <v>168</v>
      </c>
      <c r="C565" s="12" t="s">
        <v>109</v>
      </c>
      <c r="D565" t="s">
        <v>4</v>
      </c>
      <c r="E565" t="s">
        <v>12</v>
      </c>
      <c r="F565" t="s">
        <v>16</v>
      </c>
      <c r="G565" t="s">
        <v>180</v>
      </c>
      <c r="H565" s="94">
        <v>3</v>
      </c>
      <c r="I565" t="s">
        <v>62</v>
      </c>
      <c r="J565" t="s">
        <v>11</v>
      </c>
    </row>
    <row r="566" spans="1:10" x14ac:dyDescent="0.25">
      <c r="A566" t="s">
        <v>131</v>
      </c>
      <c r="B566" t="s">
        <v>168</v>
      </c>
      <c r="C566" s="12" t="s">
        <v>109</v>
      </c>
      <c r="D566" t="s">
        <v>4</v>
      </c>
      <c r="E566" t="s">
        <v>12</v>
      </c>
      <c r="F566" t="s">
        <v>16</v>
      </c>
      <c r="G566" t="s">
        <v>180</v>
      </c>
      <c r="H566" s="94">
        <v>3</v>
      </c>
      <c r="I566" t="s">
        <v>60</v>
      </c>
      <c r="J566" t="s">
        <v>13</v>
      </c>
    </row>
    <row r="567" spans="1:10" x14ac:dyDescent="0.25">
      <c r="A567" t="s">
        <v>131</v>
      </c>
      <c r="B567" t="s">
        <v>168</v>
      </c>
      <c r="C567" s="12" t="s">
        <v>109</v>
      </c>
      <c r="D567" t="s">
        <v>4</v>
      </c>
      <c r="E567" t="s">
        <v>12</v>
      </c>
      <c r="F567" t="s">
        <v>16</v>
      </c>
      <c r="G567" t="s">
        <v>180</v>
      </c>
      <c r="H567" s="94">
        <v>3</v>
      </c>
      <c r="I567" t="s">
        <v>60</v>
      </c>
      <c r="J567" t="s">
        <v>63</v>
      </c>
    </row>
    <row r="568" spans="1:10" x14ac:dyDescent="0.25">
      <c r="A568" t="s">
        <v>131</v>
      </c>
      <c r="B568" t="s">
        <v>168</v>
      </c>
      <c r="C568" s="12" t="s">
        <v>109</v>
      </c>
      <c r="D568" t="s">
        <v>4</v>
      </c>
      <c r="E568" t="s">
        <v>12</v>
      </c>
      <c r="F568" t="s">
        <v>16</v>
      </c>
      <c r="G568" t="s">
        <v>180</v>
      </c>
      <c r="H568" s="94">
        <v>3</v>
      </c>
      <c r="I568" t="s">
        <v>60</v>
      </c>
      <c r="J568" t="s">
        <v>11</v>
      </c>
    </row>
    <row r="569" spans="1:10" x14ac:dyDescent="0.25">
      <c r="A569" t="s">
        <v>131</v>
      </c>
      <c r="B569" t="s">
        <v>168</v>
      </c>
      <c r="C569" s="12" t="s">
        <v>109</v>
      </c>
      <c r="D569" t="s">
        <v>4</v>
      </c>
      <c r="E569" t="s">
        <v>12</v>
      </c>
      <c r="F569" t="s">
        <v>16</v>
      </c>
      <c r="G569" t="s">
        <v>180</v>
      </c>
      <c r="H569" s="94">
        <v>5</v>
      </c>
      <c r="I569" t="s">
        <v>107</v>
      </c>
      <c r="J569" t="s">
        <v>13</v>
      </c>
    </row>
    <row r="570" spans="1:10" x14ac:dyDescent="0.25">
      <c r="A570" t="s">
        <v>131</v>
      </c>
      <c r="B570" t="s">
        <v>168</v>
      </c>
      <c r="C570" s="12" t="s">
        <v>109</v>
      </c>
      <c r="D570" t="s">
        <v>4</v>
      </c>
      <c r="E570" t="s">
        <v>12</v>
      </c>
      <c r="F570" t="s">
        <v>16</v>
      </c>
      <c r="G570" t="s">
        <v>180</v>
      </c>
      <c r="H570" s="94">
        <v>5</v>
      </c>
      <c r="I570" t="s">
        <v>107</v>
      </c>
      <c r="J570" t="s">
        <v>63</v>
      </c>
    </row>
    <row r="571" spans="1:10" x14ac:dyDescent="0.25">
      <c r="A571" t="s">
        <v>131</v>
      </c>
      <c r="B571" t="s">
        <v>168</v>
      </c>
      <c r="C571" s="12" t="s">
        <v>109</v>
      </c>
      <c r="D571" t="s">
        <v>4</v>
      </c>
      <c r="E571" t="s">
        <v>12</v>
      </c>
      <c r="F571" t="s">
        <v>16</v>
      </c>
      <c r="G571" t="s">
        <v>180</v>
      </c>
      <c r="H571" s="94">
        <v>5</v>
      </c>
      <c r="I571" t="s">
        <v>107</v>
      </c>
      <c r="J571" t="s">
        <v>11</v>
      </c>
    </row>
    <row r="572" spans="1:10" x14ac:dyDescent="0.25">
      <c r="A572" t="s">
        <v>131</v>
      </c>
      <c r="B572" t="s">
        <v>168</v>
      </c>
      <c r="C572" s="12" t="s">
        <v>109</v>
      </c>
      <c r="D572" t="s">
        <v>4</v>
      </c>
      <c r="E572" t="s">
        <v>12</v>
      </c>
      <c r="F572" t="s">
        <v>16</v>
      </c>
      <c r="G572" t="s">
        <v>180</v>
      </c>
      <c r="H572" s="94">
        <v>5</v>
      </c>
      <c r="I572" t="s">
        <v>62</v>
      </c>
      <c r="J572" t="s">
        <v>13</v>
      </c>
    </row>
    <row r="573" spans="1:10" x14ac:dyDescent="0.25">
      <c r="A573" t="s">
        <v>131</v>
      </c>
      <c r="B573" t="s">
        <v>168</v>
      </c>
      <c r="C573" s="12" t="s">
        <v>109</v>
      </c>
      <c r="D573" t="s">
        <v>4</v>
      </c>
      <c r="E573" t="s">
        <v>12</v>
      </c>
      <c r="F573" t="s">
        <v>16</v>
      </c>
      <c r="G573" t="s">
        <v>180</v>
      </c>
      <c r="H573" s="94">
        <v>5</v>
      </c>
      <c r="I573" t="s">
        <v>62</v>
      </c>
      <c r="J573" t="s">
        <v>63</v>
      </c>
    </row>
    <row r="574" spans="1:10" x14ac:dyDescent="0.25">
      <c r="A574" t="s">
        <v>131</v>
      </c>
      <c r="B574" t="s">
        <v>168</v>
      </c>
      <c r="C574" s="12" t="s">
        <v>109</v>
      </c>
      <c r="D574" t="s">
        <v>4</v>
      </c>
      <c r="E574" t="s">
        <v>12</v>
      </c>
      <c r="F574" t="s">
        <v>16</v>
      </c>
      <c r="G574" t="s">
        <v>180</v>
      </c>
      <c r="H574" s="94">
        <v>5</v>
      </c>
      <c r="I574" t="s">
        <v>62</v>
      </c>
      <c r="J574" t="s">
        <v>11</v>
      </c>
    </row>
    <row r="575" spans="1:10" x14ac:dyDescent="0.25">
      <c r="A575" t="s">
        <v>131</v>
      </c>
      <c r="B575" t="s">
        <v>168</v>
      </c>
      <c r="C575" s="12" t="s">
        <v>109</v>
      </c>
      <c r="D575" t="s">
        <v>4</v>
      </c>
      <c r="E575" t="s">
        <v>12</v>
      </c>
      <c r="F575" t="s">
        <v>16</v>
      </c>
      <c r="G575" t="s">
        <v>180</v>
      </c>
      <c r="H575" s="94">
        <v>5</v>
      </c>
      <c r="I575" t="s">
        <v>60</v>
      </c>
      <c r="J575" t="s">
        <v>13</v>
      </c>
    </row>
    <row r="576" spans="1:10" x14ac:dyDescent="0.25">
      <c r="A576" t="s">
        <v>131</v>
      </c>
      <c r="B576" t="s">
        <v>168</v>
      </c>
      <c r="C576" s="12" t="s">
        <v>109</v>
      </c>
      <c r="D576" t="s">
        <v>4</v>
      </c>
      <c r="E576" t="s">
        <v>12</v>
      </c>
      <c r="F576" t="s">
        <v>16</v>
      </c>
      <c r="G576" t="s">
        <v>180</v>
      </c>
      <c r="H576" s="94">
        <v>5</v>
      </c>
      <c r="I576" t="s">
        <v>60</v>
      </c>
      <c r="J576" t="s">
        <v>63</v>
      </c>
    </row>
    <row r="577" spans="1:10" x14ac:dyDescent="0.25">
      <c r="A577" t="s">
        <v>131</v>
      </c>
      <c r="B577" t="s">
        <v>168</v>
      </c>
      <c r="C577" s="12" t="s">
        <v>109</v>
      </c>
      <c r="D577" t="s">
        <v>4</v>
      </c>
      <c r="E577" t="s">
        <v>12</v>
      </c>
      <c r="F577" t="s">
        <v>16</v>
      </c>
      <c r="G577" t="s">
        <v>180</v>
      </c>
      <c r="H577" s="94">
        <v>5</v>
      </c>
      <c r="I577" t="s">
        <v>60</v>
      </c>
      <c r="J577" t="s">
        <v>11</v>
      </c>
    </row>
    <row r="578" spans="1:10" x14ac:dyDescent="0.25">
      <c r="A578" t="s">
        <v>131</v>
      </c>
      <c r="B578" t="s">
        <v>168</v>
      </c>
      <c r="C578" s="12" t="s">
        <v>109</v>
      </c>
      <c r="D578" t="s">
        <v>4</v>
      </c>
      <c r="E578" t="s">
        <v>12</v>
      </c>
      <c r="F578" t="s">
        <v>8</v>
      </c>
      <c r="G578" t="s">
        <v>180</v>
      </c>
      <c r="H578" s="94">
        <v>3</v>
      </c>
      <c r="I578" t="s">
        <v>107</v>
      </c>
      <c r="J578" t="s">
        <v>13</v>
      </c>
    </row>
    <row r="579" spans="1:10" x14ac:dyDescent="0.25">
      <c r="A579" t="s">
        <v>131</v>
      </c>
      <c r="B579" t="s">
        <v>168</v>
      </c>
      <c r="C579" s="12" t="s">
        <v>109</v>
      </c>
      <c r="D579" t="s">
        <v>4</v>
      </c>
      <c r="E579" t="s">
        <v>12</v>
      </c>
      <c r="F579" t="s">
        <v>8</v>
      </c>
      <c r="G579" t="s">
        <v>180</v>
      </c>
      <c r="H579" s="94">
        <v>3</v>
      </c>
      <c r="I579" t="s">
        <v>107</v>
      </c>
      <c r="J579" t="s">
        <v>63</v>
      </c>
    </row>
    <row r="580" spans="1:10" x14ac:dyDescent="0.25">
      <c r="A580" t="s">
        <v>131</v>
      </c>
      <c r="B580" t="s">
        <v>168</v>
      </c>
      <c r="C580" s="12" t="s">
        <v>109</v>
      </c>
      <c r="D580" t="s">
        <v>4</v>
      </c>
      <c r="E580" t="s">
        <v>12</v>
      </c>
      <c r="F580" t="s">
        <v>8</v>
      </c>
      <c r="G580" t="s">
        <v>180</v>
      </c>
      <c r="H580" s="94">
        <v>3</v>
      </c>
      <c r="I580" t="s">
        <v>107</v>
      </c>
      <c r="J580" t="s">
        <v>11</v>
      </c>
    </row>
    <row r="581" spans="1:10" x14ac:dyDescent="0.25">
      <c r="A581" t="s">
        <v>131</v>
      </c>
      <c r="B581" t="s">
        <v>168</v>
      </c>
      <c r="C581" s="12" t="s">
        <v>109</v>
      </c>
      <c r="D581" t="s">
        <v>4</v>
      </c>
      <c r="E581" t="s">
        <v>12</v>
      </c>
      <c r="F581" t="s">
        <v>8</v>
      </c>
      <c r="G581" t="s">
        <v>180</v>
      </c>
      <c r="H581" s="94">
        <v>3</v>
      </c>
      <c r="I581" t="s">
        <v>62</v>
      </c>
      <c r="J581" t="s">
        <v>13</v>
      </c>
    </row>
    <row r="582" spans="1:10" x14ac:dyDescent="0.25">
      <c r="A582" t="s">
        <v>131</v>
      </c>
      <c r="B582" t="s">
        <v>168</v>
      </c>
      <c r="C582" s="12" t="s">
        <v>109</v>
      </c>
      <c r="D582" t="s">
        <v>4</v>
      </c>
      <c r="E582" t="s">
        <v>12</v>
      </c>
      <c r="F582" t="s">
        <v>8</v>
      </c>
      <c r="G582" t="s">
        <v>180</v>
      </c>
      <c r="H582" s="94">
        <v>3</v>
      </c>
      <c r="I582" t="s">
        <v>62</v>
      </c>
      <c r="J582" t="s">
        <v>63</v>
      </c>
    </row>
    <row r="583" spans="1:10" x14ac:dyDescent="0.25">
      <c r="A583" t="s">
        <v>131</v>
      </c>
      <c r="B583" t="s">
        <v>168</v>
      </c>
      <c r="C583" s="12" t="s">
        <v>109</v>
      </c>
      <c r="D583" t="s">
        <v>4</v>
      </c>
      <c r="E583" t="s">
        <v>12</v>
      </c>
      <c r="F583" t="s">
        <v>8</v>
      </c>
      <c r="G583" t="s">
        <v>180</v>
      </c>
      <c r="H583" s="94">
        <v>3</v>
      </c>
      <c r="I583" t="s">
        <v>62</v>
      </c>
      <c r="J583" t="s">
        <v>11</v>
      </c>
    </row>
    <row r="584" spans="1:10" x14ac:dyDescent="0.25">
      <c r="A584" t="s">
        <v>131</v>
      </c>
      <c r="B584" t="s">
        <v>168</v>
      </c>
      <c r="C584" s="12" t="s">
        <v>109</v>
      </c>
      <c r="D584" t="s">
        <v>4</v>
      </c>
      <c r="E584" t="s">
        <v>12</v>
      </c>
      <c r="F584" t="s">
        <v>8</v>
      </c>
      <c r="G584" t="s">
        <v>180</v>
      </c>
      <c r="H584" s="94">
        <v>3</v>
      </c>
      <c r="I584" t="s">
        <v>60</v>
      </c>
      <c r="J584" t="s">
        <v>13</v>
      </c>
    </row>
    <row r="585" spans="1:10" x14ac:dyDescent="0.25">
      <c r="A585" t="s">
        <v>131</v>
      </c>
      <c r="B585" t="s">
        <v>168</v>
      </c>
      <c r="C585" s="12" t="s">
        <v>109</v>
      </c>
      <c r="D585" t="s">
        <v>4</v>
      </c>
      <c r="E585" t="s">
        <v>12</v>
      </c>
      <c r="F585" t="s">
        <v>8</v>
      </c>
      <c r="G585" t="s">
        <v>180</v>
      </c>
      <c r="H585" s="94">
        <v>3</v>
      </c>
      <c r="I585" t="s">
        <v>60</v>
      </c>
      <c r="J585" t="s">
        <v>63</v>
      </c>
    </row>
    <row r="586" spans="1:10" x14ac:dyDescent="0.25">
      <c r="A586" t="s">
        <v>131</v>
      </c>
      <c r="B586" t="s">
        <v>168</v>
      </c>
      <c r="C586" s="12" t="s">
        <v>109</v>
      </c>
      <c r="D586" t="s">
        <v>4</v>
      </c>
      <c r="E586" t="s">
        <v>12</v>
      </c>
      <c r="F586" t="s">
        <v>8</v>
      </c>
      <c r="G586" t="s">
        <v>180</v>
      </c>
      <c r="H586" s="94">
        <v>3</v>
      </c>
      <c r="I586" t="s">
        <v>60</v>
      </c>
      <c r="J586" t="s">
        <v>11</v>
      </c>
    </row>
    <row r="587" spans="1:10" x14ac:dyDescent="0.25">
      <c r="A587" t="s">
        <v>131</v>
      </c>
      <c r="B587" t="s">
        <v>168</v>
      </c>
      <c r="C587" s="12" t="s">
        <v>109</v>
      </c>
      <c r="D587" t="s">
        <v>4</v>
      </c>
      <c r="E587" t="s">
        <v>12</v>
      </c>
      <c r="F587" t="s">
        <v>8</v>
      </c>
      <c r="G587" t="s">
        <v>180</v>
      </c>
      <c r="H587" s="94">
        <v>5</v>
      </c>
      <c r="I587" t="s">
        <v>107</v>
      </c>
      <c r="J587" t="s">
        <v>13</v>
      </c>
    </row>
    <row r="588" spans="1:10" x14ac:dyDescent="0.25">
      <c r="A588" t="s">
        <v>131</v>
      </c>
      <c r="B588" t="s">
        <v>168</v>
      </c>
      <c r="C588" s="12" t="s">
        <v>109</v>
      </c>
      <c r="D588" t="s">
        <v>4</v>
      </c>
      <c r="E588" t="s">
        <v>12</v>
      </c>
      <c r="F588" t="s">
        <v>8</v>
      </c>
      <c r="G588" t="s">
        <v>180</v>
      </c>
      <c r="H588" s="94">
        <v>5</v>
      </c>
      <c r="I588" t="s">
        <v>107</v>
      </c>
      <c r="J588" t="s">
        <v>63</v>
      </c>
    </row>
    <row r="589" spans="1:10" x14ac:dyDescent="0.25">
      <c r="A589" t="s">
        <v>131</v>
      </c>
      <c r="B589" t="s">
        <v>168</v>
      </c>
      <c r="C589" s="12" t="s">
        <v>109</v>
      </c>
      <c r="D589" t="s">
        <v>4</v>
      </c>
      <c r="E589" t="s">
        <v>12</v>
      </c>
      <c r="F589" t="s">
        <v>8</v>
      </c>
      <c r="G589" t="s">
        <v>180</v>
      </c>
      <c r="H589" s="94">
        <v>5</v>
      </c>
      <c r="I589" t="s">
        <v>107</v>
      </c>
      <c r="J589" t="s">
        <v>11</v>
      </c>
    </row>
    <row r="590" spans="1:10" x14ac:dyDescent="0.25">
      <c r="A590" t="s">
        <v>131</v>
      </c>
      <c r="B590" t="s">
        <v>168</v>
      </c>
      <c r="C590" s="12" t="s">
        <v>109</v>
      </c>
      <c r="D590" t="s">
        <v>4</v>
      </c>
      <c r="E590" t="s">
        <v>12</v>
      </c>
      <c r="F590" t="s">
        <v>8</v>
      </c>
      <c r="G590" t="s">
        <v>180</v>
      </c>
      <c r="H590" s="94">
        <v>5</v>
      </c>
      <c r="I590" t="s">
        <v>62</v>
      </c>
      <c r="J590" t="s">
        <v>13</v>
      </c>
    </row>
    <row r="591" spans="1:10" x14ac:dyDescent="0.25">
      <c r="A591" t="s">
        <v>131</v>
      </c>
      <c r="B591" t="s">
        <v>168</v>
      </c>
      <c r="C591" s="12" t="s">
        <v>109</v>
      </c>
      <c r="D591" t="s">
        <v>4</v>
      </c>
      <c r="E591" t="s">
        <v>12</v>
      </c>
      <c r="F591" t="s">
        <v>8</v>
      </c>
      <c r="G591" t="s">
        <v>180</v>
      </c>
      <c r="H591" s="94">
        <v>5</v>
      </c>
      <c r="I591" t="s">
        <v>62</v>
      </c>
      <c r="J591" t="s">
        <v>63</v>
      </c>
    </row>
    <row r="592" spans="1:10" x14ac:dyDescent="0.25">
      <c r="A592" t="s">
        <v>131</v>
      </c>
      <c r="B592" t="s">
        <v>168</v>
      </c>
      <c r="C592" s="12" t="s">
        <v>109</v>
      </c>
      <c r="D592" t="s">
        <v>4</v>
      </c>
      <c r="E592" t="s">
        <v>12</v>
      </c>
      <c r="F592" t="s">
        <v>8</v>
      </c>
      <c r="G592" t="s">
        <v>180</v>
      </c>
      <c r="H592" s="94">
        <v>5</v>
      </c>
      <c r="I592" t="s">
        <v>62</v>
      </c>
      <c r="J592" t="s">
        <v>11</v>
      </c>
    </row>
    <row r="593" spans="1:10" x14ac:dyDescent="0.25">
      <c r="A593" t="s">
        <v>131</v>
      </c>
      <c r="B593" t="s">
        <v>168</v>
      </c>
      <c r="C593" s="12" t="s">
        <v>109</v>
      </c>
      <c r="D593" t="s">
        <v>4</v>
      </c>
      <c r="E593" t="s">
        <v>12</v>
      </c>
      <c r="F593" t="s">
        <v>8</v>
      </c>
      <c r="G593" t="s">
        <v>180</v>
      </c>
      <c r="H593" s="94">
        <v>5</v>
      </c>
      <c r="I593" t="s">
        <v>60</v>
      </c>
      <c r="J593" t="s">
        <v>13</v>
      </c>
    </row>
    <row r="594" spans="1:10" x14ac:dyDescent="0.25">
      <c r="A594" t="s">
        <v>131</v>
      </c>
      <c r="B594" t="s">
        <v>168</v>
      </c>
      <c r="C594" s="12" t="s">
        <v>109</v>
      </c>
      <c r="D594" t="s">
        <v>4</v>
      </c>
      <c r="E594" t="s">
        <v>12</v>
      </c>
      <c r="F594" t="s">
        <v>8</v>
      </c>
      <c r="G594" t="s">
        <v>180</v>
      </c>
      <c r="H594" s="94">
        <v>5</v>
      </c>
      <c r="I594" t="s">
        <v>60</v>
      </c>
      <c r="J594" t="s">
        <v>63</v>
      </c>
    </row>
    <row r="595" spans="1:10" x14ac:dyDescent="0.25">
      <c r="A595" t="s">
        <v>131</v>
      </c>
      <c r="B595" t="s">
        <v>168</v>
      </c>
      <c r="C595" s="12" t="s">
        <v>109</v>
      </c>
      <c r="D595" t="s">
        <v>4</v>
      </c>
      <c r="E595" t="s">
        <v>12</v>
      </c>
      <c r="F595" t="s">
        <v>8</v>
      </c>
      <c r="G595" t="s">
        <v>180</v>
      </c>
      <c r="H595" s="94">
        <v>5</v>
      </c>
      <c r="I595" t="s">
        <v>60</v>
      </c>
      <c r="J595" t="s">
        <v>11</v>
      </c>
    </row>
    <row r="596" spans="1:10" x14ac:dyDescent="0.25">
      <c r="A596" t="s">
        <v>131</v>
      </c>
      <c r="B596" t="s">
        <v>168</v>
      </c>
      <c r="C596" s="12" t="s">
        <v>109</v>
      </c>
      <c r="D596" t="s">
        <v>4</v>
      </c>
      <c r="E596" t="s">
        <v>6</v>
      </c>
      <c r="F596" t="s">
        <v>72</v>
      </c>
      <c r="G596" t="s">
        <v>180</v>
      </c>
      <c r="H596" s="94">
        <v>3</v>
      </c>
      <c r="I596" t="s">
        <v>107</v>
      </c>
      <c r="J596" t="s">
        <v>13</v>
      </c>
    </row>
    <row r="597" spans="1:10" x14ac:dyDescent="0.25">
      <c r="A597" t="s">
        <v>131</v>
      </c>
      <c r="B597" t="s">
        <v>168</v>
      </c>
      <c r="C597" s="12" t="s">
        <v>109</v>
      </c>
      <c r="D597" t="s">
        <v>4</v>
      </c>
      <c r="E597" t="s">
        <v>6</v>
      </c>
      <c r="F597" t="s">
        <v>72</v>
      </c>
      <c r="G597" t="s">
        <v>180</v>
      </c>
      <c r="H597" s="94">
        <v>3</v>
      </c>
      <c r="I597" t="s">
        <v>107</v>
      </c>
      <c r="J597" t="s">
        <v>63</v>
      </c>
    </row>
    <row r="598" spans="1:10" x14ac:dyDescent="0.25">
      <c r="A598" t="s">
        <v>131</v>
      </c>
      <c r="B598" t="s">
        <v>168</v>
      </c>
      <c r="C598" s="12" t="s">
        <v>109</v>
      </c>
      <c r="D598" t="s">
        <v>4</v>
      </c>
      <c r="E598" t="s">
        <v>6</v>
      </c>
      <c r="F598" t="s">
        <v>72</v>
      </c>
      <c r="G598" t="s">
        <v>180</v>
      </c>
      <c r="H598" s="94">
        <v>3</v>
      </c>
      <c r="I598" t="s">
        <v>107</v>
      </c>
      <c r="J598" t="s">
        <v>11</v>
      </c>
    </row>
    <row r="599" spans="1:10" x14ac:dyDescent="0.25">
      <c r="A599" t="s">
        <v>131</v>
      </c>
      <c r="B599" t="s">
        <v>168</v>
      </c>
      <c r="C599" s="12" t="s">
        <v>109</v>
      </c>
      <c r="D599" t="s">
        <v>4</v>
      </c>
      <c r="E599" t="s">
        <v>6</v>
      </c>
      <c r="F599" t="s">
        <v>72</v>
      </c>
      <c r="G599" t="s">
        <v>180</v>
      </c>
      <c r="H599" s="94">
        <v>3</v>
      </c>
      <c r="I599" t="s">
        <v>62</v>
      </c>
      <c r="J599" t="s">
        <v>13</v>
      </c>
    </row>
    <row r="600" spans="1:10" x14ac:dyDescent="0.25">
      <c r="A600" t="s">
        <v>131</v>
      </c>
      <c r="B600" t="s">
        <v>168</v>
      </c>
      <c r="C600" s="12" t="s">
        <v>109</v>
      </c>
      <c r="D600" t="s">
        <v>4</v>
      </c>
      <c r="E600" t="s">
        <v>6</v>
      </c>
      <c r="F600" t="s">
        <v>72</v>
      </c>
      <c r="G600" t="s">
        <v>180</v>
      </c>
      <c r="H600" s="94">
        <v>3</v>
      </c>
      <c r="I600" t="s">
        <v>62</v>
      </c>
      <c r="J600" t="s">
        <v>63</v>
      </c>
    </row>
    <row r="601" spans="1:10" x14ac:dyDescent="0.25">
      <c r="A601" t="s">
        <v>131</v>
      </c>
      <c r="B601" t="s">
        <v>168</v>
      </c>
      <c r="C601" s="12" t="s">
        <v>109</v>
      </c>
      <c r="D601" t="s">
        <v>4</v>
      </c>
      <c r="E601" t="s">
        <v>6</v>
      </c>
      <c r="F601" t="s">
        <v>72</v>
      </c>
      <c r="G601" t="s">
        <v>180</v>
      </c>
      <c r="H601" s="94">
        <v>3</v>
      </c>
      <c r="I601" t="s">
        <v>62</v>
      </c>
      <c r="J601" t="s">
        <v>11</v>
      </c>
    </row>
    <row r="602" spans="1:10" x14ac:dyDescent="0.25">
      <c r="A602" t="s">
        <v>131</v>
      </c>
      <c r="B602" t="s">
        <v>168</v>
      </c>
      <c r="C602" s="12" t="s">
        <v>109</v>
      </c>
      <c r="D602" t="s">
        <v>4</v>
      </c>
      <c r="E602" t="s">
        <v>6</v>
      </c>
      <c r="F602" t="s">
        <v>72</v>
      </c>
      <c r="G602" t="s">
        <v>180</v>
      </c>
      <c r="H602" s="94">
        <v>3</v>
      </c>
      <c r="I602" t="s">
        <v>60</v>
      </c>
      <c r="J602" t="s">
        <v>13</v>
      </c>
    </row>
    <row r="603" spans="1:10" x14ac:dyDescent="0.25">
      <c r="A603" t="s">
        <v>131</v>
      </c>
      <c r="B603" t="s">
        <v>168</v>
      </c>
      <c r="C603" s="12" t="s">
        <v>109</v>
      </c>
      <c r="D603" t="s">
        <v>4</v>
      </c>
      <c r="E603" t="s">
        <v>6</v>
      </c>
      <c r="F603" t="s">
        <v>72</v>
      </c>
      <c r="G603" t="s">
        <v>180</v>
      </c>
      <c r="H603" s="94">
        <v>3</v>
      </c>
      <c r="I603" t="s">
        <v>60</v>
      </c>
      <c r="J603" t="s">
        <v>63</v>
      </c>
    </row>
    <row r="604" spans="1:10" x14ac:dyDescent="0.25">
      <c r="A604" t="s">
        <v>131</v>
      </c>
      <c r="B604" t="s">
        <v>168</v>
      </c>
      <c r="C604" s="12" t="s">
        <v>109</v>
      </c>
      <c r="D604" t="s">
        <v>4</v>
      </c>
      <c r="E604" t="s">
        <v>6</v>
      </c>
      <c r="F604" t="s">
        <v>72</v>
      </c>
      <c r="G604" t="s">
        <v>180</v>
      </c>
      <c r="H604" s="94">
        <v>3</v>
      </c>
      <c r="I604" t="s">
        <v>60</v>
      </c>
      <c r="J604" t="s">
        <v>11</v>
      </c>
    </row>
    <row r="605" spans="1:10" x14ac:dyDescent="0.25">
      <c r="A605" t="s">
        <v>131</v>
      </c>
      <c r="B605" t="s">
        <v>168</v>
      </c>
      <c r="C605" s="12" t="s">
        <v>109</v>
      </c>
      <c r="D605" t="s">
        <v>4</v>
      </c>
      <c r="E605" t="s">
        <v>6</v>
      </c>
      <c r="F605" t="s">
        <v>72</v>
      </c>
      <c r="G605" t="s">
        <v>180</v>
      </c>
      <c r="H605" s="94">
        <v>5</v>
      </c>
      <c r="I605" t="s">
        <v>107</v>
      </c>
      <c r="J605" t="s">
        <v>13</v>
      </c>
    </row>
    <row r="606" spans="1:10" x14ac:dyDescent="0.25">
      <c r="A606" t="s">
        <v>131</v>
      </c>
      <c r="B606" t="s">
        <v>168</v>
      </c>
      <c r="C606" s="12" t="s">
        <v>109</v>
      </c>
      <c r="D606" t="s">
        <v>4</v>
      </c>
      <c r="E606" t="s">
        <v>6</v>
      </c>
      <c r="F606" t="s">
        <v>72</v>
      </c>
      <c r="G606" t="s">
        <v>180</v>
      </c>
      <c r="H606" s="94">
        <v>5</v>
      </c>
      <c r="I606" t="s">
        <v>107</v>
      </c>
      <c r="J606" t="s">
        <v>63</v>
      </c>
    </row>
    <row r="607" spans="1:10" x14ac:dyDescent="0.25">
      <c r="A607" t="s">
        <v>131</v>
      </c>
      <c r="B607" t="s">
        <v>168</v>
      </c>
      <c r="C607" s="12" t="s">
        <v>109</v>
      </c>
      <c r="D607" t="s">
        <v>4</v>
      </c>
      <c r="E607" t="s">
        <v>6</v>
      </c>
      <c r="F607" t="s">
        <v>72</v>
      </c>
      <c r="G607" t="s">
        <v>180</v>
      </c>
      <c r="H607" s="94">
        <v>5</v>
      </c>
      <c r="I607" t="s">
        <v>107</v>
      </c>
      <c r="J607" t="s">
        <v>11</v>
      </c>
    </row>
    <row r="608" spans="1:10" x14ac:dyDescent="0.25">
      <c r="A608" t="s">
        <v>131</v>
      </c>
      <c r="B608" t="s">
        <v>168</v>
      </c>
      <c r="C608" s="12" t="s">
        <v>109</v>
      </c>
      <c r="D608" t="s">
        <v>4</v>
      </c>
      <c r="E608" t="s">
        <v>6</v>
      </c>
      <c r="F608" t="s">
        <v>72</v>
      </c>
      <c r="G608" t="s">
        <v>180</v>
      </c>
      <c r="H608" s="94">
        <v>5</v>
      </c>
      <c r="I608" t="s">
        <v>62</v>
      </c>
      <c r="J608" t="s">
        <v>13</v>
      </c>
    </row>
    <row r="609" spans="1:10" x14ac:dyDescent="0.25">
      <c r="A609" t="s">
        <v>131</v>
      </c>
      <c r="B609" t="s">
        <v>168</v>
      </c>
      <c r="C609" s="12" t="s">
        <v>109</v>
      </c>
      <c r="D609" t="s">
        <v>4</v>
      </c>
      <c r="E609" t="s">
        <v>6</v>
      </c>
      <c r="F609" t="s">
        <v>72</v>
      </c>
      <c r="G609" t="s">
        <v>180</v>
      </c>
      <c r="H609" s="94">
        <v>5</v>
      </c>
      <c r="I609" t="s">
        <v>62</v>
      </c>
      <c r="J609" t="s">
        <v>63</v>
      </c>
    </row>
    <row r="610" spans="1:10" x14ac:dyDescent="0.25">
      <c r="A610" t="s">
        <v>131</v>
      </c>
      <c r="B610" t="s">
        <v>168</v>
      </c>
      <c r="C610" s="12" t="s">
        <v>109</v>
      </c>
      <c r="D610" t="s">
        <v>4</v>
      </c>
      <c r="E610" t="s">
        <v>6</v>
      </c>
      <c r="F610" t="s">
        <v>72</v>
      </c>
      <c r="G610" t="s">
        <v>180</v>
      </c>
      <c r="H610" s="94">
        <v>5</v>
      </c>
      <c r="I610" t="s">
        <v>62</v>
      </c>
      <c r="J610" t="s">
        <v>11</v>
      </c>
    </row>
    <row r="611" spans="1:10" x14ac:dyDescent="0.25">
      <c r="A611" t="s">
        <v>131</v>
      </c>
      <c r="B611" t="s">
        <v>168</v>
      </c>
      <c r="C611" s="12" t="s">
        <v>109</v>
      </c>
      <c r="D611" t="s">
        <v>4</v>
      </c>
      <c r="E611" t="s">
        <v>6</v>
      </c>
      <c r="F611" t="s">
        <v>72</v>
      </c>
      <c r="G611" t="s">
        <v>180</v>
      </c>
      <c r="H611" s="94">
        <v>5</v>
      </c>
      <c r="I611" t="s">
        <v>60</v>
      </c>
      <c r="J611" t="s">
        <v>13</v>
      </c>
    </row>
    <row r="612" spans="1:10" x14ac:dyDescent="0.25">
      <c r="A612" t="s">
        <v>131</v>
      </c>
      <c r="B612" t="s">
        <v>168</v>
      </c>
      <c r="C612" s="12" t="s">
        <v>109</v>
      </c>
      <c r="D612" t="s">
        <v>4</v>
      </c>
      <c r="E612" t="s">
        <v>6</v>
      </c>
      <c r="F612" t="s">
        <v>72</v>
      </c>
      <c r="G612" t="s">
        <v>180</v>
      </c>
      <c r="H612" s="94">
        <v>5</v>
      </c>
      <c r="I612" t="s">
        <v>60</v>
      </c>
      <c r="J612" t="s">
        <v>63</v>
      </c>
    </row>
    <row r="613" spans="1:10" x14ac:dyDescent="0.25">
      <c r="A613" t="s">
        <v>131</v>
      </c>
      <c r="B613" t="s">
        <v>168</v>
      </c>
      <c r="C613" s="12" t="s">
        <v>109</v>
      </c>
      <c r="D613" t="s">
        <v>4</v>
      </c>
      <c r="E613" t="s">
        <v>6</v>
      </c>
      <c r="F613" t="s">
        <v>72</v>
      </c>
      <c r="G613" t="s">
        <v>180</v>
      </c>
      <c r="H613" s="94">
        <v>5</v>
      </c>
      <c r="I613" t="s">
        <v>60</v>
      </c>
      <c r="J613" t="s">
        <v>11</v>
      </c>
    </row>
    <row r="614" spans="1:10" x14ac:dyDescent="0.25">
      <c r="A614" t="s">
        <v>131</v>
      </c>
      <c r="B614" t="s">
        <v>168</v>
      </c>
      <c r="C614" s="12" t="s">
        <v>109</v>
      </c>
      <c r="D614" t="s">
        <v>4</v>
      </c>
      <c r="E614" t="s">
        <v>6</v>
      </c>
      <c r="F614" t="s">
        <v>16</v>
      </c>
      <c r="G614" t="s">
        <v>180</v>
      </c>
      <c r="H614" s="94">
        <v>3</v>
      </c>
      <c r="I614" t="s">
        <v>107</v>
      </c>
      <c r="J614" t="s">
        <v>13</v>
      </c>
    </row>
    <row r="615" spans="1:10" x14ac:dyDescent="0.25">
      <c r="A615" t="s">
        <v>131</v>
      </c>
      <c r="B615" t="s">
        <v>168</v>
      </c>
      <c r="C615" s="12" t="s">
        <v>109</v>
      </c>
      <c r="D615" t="s">
        <v>4</v>
      </c>
      <c r="E615" t="s">
        <v>6</v>
      </c>
      <c r="F615" t="s">
        <v>16</v>
      </c>
      <c r="G615" t="s">
        <v>180</v>
      </c>
      <c r="H615" s="94">
        <v>3</v>
      </c>
      <c r="I615" t="s">
        <v>107</v>
      </c>
      <c r="J615" t="s">
        <v>63</v>
      </c>
    </row>
    <row r="616" spans="1:10" x14ac:dyDescent="0.25">
      <c r="A616" t="s">
        <v>131</v>
      </c>
      <c r="B616" t="s">
        <v>168</v>
      </c>
      <c r="C616" s="12" t="s">
        <v>109</v>
      </c>
      <c r="D616" t="s">
        <v>4</v>
      </c>
      <c r="E616" t="s">
        <v>6</v>
      </c>
      <c r="F616" t="s">
        <v>16</v>
      </c>
      <c r="G616" t="s">
        <v>180</v>
      </c>
      <c r="H616" s="94">
        <v>3</v>
      </c>
      <c r="I616" t="s">
        <v>107</v>
      </c>
      <c r="J616" t="s">
        <v>11</v>
      </c>
    </row>
    <row r="617" spans="1:10" x14ac:dyDescent="0.25">
      <c r="A617" t="s">
        <v>131</v>
      </c>
      <c r="B617" t="s">
        <v>168</v>
      </c>
      <c r="C617" s="12" t="s">
        <v>109</v>
      </c>
      <c r="D617" t="s">
        <v>4</v>
      </c>
      <c r="E617" t="s">
        <v>6</v>
      </c>
      <c r="F617" t="s">
        <v>16</v>
      </c>
      <c r="G617" t="s">
        <v>180</v>
      </c>
      <c r="H617" s="94">
        <v>3</v>
      </c>
      <c r="I617" t="s">
        <v>62</v>
      </c>
      <c r="J617" t="s">
        <v>13</v>
      </c>
    </row>
    <row r="618" spans="1:10" x14ac:dyDescent="0.25">
      <c r="A618" t="s">
        <v>131</v>
      </c>
      <c r="B618" t="s">
        <v>168</v>
      </c>
      <c r="C618" s="12" t="s">
        <v>109</v>
      </c>
      <c r="D618" t="s">
        <v>4</v>
      </c>
      <c r="E618" t="s">
        <v>6</v>
      </c>
      <c r="F618" t="s">
        <v>16</v>
      </c>
      <c r="G618" t="s">
        <v>180</v>
      </c>
      <c r="H618" s="94">
        <v>3</v>
      </c>
      <c r="I618" t="s">
        <v>62</v>
      </c>
      <c r="J618" t="s">
        <v>63</v>
      </c>
    </row>
    <row r="619" spans="1:10" x14ac:dyDescent="0.25">
      <c r="A619" t="s">
        <v>131</v>
      </c>
      <c r="B619" t="s">
        <v>168</v>
      </c>
      <c r="C619" s="12" t="s">
        <v>109</v>
      </c>
      <c r="D619" t="s">
        <v>4</v>
      </c>
      <c r="E619" t="s">
        <v>6</v>
      </c>
      <c r="F619" t="s">
        <v>16</v>
      </c>
      <c r="G619" t="s">
        <v>180</v>
      </c>
      <c r="H619" s="94">
        <v>3</v>
      </c>
      <c r="I619" t="s">
        <v>62</v>
      </c>
      <c r="J619" t="s">
        <v>11</v>
      </c>
    </row>
    <row r="620" spans="1:10" x14ac:dyDescent="0.25">
      <c r="A620" t="s">
        <v>131</v>
      </c>
      <c r="B620" t="s">
        <v>168</v>
      </c>
      <c r="C620" s="12" t="s">
        <v>109</v>
      </c>
      <c r="D620" t="s">
        <v>4</v>
      </c>
      <c r="E620" t="s">
        <v>6</v>
      </c>
      <c r="F620" t="s">
        <v>16</v>
      </c>
      <c r="G620" t="s">
        <v>180</v>
      </c>
      <c r="H620" s="94">
        <v>3</v>
      </c>
      <c r="I620" t="s">
        <v>60</v>
      </c>
      <c r="J620" t="s">
        <v>13</v>
      </c>
    </row>
    <row r="621" spans="1:10" x14ac:dyDescent="0.25">
      <c r="A621" t="s">
        <v>131</v>
      </c>
      <c r="B621" t="s">
        <v>168</v>
      </c>
      <c r="C621" s="12" t="s">
        <v>109</v>
      </c>
      <c r="D621" t="s">
        <v>4</v>
      </c>
      <c r="E621" t="s">
        <v>6</v>
      </c>
      <c r="F621" t="s">
        <v>16</v>
      </c>
      <c r="G621" t="s">
        <v>180</v>
      </c>
      <c r="H621" s="94">
        <v>3</v>
      </c>
      <c r="I621" t="s">
        <v>60</v>
      </c>
      <c r="J621" t="s">
        <v>63</v>
      </c>
    </row>
    <row r="622" spans="1:10" x14ac:dyDescent="0.25">
      <c r="A622" t="s">
        <v>131</v>
      </c>
      <c r="B622" t="s">
        <v>168</v>
      </c>
      <c r="C622" s="12" t="s">
        <v>109</v>
      </c>
      <c r="D622" t="s">
        <v>4</v>
      </c>
      <c r="E622" t="s">
        <v>6</v>
      </c>
      <c r="F622" t="s">
        <v>16</v>
      </c>
      <c r="G622" t="s">
        <v>180</v>
      </c>
      <c r="H622" s="94">
        <v>3</v>
      </c>
      <c r="I622" t="s">
        <v>60</v>
      </c>
      <c r="J622" t="s">
        <v>11</v>
      </c>
    </row>
    <row r="623" spans="1:10" x14ac:dyDescent="0.25">
      <c r="A623" t="s">
        <v>131</v>
      </c>
      <c r="B623" t="s">
        <v>168</v>
      </c>
      <c r="C623" s="12" t="s">
        <v>109</v>
      </c>
      <c r="D623" t="s">
        <v>4</v>
      </c>
      <c r="E623" t="s">
        <v>6</v>
      </c>
      <c r="F623" t="s">
        <v>16</v>
      </c>
      <c r="G623" t="s">
        <v>180</v>
      </c>
      <c r="H623" s="94">
        <v>5</v>
      </c>
      <c r="I623" t="s">
        <v>107</v>
      </c>
      <c r="J623" t="s">
        <v>13</v>
      </c>
    </row>
    <row r="624" spans="1:10" x14ac:dyDescent="0.25">
      <c r="A624" t="s">
        <v>131</v>
      </c>
      <c r="B624" t="s">
        <v>168</v>
      </c>
      <c r="C624" s="12" t="s">
        <v>109</v>
      </c>
      <c r="D624" t="s">
        <v>4</v>
      </c>
      <c r="E624" t="s">
        <v>6</v>
      </c>
      <c r="F624" t="s">
        <v>16</v>
      </c>
      <c r="G624" t="s">
        <v>180</v>
      </c>
      <c r="H624" s="94">
        <v>5</v>
      </c>
      <c r="I624" t="s">
        <v>107</v>
      </c>
      <c r="J624" t="s">
        <v>63</v>
      </c>
    </row>
    <row r="625" spans="1:10" x14ac:dyDescent="0.25">
      <c r="A625" t="s">
        <v>131</v>
      </c>
      <c r="B625" t="s">
        <v>168</v>
      </c>
      <c r="C625" s="12" t="s">
        <v>109</v>
      </c>
      <c r="D625" t="s">
        <v>4</v>
      </c>
      <c r="E625" t="s">
        <v>6</v>
      </c>
      <c r="F625" t="s">
        <v>16</v>
      </c>
      <c r="G625" t="s">
        <v>180</v>
      </c>
      <c r="H625" s="94">
        <v>5</v>
      </c>
      <c r="I625" t="s">
        <v>107</v>
      </c>
      <c r="J625" t="s">
        <v>11</v>
      </c>
    </row>
    <row r="626" spans="1:10" x14ac:dyDescent="0.25">
      <c r="A626" t="s">
        <v>131</v>
      </c>
      <c r="B626" t="s">
        <v>168</v>
      </c>
      <c r="C626" s="12" t="s">
        <v>109</v>
      </c>
      <c r="D626" t="s">
        <v>4</v>
      </c>
      <c r="E626" t="s">
        <v>6</v>
      </c>
      <c r="F626" t="s">
        <v>16</v>
      </c>
      <c r="G626" t="s">
        <v>180</v>
      </c>
      <c r="H626" s="94">
        <v>5</v>
      </c>
      <c r="I626" t="s">
        <v>62</v>
      </c>
      <c r="J626" t="s">
        <v>13</v>
      </c>
    </row>
    <row r="627" spans="1:10" x14ac:dyDescent="0.25">
      <c r="A627" t="s">
        <v>131</v>
      </c>
      <c r="B627" t="s">
        <v>168</v>
      </c>
      <c r="C627" s="12" t="s">
        <v>109</v>
      </c>
      <c r="D627" t="s">
        <v>4</v>
      </c>
      <c r="E627" t="s">
        <v>6</v>
      </c>
      <c r="F627" t="s">
        <v>16</v>
      </c>
      <c r="G627" t="s">
        <v>180</v>
      </c>
      <c r="H627" s="94">
        <v>5</v>
      </c>
      <c r="I627" t="s">
        <v>62</v>
      </c>
      <c r="J627" t="s">
        <v>63</v>
      </c>
    </row>
    <row r="628" spans="1:10" x14ac:dyDescent="0.25">
      <c r="A628" t="s">
        <v>131</v>
      </c>
      <c r="B628" t="s">
        <v>168</v>
      </c>
      <c r="C628" s="12" t="s">
        <v>109</v>
      </c>
      <c r="D628" t="s">
        <v>4</v>
      </c>
      <c r="E628" t="s">
        <v>6</v>
      </c>
      <c r="F628" t="s">
        <v>16</v>
      </c>
      <c r="G628" t="s">
        <v>180</v>
      </c>
      <c r="H628" s="94">
        <v>5</v>
      </c>
      <c r="I628" t="s">
        <v>62</v>
      </c>
      <c r="J628" t="s">
        <v>11</v>
      </c>
    </row>
    <row r="629" spans="1:10" x14ac:dyDescent="0.25">
      <c r="A629" t="s">
        <v>131</v>
      </c>
      <c r="B629" t="s">
        <v>168</v>
      </c>
      <c r="C629" s="12" t="s">
        <v>109</v>
      </c>
      <c r="D629" t="s">
        <v>4</v>
      </c>
      <c r="E629" t="s">
        <v>6</v>
      </c>
      <c r="F629" t="s">
        <v>16</v>
      </c>
      <c r="G629" t="s">
        <v>180</v>
      </c>
      <c r="H629" s="94">
        <v>5</v>
      </c>
      <c r="I629" t="s">
        <v>60</v>
      </c>
      <c r="J629" t="s">
        <v>13</v>
      </c>
    </row>
    <row r="630" spans="1:10" x14ac:dyDescent="0.25">
      <c r="A630" t="s">
        <v>131</v>
      </c>
      <c r="B630" t="s">
        <v>168</v>
      </c>
      <c r="C630" s="12" t="s">
        <v>109</v>
      </c>
      <c r="D630" t="s">
        <v>4</v>
      </c>
      <c r="E630" t="s">
        <v>6</v>
      </c>
      <c r="F630" t="s">
        <v>16</v>
      </c>
      <c r="G630" t="s">
        <v>180</v>
      </c>
      <c r="H630" s="94">
        <v>5</v>
      </c>
      <c r="I630" t="s">
        <v>60</v>
      </c>
      <c r="J630" t="s">
        <v>63</v>
      </c>
    </row>
    <row r="631" spans="1:10" x14ac:dyDescent="0.25">
      <c r="A631" t="s">
        <v>131</v>
      </c>
      <c r="B631" t="s">
        <v>168</v>
      </c>
      <c r="C631" s="12" t="s">
        <v>109</v>
      </c>
      <c r="D631" t="s">
        <v>4</v>
      </c>
      <c r="E631" t="s">
        <v>6</v>
      </c>
      <c r="F631" t="s">
        <v>16</v>
      </c>
      <c r="G631" t="s">
        <v>180</v>
      </c>
      <c r="H631" s="94">
        <v>5</v>
      </c>
      <c r="I631" t="s">
        <v>60</v>
      </c>
      <c r="J631" t="s">
        <v>11</v>
      </c>
    </row>
    <row r="632" spans="1:10" x14ac:dyDescent="0.25">
      <c r="A632" t="s">
        <v>131</v>
      </c>
      <c r="B632" t="s">
        <v>168</v>
      </c>
      <c r="C632" s="12" t="s">
        <v>109</v>
      </c>
      <c r="D632" t="s">
        <v>4</v>
      </c>
      <c r="E632" t="s">
        <v>6</v>
      </c>
      <c r="F632" t="s">
        <v>8</v>
      </c>
      <c r="G632" t="s">
        <v>180</v>
      </c>
      <c r="H632" s="94">
        <v>3</v>
      </c>
      <c r="I632" t="s">
        <v>107</v>
      </c>
      <c r="J632" t="s">
        <v>13</v>
      </c>
    </row>
    <row r="633" spans="1:10" x14ac:dyDescent="0.25">
      <c r="A633" t="s">
        <v>131</v>
      </c>
      <c r="B633" t="s">
        <v>168</v>
      </c>
      <c r="C633" s="12" t="s">
        <v>109</v>
      </c>
      <c r="D633" t="s">
        <v>4</v>
      </c>
      <c r="E633" t="s">
        <v>6</v>
      </c>
      <c r="F633" t="s">
        <v>8</v>
      </c>
      <c r="G633" t="s">
        <v>180</v>
      </c>
      <c r="H633" s="94">
        <v>3</v>
      </c>
      <c r="I633" t="s">
        <v>107</v>
      </c>
      <c r="J633" t="s">
        <v>63</v>
      </c>
    </row>
    <row r="634" spans="1:10" x14ac:dyDescent="0.25">
      <c r="A634" t="s">
        <v>131</v>
      </c>
      <c r="B634" t="s">
        <v>168</v>
      </c>
      <c r="C634" s="12" t="s">
        <v>109</v>
      </c>
      <c r="D634" t="s">
        <v>4</v>
      </c>
      <c r="E634" t="s">
        <v>6</v>
      </c>
      <c r="F634" t="s">
        <v>8</v>
      </c>
      <c r="G634" t="s">
        <v>180</v>
      </c>
      <c r="H634" s="94">
        <v>3</v>
      </c>
      <c r="I634" t="s">
        <v>107</v>
      </c>
      <c r="J634" t="s">
        <v>11</v>
      </c>
    </row>
    <row r="635" spans="1:10" x14ac:dyDescent="0.25">
      <c r="A635" t="s">
        <v>131</v>
      </c>
      <c r="B635" t="s">
        <v>168</v>
      </c>
      <c r="C635" s="12" t="s">
        <v>109</v>
      </c>
      <c r="D635" t="s">
        <v>4</v>
      </c>
      <c r="E635" t="s">
        <v>6</v>
      </c>
      <c r="F635" t="s">
        <v>8</v>
      </c>
      <c r="G635" t="s">
        <v>180</v>
      </c>
      <c r="H635" s="94">
        <v>3</v>
      </c>
      <c r="I635" t="s">
        <v>62</v>
      </c>
      <c r="J635" t="s">
        <v>13</v>
      </c>
    </row>
    <row r="636" spans="1:10" x14ac:dyDescent="0.25">
      <c r="A636" t="s">
        <v>131</v>
      </c>
      <c r="B636" t="s">
        <v>168</v>
      </c>
      <c r="C636" s="12" t="s">
        <v>109</v>
      </c>
      <c r="D636" t="s">
        <v>4</v>
      </c>
      <c r="E636" t="s">
        <v>6</v>
      </c>
      <c r="F636" t="s">
        <v>8</v>
      </c>
      <c r="G636" t="s">
        <v>180</v>
      </c>
      <c r="H636" s="94">
        <v>3</v>
      </c>
      <c r="I636" t="s">
        <v>62</v>
      </c>
      <c r="J636" t="s">
        <v>63</v>
      </c>
    </row>
    <row r="637" spans="1:10" x14ac:dyDescent="0.25">
      <c r="A637" t="s">
        <v>131</v>
      </c>
      <c r="B637" t="s">
        <v>168</v>
      </c>
      <c r="C637" s="12" t="s">
        <v>109</v>
      </c>
      <c r="D637" t="s">
        <v>4</v>
      </c>
      <c r="E637" t="s">
        <v>6</v>
      </c>
      <c r="F637" t="s">
        <v>8</v>
      </c>
      <c r="G637" t="s">
        <v>180</v>
      </c>
      <c r="H637" s="94">
        <v>3</v>
      </c>
      <c r="I637" t="s">
        <v>62</v>
      </c>
      <c r="J637" t="s">
        <v>11</v>
      </c>
    </row>
    <row r="638" spans="1:10" x14ac:dyDescent="0.25">
      <c r="A638" t="s">
        <v>131</v>
      </c>
      <c r="B638" t="s">
        <v>168</v>
      </c>
      <c r="C638" s="12" t="s">
        <v>109</v>
      </c>
      <c r="D638" t="s">
        <v>4</v>
      </c>
      <c r="E638" t="s">
        <v>6</v>
      </c>
      <c r="F638" t="s">
        <v>8</v>
      </c>
      <c r="G638" t="s">
        <v>180</v>
      </c>
      <c r="H638" s="94">
        <v>3</v>
      </c>
      <c r="I638" t="s">
        <v>60</v>
      </c>
      <c r="J638" t="s">
        <v>13</v>
      </c>
    </row>
    <row r="639" spans="1:10" x14ac:dyDescent="0.25">
      <c r="A639" t="s">
        <v>131</v>
      </c>
      <c r="B639" t="s">
        <v>168</v>
      </c>
      <c r="C639" s="12" t="s">
        <v>109</v>
      </c>
      <c r="D639" t="s">
        <v>4</v>
      </c>
      <c r="E639" t="s">
        <v>6</v>
      </c>
      <c r="F639" t="s">
        <v>8</v>
      </c>
      <c r="G639" t="s">
        <v>180</v>
      </c>
      <c r="H639" s="94">
        <v>3</v>
      </c>
      <c r="I639" t="s">
        <v>60</v>
      </c>
      <c r="J639" t="s">
        <v>63</v>
      </c>
    </row>
    <row r="640" spans="1:10" x14ac:dyDescent="0.25">
      <c r="A640" t="s">
        <v>131</v>
      </c>
      <c r="B640" t="s">
        <v>168</v>
      </c>
      <c r="C640" s="12" t="s">
        <v>109</v>
      </c>
      <c r="D640" t="s">
        <v>4</v>
      </c>
      <c r="E640" t="s">
        <v>6</v>
      </c>
      <c r="F640" t="s">
        <v>8</v>
      </c>
      <c r="G640" t="s">
        <v>180</v>
      </c>
      <c r="H640" s="94">
        <v>3</v>
      </c>
      <c r="I640" t="s">
        <v>60</v>
      </c>
      <c r="J640" t="s">
        <v>11</v>
      </c>
    </row>
    <row r="641" spans="1:10" x14ac:dyDescent="0.25">
      <c r="A641" t="s">
        <v>131</v>
      </c>
      <c r="B641" t="s">
        <v>168</v>
      </c>
      <c r="C641" s="12" t="s">
        <v>109</v>
      </c>
      <c r="D641" t="s">
        <v>4</v>
      </c>
      <c r="E641" t="s">
        <v>6</v>
      </c>
      <c r="F641" t="s">
        <v>8</v>
      </c>
      <c r="G641" t="s">
        <v>180</v>
      </c>
      <c r="H641" s="94">
        <v>5</v>
      </c>
      <c r="I641" t="s">
        <v>107</v>
      </c>
      <c r="J641" t="s">
        <v>13</v>
      </c>
    </row>
    <row r="642" spans="1:10" x14ac:dyDescent="0.25">
      <c r="A642" t="s">
        <v>131</v>
      </c>
      <c r="B642" t="s">
        <v>168</v>
      </c>
      <c r="C642" s="12" t="s">
        <v>109</v>
      </c>
      <c r="D642" t="s">
        <v>4</v>
      </c>
      <c r="E642" t="s">
        <v>6</v>
      </c>
      <c r="F642" t="s">
        <v>8</v>
      </c>
      <c r="G642" t="s">
        <v>180</v>
      </c>
      <c r="H642" s="94">
        <v>5</v>
      </c>
      <c r="I642" t="s">
        <v>107</v>
      </c>
      <c r="J642" t="s">
        <v>63</v>
      </c>
    </row>
    <row r="643" spans="1:10" x14ac:dyDescent="0.25">
      <c r="A643" t="s">
        <v>131</v>
      </c>
      <c r="B643" t="s">
        <v>168</v>
      </c>
      <c r="C643" s="12" t="s">
        <v>109</v>
      </c>
      <c r="D643" t="s">
        <v>4</v>
      </c>
      <c r="E643" t="s">
        <v>6</v>
      </c>
      <c r="F643" t="s">
        <v>8</v>
      </c>
      <c r="G643" t="s">
        <v>180</v>
      </c>
      <c r="H643" s="94">
        <v>5</v>
      </c>
      <c r="I643" t="s">
        <v>107</v>
      </c>
      <c r="J643" t="s">
        <v>11</v>
      </c>
    </row>
    <row r="644" spans="1:10" x14ac:dyDescent="0.25">
      <c r="A644" t="s">
        <v>131</v>
      </c>
      <c r="B644" t="s">
        <v>168</v>
      </c>
      <c r="C644" s="12" t="s">
        <v>109</v>
      </c>
      <c r="D644" t="s">
        <v>4</v>
      </c>
      <c r="E644" t="s">
        <v>6</v>
      </c>
      <c r="F644" t="s">
        <v>8</v>
      </c>
      <c r="G644" t="s">
        <v>180</v>
      </c>
      <c r="H644" s="94">
        <v>5</v>
      </c>
      <c r="I644" t="s">
        <v>62</v>
      </c>
      <c r="J644" t="s">
        <v>13</v>
      </c>
    </row>
    <row r="645" spans="1:10" x14ac:dyDescent="0.25">
      <c r="A645" t="s">
        <v>131</v>
      </c>
      <c r="B645" t="s">
        <v>168</v>
      </c>
      <c r="C645" s="12" t="s">
        <v>109</v>
      </c>
      <c r="D645" t="s">
        <v>4</v>
      </c>
      <c r="E645" t="s">
        <v>6</v>
      </c>
      <c r="F645" t="s">
        <v>8</v>
      </c>
      <c r="G645" t="s">
        <v>180</v>
      </c>
      <c r="H645" s="94">
        <v>5</v>
      </c>
      <c r="I645" t="s">
        <v>62</v>
      </c>
      <c r="J645" t="s">
        <v>63</v>
      </c>
    </row>
    <row r="646" spans="1:10" x14ac:dyDescent="0.25">
      <c r="A646" t="s">
        <v>131</v>
      </c>
      <c r="B646" t="s">
        <v>168</v>
      </c>
      <c r="C646" s="12" t="s">
        <v>109</v>
      </c>
      <c r="D646" t="s">
        <v>4</v>
      </c>
      <c r="E646" t="s">
        <v>6</v>
      </c>
      <c r="F646" t="s">
        <v>8</v>
      </c>
      <c r="G646" t="s">
        <v>180</v>
      </c>
      <c r="H646" s="94">
        <v>5</v>
      </c>
      <c r="I646" t="s">
        <v>62</v>
      </c>
      <c r="J646" t="s">
        <v>11</v>
      </c>
    </row>
    <row r="647" spans="1:10" x14ac:dyDescent="0.25">
      <c r="A647" t="s">
        <v>131</v>
      </c>
      <c r="B647" t="s">
        <v>168</v>
      </c>
      <c r="C647" s="12" t="s">
        <v>109</v>
      </c>
      <c r="D647" t="s">
        <v>4</v>
      </c>
      <c r="E647" t="s">
        <v>6</v>
      </c>
      <c r="F647" t="s">
        <v>8</v>
      </c>
      <c r="G647" t="s">
        <v>180</v>
      </c>
      <c r="H647" s="94">
        <v>5</v>
      </c>
      <c r="I647" t="s">
        <v>60</v>
      </c>
      <c r="J647" t="s">
        <v>13</v>
      </c>
    </row>
    <row r="648" spans="1:10" x14ac:dyDescent="0.25">
      <c r="A648" t="s">
        <v>131</v>
      </c>
      <c r="B648" t="s">
        <v>168</v>
      </c>
      <c r="C648" s="12" t="s">
        <v>109</v>
      </c>
      <c r="D648" t="s">
        <v>4</v>
      </c>
      <c r="E648" t="s">
        <v>6</v>
      </c>
      <c r="F648" t="s">
        <v>8</v>
      </c>
      <c r="G648" t="s">
        <v>180</v>
      </c>
      <c r="H648" s="94">
        <v>5</v>
      </c>
      <c r="I648" t="s">
        <v>60</v>
      </c>
      <c r="J648" t="s">
        <v>63</v>
      </c>
    </row>
    <row r="649" spans="1:10" x14ac:dyDescent="0.25">
      <c r="A649" t="s">
        <v>131</v>
      </c>
      <c r="B649" t="s">
        <v>168</v>
      </c>
      <c r="C649" s="12" t="s">
        <v>109</v>
      </c>
      <c r="D649" t="s">
        <v>4</v>
      </c>
      <c r="E649" t="s">
        <v>6</v>
      </c>
      <c r="F649" t="s">
        <v>8</v>
      </c>
      <c r="G649" t="s">
        <v>180</v>
      </c>
      <c r="H649" s="94">
        <v>5</v>
      </c>
      <c r="I649" t="s">
        <v>60</v>
      </c>
      <c r="J649" t="s">
        <v>11</v>
      </c>
    </row>
    <row r="650" spans="1:10" x14ac:dyDescent="0.25">
      <c r="A650" t="s">
        <v>131</v>
      </c>
      <c r="B650" t="s">
        <v>14</v>
      </c>
      <c r="C650" s="12" t="s">
        <v>109</v>
      </c>
      <c r="D650" t="s">
        <v>4</v>
      </c>
      <c r="E650" t="s">
        <v>12</v>
      </c>
      <c r="F650" t="s">
        <v>72</v>
      </c>
      <c r="G650" t="s">
        <v>181</v>
      </c>
      <c r="H650" s="94">
        <v>0.02</v>
      </c>
      <c r="I650" t="s">
        <v>107</v>
      </c>
      <c r="J650" t="s">
        <v>13</v>
      </c>
    </row>
    <row r="651" spans="1:10" x14ac:dyDescent="0.25">
      <c r="A651" t="s">
        <v>131</v>
      </c>
      <c r="B651" t="s">
        <v>14</v>
      </c>
      <c r="C651" s="12" t="s">
        <v>109</v>
      </c>
      <c r="D651" t="s">
        <v>4</v>
      </c>
      <c r="E651" t="s">
        <v>12</v>
      </c>
      <c r="F651" t="s">
        <v>72</v>
      </c>
      <c r="G651" t="s">
        <v>181</v>
      </c>
      <c r="H651" s="94">
        <v>0.02</v>
      </c>
      <c r="I651" t="s">
        <v>107</v>
      </c>
      <c r="J651" t="s">
        <v>63</v>
      </c>
    </row>
    <row r="652" spans="1:10" x14ac:dyDescent="0.25">
      <c r="A652" t="s">
        <v>131</v>
      </c>
      <c r="B652" t="s">
        <v>14</v>
      </c>
      <c r="C652" s="12" t="s">
        <v>109</v>
      </c>
      <c r="D652" t="s">
        <v>4</v>
      </c>
      <c r="E652" t="s">
        <v>12</v>
      </c>
      <c r="F652" t="s">
        <v>72</v>
      </c>
      <c r="G652" t="s">
        <v>181</v>
      </c>
      <c r="H652" s="94">
        <v>0.02</v>
      </c>
      <c r="I652" t="s">
        <v>107</v>
      </c>
      <c r="J652" t="s">
        <v>11</v>
      </c>
    </row>
    <row r="653" spans="1:10" x14ac:dyDescent="0.25">
      <c r="A653" t="s">
        <v>131</v>
      </c>
      <c r="B653" t="s">
        <v>14</v>
      </c>
      <c r="C653" s="12" t="s">
        <v>109</v>
      </c>
      <c r="D653" t="s">
        <v>4</v>
      </c>
      <c r="E653" t="s">
        <v>12</v>
      </c>
      <c r="F653" t="s">
        <v>72</v>
      </c>
      <c r="G653" t="s">
        <v>181</v>
      </c>
      <c r="H653" s="94">
        <v>0.02</v>
      </c>
      <c r="I653" t="s">
        <v>62</v>
      </c>
      <c r="J653" t="s">
        <v>13</v>
      </c>
    </row>
    <row r="654" spans="1:10" x14ac:dyDescent="0.25">
      <c r="A654" t="s">
        <v>131</v>
      </c>
      <c r="B654" t="s">
        <v>14</v>
      </c>
      <c r="C654" s="12" t="s">
        <v>109</v>
      </c>
      <c r="D654" t="s">
        <v>4</v>
      </c>
      <c r="E654" t="s">
        <v>12</v>
      </c>
      <c r="F654" t="s">
        <v>72</v>
      </c>
      <c r="G654" t="s">
        <v>181</v>
      </c>
      <c r="H654" s="94">
        <v>0.02</v>
      </c>
      <c r="I654" t="s">
        <v>62</v>
      </c>
      <c r="J654" t="s">
        <v>63</v>
      </c>
    </row>
    <row r="655" spans="1:10" x14ac:dyDescent="0.25">
      <c r="A655" t="s">
        <v>131</v>
      </c>
      <c r="B655" t="s">
        <v>14</v>
      </c>
      <c r="C655" s="12" t="s">
        <v>109</v>
      </c>
      <c r="D655" t="s">
        <v>4</v>
      </c>
      <c r="E655" t="s">
        <v>12</v>
      </c>
      <c r="F655" t="s">
        <v>72</v>
      </c>
      <c r="G655" t="s">
        <v>181</v>
      </c>
      <c r="H655" s="94">
        <v>0.02</v>
      </c>
      <c r="I655" t="s">
        <v>62</v>
      </c>
      <c r="J655" t="s">
        <v>11</v>
      </c>
    </row>
    <row r="656" spans="1:10" x14ac:dyDescent="0.25">
      <c r="A656" t="s">
        <v>131</v>
      </c>
      <c r="B656" t="s">
        <v>14</v>
      </c>
      <c r="C656" s="12" t="s">
        <v>109</v>
      </c>
      <c r="D656" t="s">
        <v>4</v>
      </c>
      <c r="E656" t="s">
        <v>12</v>
      </c>
      <c r="F656" t="s">
        <v>72</v>
      </c>
      <c r="G656" t="s">
        <v>181</v>
      </c>
      <c r="H656" s="94">
        <v>0.02</v>
      </c>
      <c r="I656" t="s">
        <v>60</v>
      </c>
      <c r="J656" t="s">
        <v>13</v>
      </c>
    </row>
    <row r="657" spans="1:10" x14ac:dyDescent="0.25">
      <c r="A657" t="s">
        <v>131</v>
      </c>
      <c r="B657" t="s">
        <v>14</v>
      </c>
      <c r="C657" s="12" t="s">
        <v>109</v>
      </c>
      <c r="D657" t="s">
        <v>4</v>
      </c>
      <c r="E657" t="s">
        <v>12</v>
      </c>
      <c r="F657" t="s">
        <v>72</v>
      </c>
      <c r="G657" t="s">
        <v>181</v>
      </c>
      <c r="H657" s="94">
        <v>0.02</v>
      </c>
      <c r="I657" t="s">
        <v>60</v>
      </c>
      <c r="J657" t="s">
        <v>63</v>
      </c>
    </row>
    <row r="658" spans="1:10" x14ac:dyDescent="0.25">
      <c r="A658" t="s">
        <v>131</v>
      </c>
      <c r="B658" t="s">
        <v>14</v>
      </c>
      <c r="C658" s="12" t="s">
        <v>109</v>
      </c>
      <c r="D658" t="s">
        <v>4</v>
      </c>
      <c r="E658" t="s">
        <v>12</v>
      </c>
      <c r="F658" t="s">
        <v>72</v>
      </c>
      <c r="G658" t="s">
        <v>181</v>
      </c>
      <c r="H658" s="94">
        <v>0.02</v>
      </c>
      <c r="I658" t="s">
        <v>60</v>
      </c>
      <c r="J658" t="s">
        <v>11</v>
      </c>
    </row>
    <row r="659" spans="1:10" x14ac:dyDescent="0.25">
      <c r="A659" t="s">
        <v>131</v>
      </c>
      <c r="B659" t="s">
        <v>14</v>
      </c>
      <c r="C659" s="12" t="s">
        <v>109</v>
      </c>
      <c r="D659" t="s">
        <v>4</v>
      </c>
      <c r="E659" t="s">
        <v>12</v>
      </c>
      <c r="F659" t="s">
        <v>72</v>
      </c>
      <c r="G659" t="s">
        <v>181</v>
      </c>
      <c r="H659" s="94">
        <v>0.05</v>
      </c>
      <c r="I659" t="s">
        <v>107</v>
      </c>
      <c r="J659" t="s">
        <v>13</v>
      </c>
    </row>
    <row r="660" spans="1:10" x14ac:dyDescent="0.25">
      <c r="A660" t="s">
        <v>131</v>
      </c>
      <c r="B660" t="s">
        <v>14</v>
      </c>
      <c r="C660" s="12" t="s">
        <v>109</v>
      </c>
      <c r="D660" t="s">
        <v>4</v>
      </c>
      <c r="E660" t="s">
        <v>12</v>
      </c>
      <c r="F660" t="s">
        <v>72</v>
      </c>
      <c r="G660" t="s">
        <v>181</v>
      </c>
      <c r="H660" s="94">
        <v>0.05</v>
      </c>
      <c r="I660" t="s">
        <v>107</v>
      </c>
      <c r="J660" t="s">
        <v>63</v>
      </c>
    </row>
    <row r="661" spans="1:10" x14ac:dyDescent="0.25">
      <c r="A661" t="s">
        <v>131</v>
      </c>
      <c r="B661" t="s">
        <v>14</v>
      </c>
      <c r="C661" s="12" t="s">
        <v>109</v>
      </c>
      <c r="D661" t="s">
        <v>4</v>
      </c>
      <c r="E661" t="s">
        <v>12</v>
      </c>
      <c r="F661" t="s">
        <v>72</v>
      </c>
      <c r="G661" t="s">
        <v>181</v>
      </c>
      <c r="H661" s="94">
        <v>0.05</v>
      </c>
      <c r="I661" t="s">
        <v>107</v>
      </c>
      <c r="J661" t="s">
        <v>11</v>
      </c>
    </row>
    <row r="662" spans="1:10" x14ac:dyDescent="0.25">
      <c r="A662" t="s">
        <v>131</v>
      </c>
      <c r="B662" t="s">
        <v>14</v>
      </c>
      <c r="C662" s="12" t="s">
        <v>109</v>
      </c>
      <c r="D662" t="s">
        <v>4</v>
      </c>
      <c r="E662" t="s">
        <v>12</v>
      </c>
      <c r="F662" t="s">
        <v>72</v>
      </c>
      <c r="G662" t="s">
        <v>181</v>
      </c>
      <c r="H662" s="94">
        <v>0.05</v>
      </c>
      <c r="I662" t="s">
        <v>62</v>
      </c>
      <c r="J662" t="s">
        <v>13</v>
      </c>
    </row>
    <row r="663" spans="1:10" x14ac:dyDescent="0.25">
      <c r="A663" t="s">
        <v>131</v>
      </c>
      <c r="B663" t="s">
        <v>14</v>
      </c>
      <c r="C663" s="12" t="s">
        <v>109</v>
      </c>
      <c r="D663" t="s">
        <v>4</v>
      </c>
      <c r="E663" t="s">
        <v>12</v>
      </c>
      <c r="F663" t="s">
        <v>72</v>
      </c>
      <c r="G663" t="s">
        <v>181</v>
      </c>
      <c r="H663" s="94">
        <v>0.05</v>
      </c>
      <c r="I663" t="s">
        <v>62</v>
      </c>
      <c r="J663" t="s">
        <v>63</v>
      </c>
    </row>
    <row r="664" spans="1:10" x14ac:dyDescent="0.25">
      <c r="A664" t="s">
        <v>131</v>
      </c>
      <c r="B664" t="s">
        <v>14</v>
      </c>
      <c r="C664" s="12" t="s">
        <v>109</v>
      </c>
      <c r="D664" t="s">
        <v>4</v>
      </c>
      <c r="E664" t="s">
        <v>12</v>
      </c>
      <c r="F664" t="s">
        <v>72</v>
      </c>
      <c r="G664" t="s">
        <v>181</v>
      </c>
      <c r="H664" s="94">
        <v>0.05</v>
      </c>
      <c r="I664" t="s">
        <v>62</v>
      </c>
      <c r="J664" t="s">
        <v>11</v>
      </c>
    </row>
    <row r="665" spans="1:10" x14ac:dyDescent="0.25">
      <c r="A665" t="s">
        <v>131</v>
      </c>
      <c r="B665" t="s">
        <v>14</v>
      </c>
      <c r="C665" s="12" t="s">
        <v>109</v>
      </c>
      <c r="D665" t="s">
        <v>4</v>
      </c>
      <c r="E665" t="s">
        <v>12</v>
      </c>
      <c r="F665" t="s">
        <v>72</v>
      </c>
      <c r="G665" t="s">
        <v>181</v>
      </c>
      <c r="H665" s="94">
        <v>0.05</v>
      </c>
      <c r="I665" t="s">
        <v>60</v>
      </c>
      <c r="J665" t="s">
        <v>13</v>
      </c>
    </row>
    <row r="666" spans="1:10" x14ac:dyDescent="0.25">
      <c r="A666" t="s">
        <v>131</v>
      </c>
      <c r="B666" t="s">
        <v>14</v>
      </c>
      <c r="C666" s="12" t="s">
        <v>109</v>
      </c>
      <c r="D666" t="s">
        <v>4</v>
      </c>
      <c r="E666" t="s">
        <v>12</v>
      </c>
      <c r="F666" t="s">
        <v>72</v>
      </c>
      <c r="G666" t="s">
        <v>181</v>
      </c>
      <c r="H666" s="94">
        <v>0.05</v>
      </c>
      <c r="I666" t="s">
        <v>60</v>
      </c>
      <c r="J666" t="s">
        <v>63</v>
      </c>
    </row>
    <row r="667" spans="1:10" x14ac:dyDescent="0.25">
      <c r="A667" t="s">
        <v>131</v>
      </c>
      <c r="B667" t="s">
        <v>14</v>
      </c>
      <c r="C667" s="12" t="s">
        <v>109</v>
      </c>
      <c r="D667" t="s">
        <v>4</v>
      </c>
      <c r="E667" t="s">
        <v>12</v>
      </c>
      <c r="F667" t="s">
        <v>72</v>
      </c>
      <c r="G667" t="s">
        <v>181</v>
      </c>
      <c r="H667" s="94">
        <v>0.05</v>
      </c>
      <c r="I667" t="s">
        <v>60</v>
      </c>
      <c r="J667" t="s">
        <v>11</v>
      </c>
    </row>
    <row r="668" spans="1:10" x14ac:dyDescent="0.25">
      <c r="A668" t="s">
        <v>131</v>
      </c>
      <c r="B668" t="s">
        <v>14</v>
      </c>
      <c r="C668" s="12" t="s">
        <v>109</v>
      </c>
      <c r="D668" t="s">
        <v>4</v>
      </c>
      <c r="E668" t="s">
        <v>12</v>
      </c>
      <c r="F668" t="s">
        <v>16</v>
      </c>
      <c r="G668" t="s">
        <v>181</v>
      </c>
      <c r="H668" s="94">
        <v>0.02</v>
      </c>
      <c r="I668" t="s">
        <v>107</v>
      </c>
      <c r="J668" t="s">
        <v>13</v>
      </c>
    </row>
    <row r="669" spans="1:10" x14ac:dyDescent="0.25">
      <c r="A669" t="s">
        <v>131</v>
      </c>
      <c r="B669" t="s">
        <v>14</v>
      </c>
      <c r="C669" s="12" t="s">
        <v>109</v>
      </c>
      <c r="D669" t="s">
        <v>4</v>
      </c>
      <c r="E669" t="s">
        <v>12</v>
      </c>
      <c r="F669" t="s">
        <v>16</v>
      </c>
      <c r="G669" t="s">
        <v>181</v>
      </c>
      <c r="H669" s="94">
        <v>0.02</v>
      </c>
      <c r="I669" t="s">
        <v>107</v>
      </c>
      <c r="J669" t="s">
        <v>63</v>
      </c>
    </row>
    <row r="670" spans="1:10" x14ac:dyDescent="0.25">
      <c r="A670" t="s">
        <v>131</v>
      </c>
      <c r="B670" t="s">
        <v>14</v>
      </c>
      <c r="C670" s="12" t="s">
        <v>109</v>
      </c>
      <c r="D670" t="s">
        <v>4</v>
      </c>
      <c r="E670" t="s">
        <v>12</v>
      </c>
      <c r="F670" t="s">
        <v>16</v>
      </c>
      <c r="G670" t="s">
        <v>181</v>
      </c>
      <c r="H670" s="94">
        <v>0.02</v>
      </c>
      <c r="I670" t="s">
        <v>107</v>
      </c>
      <c r="J670" t="s">
        <v>11</v>
      </c>
    </row>
    <row r="671" spans="1:10" x14ac:dyDescent="0.25">
      <c r="A671" t="s">
        <v>131</v>
      </c>
      <c r="B671" t="s">
        <v>14</v>
      </c>
      <c r="C671" s="12" t="s">
        <v>109</v>
      </c>
      <c r="D671" t="s">
        <v>4</v>
      </c>
      <c r="E671" t="s">
        <v>12</v>
      </c>
      <c r="F671" t="s">
        <v>16</v>
      </c>
      <c r="G671" t="s">
        <v>181</v>
      </c>
      <c r="H671" s="94">
        <v>0.02</v>
      </c>
      <c r="I671" t="s">
        <v>62</v>
      </c>
      <c r="J671" t="s">
        <v>13</v>
      </c>
    </row>
    <row r="672" spans="1:10" x14ac:dyDescent="0.25">
      <c r="A672" t="s">
        <v>131</v>
      </c>
      <c r="B672" t="s">
        <v>14</v>
      </c>
      <c r="C672" s="12" t="s">
        <v>109</v>
      </c>
      <c r="D672" t="s">
        <v>4</v>
      </c>
      <c r="E672" t="s">
        <v>12</v>
      </c>
      <c r="F672" t="s">
        <v>16</v>
      </c>
      <c r="G672" t="s">
        <v>181</v>
      </c>
      <c r="H672" s="94">
        <v>0.02</v>
      </c>
      <c r="I672" t="s">
        <v>62</v>
      </c>
      <c r="J672" t="s">
        <v>63</v>
      </c>
    </row>
    <row r="673" spans="1:10" x14ac:dyDescent="0.25">
      <c r="A673" t="s">
        <v>131</v>
      </c>
      <c r="B673" t="s">
        <v>14</v>
      </c>
      <c r="C673" s="12" t="s">
        <v>109</v>
      </c>
      <c r="D673" t="s">
        <v>4</v>
      </c>
      <c r="E673" t="s">
        <v>12</v>
      </c>
      <c r="F673" t="s">
        <v>16</v>
      </c>
      <c r="G673" t="s">
        <v>181</v>
      </c>
      <c r="H673" s="94">
        <v>0.02</v>
      </c>
      <c r="I673" t="s">
        <v>62</v>
      </c>
      <c r="J673" t="s">
        <v>11</v>
      </c>
    </row>
    <row r="674" spans="1:10" x14ac:dyDescent="0.25">
      <c r="A674" t="s">
        <v>131</v>
      </c>
      <c r="B674" t="s">
        <v>14</v>
      </c>
      <c r="C674" s="12" t="s">
        <v>109</v>
      </c>
      <c r="D674" t="s">
        <v>4</v>
      </c>
      <c r="E674" t="s">
        <v>12</v>
      </c>
      <c r="F674" t="s">
        <v>16</v>
      </c>
      <c r="G674" t="s">
        <v>181</v>
      </c>
      <c r="H674" s="94">
        <v>0.02</v>
      </c>
      <c r="I674" t="s">
        <v>60</v>
      </c>
      <c r="J674" t="s">
        <v>13</v>
      </c>
    </row>
    <row r="675" spans="1:10" x14ac:dyDescent="0.25">
      <c r="A675" t="s">
        <v>131</v>
      </c>
      <c r="B675" t="s">
        <v>14</v>
      </c>
      <c r="C675" s="12" t="s">
        <v>109</v>
      </c>
      <c r="D675" t="s">
        <v>4</v>
      </c>
      <c r="E675" t="s">
        <v>12</v>
      </c>
      <c r="F675" t="s">
        <v>16</v>
      </c>
      <c r="G675" t="s">
        <v>181</v>
      </c>
      <c r="H675" s="94">
        <v>0.02</v>
      </c>
      <c r="I675" t="s">
        <v>60</v>
      </c>
      <c r="J675" t="s">
        <v>63</v>
      </c>
    </row>
    <row r="676" spans="1:10" x14ac:dyDescent="0.25">
      <c r="A676" t="s">
        <v>131</v>
      </c>
      <c r="B676" t="s">
        <v>14</v>
      </c>
      <c r="C676" s="12" t="s">
        <v>109</v>
      </c>
      <c r="D676" t="s">
        <v>4</v>
      </c>
      <c r="E676" t="s">
        <v>12</v>
      </c>
      <c r="F676" t="s">
        <v>16</v>
      </c>
      <c r="G676" t="s">
        <v>181</v>
      </c>
      <c r="H676" s="94">
        <v>0.02</v>
      </c>
      <c r="I676" t="s">
        <v>60</v>
      </c>
      <c r="J676" t="s">
        <v>11</v>
      </c>
    </row>
    <row r="677" spans="1:10" x14ac:dyDescent="0.25">
      <c r="A677" t="s">
        <v>131</v>
      </c>
      <c r="B677" t="s">
        <v>14</v>
      </c>
      <c r="C677" s="12" t="s">
        <v>109</v>
      </c>
      <c r="D677" t="s">
        <v>4</v>
      </c>
      <c r="E677" t="s">
        <v>12</v>
      </c>
      <c r="F677" t="s">
        <v>16</v>
      </c>
      <c r="G677" t="s">
        <v>181</v>
      </c>
      <c r="H677" s="94">
        <v>0.05</v>
      </c>
      <c r="I677" t="s">
        <v>107</v>
      </c>
      <c r="J677" t="s">
        <v>13</v>
      </c>
    </row>
    <row r="678" spans="1:10" x14ac:dyDescent="0.25">
      <c r="A678" t="s">
        <v>131</v>
      </c>
      <c r="B678" t="s">
        <v>14</v>
      </c>
      <c r="C678" s="12" t="s">
        <v>109</v>
      </c>
      <c r="D678" t="s">
        <v>4</v>
      </c>
      <c r="E678" t="s">
        <v>12</v>
      </c>
      <c r="F678" t="s">
        <v>16</v>
      </c>
      <c r="G678" t="s">
        <v>181</v>
      </c>
      <c r="H678" s="94">
        <v>0.05</v>
      </c>
      <c r="I678" t="s">
        <v>107</v>
      </c>
      <c r="J678" t="s">
        <v>63</v>
      </c>
    </row>
    <row r="679" spans="1:10" x14ac:dyDescent="0.25">
      <c r="A679" t="s">
        <v>131</v>
      </c>
      <c r="B679" t="s">
        <v>14</v>
      </c>
      <c r="C679" s="12" t="s">
        <v>109</v>
      </c>
      <c r="D679" t="s">
        <v>4</v>
      </c>
      <c r="E679" t="s">
        <v>12</v>
      </c>
      <c r="F679" t="s">
        <v>16</v>
      </c>
      <c r="G679" t="s">
        <v>181</v>
      </c>
      <c r="H679" s="94">
        <v>0.05</v>
      </c>
      <c r="I679" t="s">
        <v>107</v>
      </c>
      <c r="J679" t="s">
        <v>11</v>
      </c>
    </row>
    <row r="680" spans="1:10" x14ac:dyDescent="0.25">
      <c r="A680" t="s">
        <v>131</v>
      </c>
      <c r="B680" t="s">
        <v>14</v>
      </c>
      <c r="C680" s="12" t="s">
        <v>109</v>
      </c>
      <c r="D680" t="s">
        <v>4</v>
      </c>
      <c r="E680" t="s">
        <v>12</v>
      </c>
      <c r="F680" t="s">
        <v>16</v>
      </c>
      <c r="G680" t="s">
        <v>181</v>
      </c>
      <c r="H680" s="94">
        <v>0.05</v>
      </c>
      <c r="I680" t="s">
        <v>62</v>
      </c>
      <c r="J680" t="s">
        <v>13</v>
      </c>
    </row>
    <row r="681" spans="1:10" x14ac:dyDescent="0.25">
      <c r="A681" t="s">
        <v>131</v>
      </c>
      <c r="B681" t="s">
        <v>14</v>
      </c>
      <c r="C681" s="12" t="s">
        <v>109</v>
      </c>
      <c r="D681" t="s">
        <v>4</v>
      </c>
      <c r="E681" t="s">
        <v>12</v>
      </c>
      <c r="F681" t="s">
        <v>16</v>
      </c>
      <c r="G681" t="s">
        <v>181</v>
      </c>
      <c r="H681" s="94">
        <v>0.05</v>
      </c>
      <c r="I681" t="s">
        <v>62</v>
      </c>
      <c r="J681" t="s">
        <v>63</v>
      </c>
    </row>
    <row r="682" spans="1:10" x14ac:dyDescent="0.25">
      <c r="A682" t="s">
        <v>131</v>
      </c>
      <c r="B682" t="s">
        <v>14</v>
      </c>
      <c r="C682" s="12" t="s">
        <v>109</v>
      </c>
      <c r="D682" t="s">
        <v>4</v>
      </c>
      <c r="E682" t="s">
        <v>12</v>
      </c>
      <c r="F682" t="s">
        <v>16</v>
      </c>
      <c r="G682" t="s">
        <v>181</v>
      </c>
      <c r="H682" s="94">
        <v>0.05</v>
      </c>
      <c r="I682" t="s">
        <v>62</v>
      </c>
      <c r="J682" t="s">
        <v>11</v>
      </c>
    </row>
    <row r="683" spans="1:10" x14ac:dyDescent="0.25">
      <c r="A683" t="s">
        <v>131</v>
      </c>
      <c r="B683" t="s">
        <v>14</v>
      </c>
      <c r="C683" s="12" t="s">
        <v>109</v>
      </c>
      <c r="D683" t="s">
        <v>4</v>
      </c>
      <c r="E683" t="s">
        <v>12</v>
      </c>
      <c r="F683" t="s">
        <v>16</v>
      </c>
      <c r="G683" t="s">
        <v>181</v>
      </c>
      <c r="H683" s="94">
        <v>0.05</v>
      </c>
      <c r="I683" t="s">
        <v>60</v>
      </c>
      <c r="J683" t="s">
        <v>13</v>
      </c>
    </row>
    <row r="684" spans="1:10" x14ac:dyDescent="0.25">
      <c r="A684" t="s">
        <v>131</v>
      </c>
      <c r="B684" t="s">
        <v>14</v>
      </c>
      <c r="C684" s="12" t="s">
        <v>109</v>
      </c>
      <c r="D684" t="s">
        <v>4</v>
      </c>
      <c r="E684" t="s">
        <v>12</v>
      </c>
      <c r="F684" t="s">
        <v>16</v>
      </c>
      <c r="G684" t="s">
        <v>181</v>
      </c>
      <c r="H684" s="94">
        <v>0.05</v>
      </c>
      <c r="I684" t="s">
        <v>60</v>
      </c>
      <c r="J684" t="s">
        <v>63</v>
      </c>
    </row>
    <row r="685" spans="1:10" x14ac:dyDescent="0.25">
      <c r="A685" t="s">
        <v>131</v>
      </c>
      <c r="B685" t="s">
        <v>14</v>
      </c>
      <c r="C685" s="12" t="s">
        <v>109</v>
      </c>
      <c r="D685" t="s">
        <v>4</v>
      </c>
      <c r="E685" t="s">
        <v>12</v>
      </c>
      <c r="F685" t="s">
        <v>16</v>
      </c>
      <c r="G685" t="s">
        <v>181</v>
      </c>
      <c r="H685" s="94">
        <v>0.05</v>
      </c>
      <c r="I685" t="s">
        <v>60</v>
      </c>
      <c r="J685" t="s">
        <v>11</v>
      </c>
    </row>
    <row r="686" spans="1:10" x14ac:dyDescent="0.25">
      <c r="A686" t="s">
        <v>131</v>
      </c>
      <c r="B686" t="s">
        <v>14</v>
      </c>
      <c r="C686" s="12" t="s">
        <v>109</v>
      </c>
      <c r="D686" t="s">
        <v>4</v>
      </c>
      <c r="E686" t="s">
        <v>12</v>
      </c>
      <c r="F686" t="s">
        <v>8</v>
      </c>
      <c r="G686" t="s">
        <v>181</v>
      </c>
      <c r="H686" s="94">
        <v>0.02</v>
      </c>
      <c r="I686" t="s">
        <v>107</v>
      </c>
      <c r="J686" t="s">
        <v>13</v>
      </c>
    </row>
    <row r="687" spans="1:10" x14ac:dyDescent="0.25">
      <c r="A687" t="s">
        <v>131</v>
      </c>
      <c r="B687" t="s">
        <v>14</v>
      </c>
      <c r="C687" s="12" t="s">
        <v>109</v>
      </c>
      <c r="D687" t="s">
        <v>4</v>
      </c>
      <c r="E687" t="s">
        <v>12</v>
      </c>
      <c r="F687" t="s">
        <v>8</v>
      </c>
      <c r="G687" t="s">
        <v>181</v>
      </c>
      <c r="H687" s="94">
        <v>0.02</v>
      </c>
      <c r="I687" t="s">
        <v>107</v>
      </c>
      <c r="J687" t="s">
        <v>63</v>
      </c>
    </row>
    <row r="688" spans="1:10" x14ac:dyDescent="0.25">
      <c r="A688" t="s">
        <v>131</v>
      </c>
      <c r="B688" t="s">
        <v>14</v>
      </c>
      <c r="C688" s="12" t="s">
        <v>109</v>
      </c>
      <c r="D688" t="s">
        <v>4</v>
      </c>
      <c r="E688" t="s">
        <v>12</v>
      </c>
      <c r="F688" t="s">
        <v>8</v>
      </c>
      <c r="G688" t="s">
        <v>181</v>
      </c>
      <c r="H688" s="94">
        <v>0.02</v>
      </c>
      <c r="I688" t="s">
        <v>107</v>
      </c>
      <c r="J688" t="s">
        <v>11</v>
      </c>
    </row>
    <row r="689" spans="1:10" x14ac:dyDescent="0.25">
      <c r="A689" t="s">
        <v>131</v>
      </c>
      <c r="B689" t="s">
        <v>14</v>
      </c>
      <c r="C689" s="12" t="s">
        <v>109</v>
      </c>
      <c r="D689" t="s">
        <v>4</v>
      </c>
      <c r="E689" t="s">
        <v>12</v>
      </c>
      <c r="F689" t="s">
        <v>8</v>
      </c>
      <c r="G689" t="s">
        <v>181</v>
      </c>
      <c r="H689" s="94">
        <v>0.02</v>
      </c>
      <c r="I689" t="s">
        <v>62</v>
      </c>
      <c r="J689" t="s">
        <v>13</v>
      </c>
    </row>
    <row r="690" spans="1:10" x14ac:dyDescent="0.25">
      <c r="A690" t="s">
        <v>131</v>
      </c>
      <c r="B690" t="s">
        <v>14</v>
      </c>
      <c r="C690" s="12" t="s">
        <v>109</v>
      </c>
      <c r="D690" t="s">
        <v>4</v>
      </c>
      <c r="E690" t="s">
        <v>12</v>
      </c>
      <c r="F690" t="s">
        <v>8</v>
      </c>
      <c r="G690" t="s">
        <v>181</v>
      </c>
      <c r="H690" s="94">
        <v>0.02</v>
      </c>
      <c r="I690" t="s">
        <v>62</v>
      </c>
      <c r="J690" t="s">
        <v>63</v>
      </c>
    </row>
    <row r="691" spans="1:10" x14ac:dyDescent="0.25">
      <c r="A691" t="s">
        <v>131</v>
      </c>
      <c r="B691" t="s">
        <v>14</v>
      </c>
      <c r="C691" s="12" t="s">
        <v>109</v>
      </c>
      <c r="D691" t="s">
        <v>4</v>
      </c>
      <c r="E691" t="s">
        <v>12</v>
      </c>
      <c r="F691" t="s">
        <v>8</v>
      </c>
      <c r="G691" t="s">
        <v>181</v>
      </c>
      <c r="H691" s="94">
        <v>0.02</v>
      </c>
      <c r="I691" t="s">
        <v>62</v>
      </c>
      <c r="J691" t="s">
        <v>11</v>
      </c>
    </row>
    <row r="692" spans="1:10" x14ac:dyDescent="0.25">
      <c r="A692" t="s">
        <v>131</v>
      </c>
      <c r="B692" t="s">
        <v>14</v>
      </c>
      <c r="C692" s="12" t="s">
        <v>109</v>
      </c>
      <c r="D692" t="s">
        <v>4</v>
      </c>
      <c r="E692" t="s">
        <v>12</v>
      </c>
      <c r="F692" t="s">
        <v>8</v>
      </c>
      <c r="G692" t="s">
        <v>181</v>
      </c>
      <c r="H692" s="94">
        <v>0.02</v>
      </c>
      <c r="I692" t="s">
        <v>60</v>
      </c>
      <c r="J692" t="s">
        <v>13</v>
      </c>
    </row>
    <row r="693" spans="1:10" x14ac:dyDescent="0.25">
      <c r="A693" t="s">
        <v>131</v>
      </c>
      <c r="B693" t="s">
        <v>14</v>
      </c>
      <c r="C693" s="12" t="s">
        <v>109</v>
      </c>
      <c r="D693" t="s">
        <v>4</v>
      </c>
      <c r="E693" t="s">
        <v>12</v>
      </c>
      <c r="F693" t="s">
        <v>8</v>
      </c>
      <c r="G693" t="s">
        <v>181</v>
      </c>
      <c r="H693" s="94">
        <v>0.02</v>
      </c>
      <c r="I693" t="s">
        <v>60</v>
      </c>
      <c r="J693" t="s">
        <v>63</v>
      </c>
    </row>
    <row r="694" spans="1:10" x14ac:dyDescent="0.25">
      <c r="A694" t="s">
        <v>131</v>
      </c>
      <c r="B694" t="s">
        <v>14</v>
      </c>
      <c r="C694" s="12" t="s">
        <v>109</v>
      </c>
      <c r="D694" t="s">
        <v>4</v>
      </c>
      <c r="E694" t="s">
        <v>12</v>
      </c>
      <c r="F694" t="s">
        <v>8</v>
      </c>
      <c r="G694" t="s">
        <v>181</v>
      </c>
      <c r="H694" s="94">
        <v>0.02</v>
      </c>
      <c r="I694" t="s">
        <v>60</v>
      </c>
      <c r="J694" t="s">
        <v>11</v>
      </c>
    </row>
    <row r="695" spans="1:10" x14ac:dyDescent="0.25">
      <c r="A695" t="s">
        <v>131</v>
      </c>
      <c r="B695" t="s">
        <v>14</v>
      </c>
      <c r="C695" s="12" t="s">
        <v>109</v>
      </c>
      <c r="D695" t="s">
        <v>4</v>
      </c>
      <c r="E695" t="s">
        <v>12</v>
      </c>
      <c r="F695" t="s">
        <v>8</v>
      </c>
      <c r="G695" t="s">
        <v>181</v>
      </c>
      <c r="H695" s="94">
        <v>0.05</v>
      </c>
      <c r="I695" t="s">
        <v>107</v>
      </c>
      <c r="J695" t="s">
        <v>13</v>
      </c>
    </row>
    <row r="696" spans="1:10" x14ac:dyDescent="0.25">
      <c r="A696" t="s">
        <v>131</v>
      </c>
      <c r="B696" t="s">
        <v>14</v>
      </c>
      <c r="C696" s="12" t="s">
        <v>109</v>
      </c>
      <c r="D696" t="s">
        <v>4</v>
      </c>
      <c r="E696" t="s">
        <v>12</v>
      </c>
      <c r="F696" t="s">
        <v>8</v>
      </c>
      <c r="G696" t="s">
        <v>181</v>
      </c>
      <c r="H696" s="94">
        <v>0.05</v>
      </c>
      <c r="I696" t="s">
        <v>107</v>
      </c>
      <c r="J696" t="s">
        <v>63</v>
      </c>
    </row>
    <row r="697" spans="1:10" x14ac:dyDescent="0.25">
      <c r="A697" t="s">
        <v>131</v>
      </c>
      <c r="B697" t="s">
        <v>14</v>
      </c>
      <c r="C697" s="12" t="s">
        <v>109</v>
      </c>
      <c r="D697" t="s">
        <v>4</v>
      </c>
      <c r="E697" t="s">
        <v>12</v>
      </c>
      <c r="F697" t="s">
        <v>8</v>
      </c>
      <c r="G697" t="s">
        <v>181</v>
      </c>
      <c r="H697" s="94">
        <v>0.05</v>
      </c>
      <c r="I697" t="s">
        <v>107</v>
      </c>
      <c r="J697" t="s">
        <v>11</v>
      </c>
    </row>
    <row r="698" spans="1:10" x14ac:dyDescent="0.25">
      <c r="A698" t="s">
        <v>131</v>
      </c>
      <c r="B698" t="s">
        <v>14</v>
      </c>
      <c r="C698" s="12" t="s">
        <v>109</v>
      </c>
      <c r="D698" t="s">
        <v>4</v>
      </c>
      <c r="E698" t="s">
        <v>12</v>
      </c>
      <c r="F698" t="s">
        <v>8</v>
      </c>
      <c r="G698" t="s">
        <v>181</v>
      </c>
      <c r="H698" s="94">
        <v>0.05</v>
      </c>
      <c r="I698" t="s">
        <v>62</v>
      </c>
      <c r="J698" t="s">
        <v>13</v>
      </c>
    </row>
    <row r="699" spans="1:10" x14ac:dyDescent="0.25">
      <c r="A699" t="s">
        <v>131</v>
      </c>
      <c r="B699" t="s">
        <v>14</v>
      </c>
      <c r="C699" s="12" t="s">
        <v>109</v>
      </c>
      <c r="D699" t="s">
        <v>4</v>
      </c>
      <c r="E699" t="s">
        <v>12</v>
      </c>
      <c r="F699" t="s">
        <v>8</v>
      </c>
      <c r="G699" t="s">
        <v>181</v>
      </c>
      <c r="H699" s="94">
        <v>0.05</v>
      </c>
      <c r="I699" t="s">
        <v>62</v>
      </c>
      <c r="J699" t="s">
        <v>63</v>
      </c>
    </row>
    <row r="700" spans="1:10" x14ac:dyDescent="0.25">
      <c r="A700" t="s">
        <v>131</v>
      </c>
      <c r="B700" t="s">
        <v>14</v>
      </c>
      <c r="C700" s="12" t="s">
        <v>109</v>
      </c>
      <c r="D700" t="s">
        <v>4</v>
      </c>
      <c r="E700" t="s">
        <v>12</v>
      </c>
      <c r="F700" t="s">
        <v>8</v>
      </c>
      <c r="G700" t="s">
        <v>181</v>
      </c>
      <c r="H700" s="94">
        <v>0.05</v>
      </c>
      <c r="I700" t="s">
        <v>62</v>
      </c>
      <c r="J700" t="s">
        <v>11</v>
      </c>
    </row>
    <row r="701" spans="1:10" x14ac:dyDescent="0.25">
      <c r="A701" t="s">
        <v>131</v>
      </c>
      <c r="B701" t="s">
        <v>14</v>
      </c>
      <c r="C701" s="12" t="s">
        <v>109</v>
      </c>
      <c r="D701" t="s">
        <v>4</v>
      </c>
      <c r="E701" t="s">
        <v>12</v>
      </c>
      <c r="F701" t="s">
        <v>8</v>
      </c>
      <c r="G701" t="s">
        <v>181</v>
      </c>
      <c r="H701" s="94">
        <v>0.05</v>
      </c>
      <c r="I701" t="s">
        <v>60</v>
      </c>
      <c r="J701" t="s">
        <v>13</v>
      </c>
    </row>
    <row r="702" spans="1:10" x14ac:dyDescent="0.25">
      <c r="A702" t="s">
        <v>131</v>
      </c>
      <c r="B702" t="s">
        <v>14</v>
      </c>
      <c r="C702" s="12" t="s">
        <v>109</v>
      </c>
      <c r="D702" t="s">
        <v>4</v>
      </c>
      <c r="E702" t="s">
        <v>12</v>
      </c>
      <c r="F702" t="s">
        <v>8</v>
      </c>
      <c r="G702" t="s">
        <v>181</v>
      </c>
      <c r="H702" s="94">
        <v>0.05</v>
      </c>
      <c r="I702" t="s">
        <v>60</v>
      </c>
      <c r="J702" t="s">
        <v>63</v>
      </c>
    </row>
    <row r="703" spans="1:10" x14ac:dyDescent="0.25">
      <c r="A703" t="s">
        <v>131</v>
      </c>
      <c r="B703" t="s">
        <v>14</v>
      </c>
      <c r="C703" s="12" t="s">
        <v>109</v>
      </c>
      <c r="D703" t="s">
        <v>4</v>
      </c>
      <c r="E703" t="s">
        <v>12</v>
      </c>
      <c r="F703" t="s">
        <v>8</v>
      </c>
      <c r="G703" t="s">
        <v>181</v>
      </c>
      <c r="H703" s="94">
        <v>0.05</v>
      </c>
      <c r="I703" t="s">
        <v>60</v>
      </c>
      <c r="J703" t="s">
        <v>11</v>
      </c>
    </row>
    <row r="704" spans="1:10" x14ac:dyDescent="0.25">
      <c r="A704" t="s">
        <v>131</v>
      </c>
      <c r="B704" t="s">
        <v>14</v>
      </c>
      <c r="C704" s="12" t="s">
        <v>109</v>
      </c>
      <c r="D704" t="s">
        <v>4</v>
      </c>
      <c r="E704" t="s">
        <v>6</v>
      </c>
      <c r="F704" t="s">
        <v>72</v>
      </c>
      <c r="G704" t="s">
        <v>181</v>
      </c>
      <c r="H704" s="94">
        <v>0.02</v>
      </c>
      <c r="I704" t="s">
        <v>107</v>
      </c>
      <c r="J704" t="s">
        <v>13</v>
      </c>
    </row>
    <row r="705" spans="1:10" x14ac:dyDescent="0.25">
      <c r="A705" t="s">
        <v>131</v>
      </c>
      <c r="B705" t="s">
        <v>14</v>
      </c>
      <c r="C705" s="12" t="s">
        <v>109</v>
      </c>
      <c r="D705" t="s">
        <v>4</v>
      </c>
      <c r="E705" t="s">
        <v>6</v>
      </c>
      <c r="F705" t="s">
        <v>72</v>
      </c>
      <c r="G705" t="s">
        <v>181</v>
      </c>
      <c r="H705" s="94">
        <v>0.02</v>
      </c>
      <c r="I705" t="s">
        <v>107</v>
      </c>
      <c r="J705" t="s">
        <v>63</v>
      </c>
    </row>
    <row r="706" spans="1:10" x14ac:dyDescent="0.25">
      <c r="A706" t="s">
        <v>131</v>
      </c>
      <c r="B706" t="s">
        <v>14</v>
      </c>
      <c r="C706" s="12" t="s">
        <v>109</v>
      </c>
      <c r="D706" t="s">
        <v>4</v>
      </c>
      <c r="E706" t="s">
        <v>6</v>
      </c>
      <c r="F706" t="s">
        <v>72</v>
      </c>
      <c r="G706" t="s">
        <v>181</v>
      </c>
      <c r="H706" s="94">
        <v>0.02</v>
      </c>
      <c r="I706" t="s">
        <v>107</v>
      </c>
      <c r="J706" t="s">
        <v>11</v>
      </c>
    </row>
    <row r="707" spans="1:10" x14ac:dyDescent="0.25">
      <c r="A707" t="s">
        <v>131</v>
      </c>
      <c r="B707" t="s">
        <v>14</v>
      </c>
      <c r="C707" s="12" t="s">
        <v>109</v>
      </c>
      <c r="D707" t="s">
        <v>4</v>
      </c>
      <c r="E707" t="s">
        <v>6</v>
      </c>
      <c r="F707" t="s">
        <v>72</v>
      </c>
      <c r="G707" t="s">
        <v>181</v>
      </c>
      <c r="H707" s="94">
        <v>0.02</v>
      </c>
      <c r="I707" t="s">
        <v>62</v>
      </c>
      <c r="J707" t="s">
        <v>13</v>
      </c>
    </row>
    <row r="708" spans="1:10" x14ac:dyDescent="0.25">
      <c r="A708" t="s">
        <v>131</v>
      </c>
      <c r="B708" t="s">
        <v>14</v>
      </c>
      <c r="C708" s="12" t="s">
        <v>109</v>
      </c>
      <c r="D708" t="s">
        <v>4</v>
      </c>
      <c r="E708" t="s">
        <v>6</v>
      </c>
      <c r="F708" t="s">
        <v>72</v>
      </c>
      <c r="G708" t="s">
        <v>181</v>
      </c>
      <c r="H708" s="94">
        <v>0.02</v>
      </c>
      <c r="I708" t="s">
        <v>62</v>
      </c>
      <c r="J708" t="s">
        <v>63</v>
      </c>
    </row>
    <row r="709" spans="1:10" x14ac:dyDescent="0.25">
      <c r="A709" t="s">
        <v>131</v>
      </c>
      <c r="B709" t="s">
        <v>14</v>
      </c>
      <c r="C709" s="12" t="s">
        <v>109</v>
      </c>
      <c r="D709" t="s">
        <v>4</v>
      </c>
      <c r="E709" t="s">
        <v>6</v>
      </c>
      <c r="F709" t="s">
        <v>72</v>
      </c>
      <c r="G709" t="s">
        <v>181</v>
      </c>
      <c r="H709" s="94">
        <v>0.02</v>
      </c>
      <c r="I709" t="s">
        <v>62</v>
      </c>
      <c r="J709" t="s">
        <v>11</v>
      </c>
    </row>
    <row r="710" spans="1:10" x14ac:dyDescent="0.25">
      <c r="A710" t="s">
        <v>131</v>
      </c>
      <c r="B710" t="s">
        <v>14</v>
      </c>
      <c r="C710" s="12" t="s">
        <v>109</v>
      </c>
      <c r="D710" t="s">
        <v>4</v>
      </c>
      <c r="E710" t="s">
        <v>6</v>
      </c>
      <c r="F710" t="s">
        <v>72</v>
      </c>
      <c r="G710" t="s">
        <v>181</v>
      </c>
      <c r="H710" s="94">
        <v>0.02</v>
      </c>
      <c r="I710" t="s">
        <v>60</v>
      </c>
      <c r="J710" t="s">
        <v>13</v>
      </c>
    </row>
    <row r="711" spans="1:10" x14ac:dyDescent="0.25">
      <c r="A711" t="s">
        <v>131</v>
      </c>
      <c r="B711" t="s">
        <v>14</v>
      </c>
      <c r="C711" s="12" t="s">
        <v>109</v>
      </c>
      <c r="D711" t="s">
        <v>4</v>
      </c>
      <c r="E711" t="s">
        <v>6</v>
      </c>
      <c r="F711" t="s">
        <v>72</v>
      </c>
      <c r="G711" t="s">
        <v>181</v>
      </c>
      <c r="H711" s="94">
        <v>0.02</v>
      </c>
      <c r="I711" t="s">
        <v>60</v>
      </c>
      <c r="J711" t="s">
        <v>63</v>
      </c>
    </row>
    <row r="712" spans="1:10" x14ac:dyDescent="0.25">
      <c r="A712" t="s">
        <v>131</v>
      </c>
      <c r="B712" t="s">
        <v>14</v>
      </c>
      <c r="C712" s="12" t="s">
        <v>109</v>
      </c>
      <c r="D712" t="s">
        <v>4</v>
      </c>
      <c r="E712" t="s">
        <v>6</v>
      </c>
      <c r="F712" t="s">
        <v>72</v>
      </c>
      <c r="G712" t="s">
        <v>181</v>
      </c>
      <c r="H712" s="94">
        <v>0.02</v>
      </c>
      <c r="I712" t="s">
        <v>60</v>
      </c>
      <c r="J712" t="s">
        <v>11</v>
      </c>
    </row>
    <row r="713" spans="1:10" x14ac:dyDescent="0.25">
      <c r="A713" t="s">
        <v>131</v>
      </c>
      <c r="B713" t="s">
        <v>14</v>
      </c>
      <c r="C713" s="12" t="s">
        <v>109</v>
      </c>
      <c r="D713" t="s">
        <v>4</v>
      </c>
      <c r="E713" t="s">
        <v>6</v>
      </c>
      <c r="F713" t="s">
        <v>72</v>
      </c>
      <c r="G713" t="s">
        <v>181</v>
      </c>
      <c r="H713" s="94">
        <v>0.05</v>
      </c>
      <c r="I713" t="s">
        <v>107</v>
      </c>
      <c r="J713" t="s">
        <v>13</v>
      </c>
    </row>
    <row r="714" spans="1:10" x14ac:dyDescent="0.25">
      <c r="A714" t="s">
        <v>131</v>
      </c>
      <c r="B714" t="s">
        <v>14</v>
      </c>
      <c r="C714" s="12" t="s">
        <v>109</v>
      </c>
      <c r="D714" t="s">
        <v>4</v>
      </c>
      <c r="E714" t="s">
        <v>6</v>
      </c>
      <c r="F714" t="s">
        <v>72</v>
      </c>
      <c r="G714" t="s">
        <v>181</v>
      </c>
      <c r="H714" s="94">
        <v>0.05</v>
      </c>
      <c r="I714" t="s">
        <v>107</v>
      </c>
      <c r="J714" t="s">
        <v>63</v>
      </c>
    </row>
    <row r="715" spans="1:10" x14ac:dyDescent="0.25">
      <c r="A715" t="s">
        <v>131</v>
      </c>
      <c r="B715" t="s">
        <v>14</v>
      </c>
      <c r="C715" s="12" t="s">
        <v>109</v>
      </c>
      <c r="D715" t="s">
        <v>4</v>
      </c>
      <c r="E715" t="s">
        <v>6</v>
      </c>
      <c r="F715" t="s">
        <v>72</v>
      </c>
      <c r="G715" t="s">
        <v>181</v>
      </c>
      <c r="H715" s="94">
        <v>0.05</v>
      </c>
      <c r="I715" t="s">
        <v>107</v>
      </c>
      <c r="J715" t="s">
        <v>11</v>
      </c>
    </row>
    <row r="716" spans="1:10" x14ac:dyDescent="0.25">
      <c r="A716" t="s">
        <v>131</v>
      </c>
      <c r="B716" t="s">
        <v>14</v>
      </c>
      <c r="C716" s="12" t="s">
        <v>109</v>
      </c>
      <c r="D716" t="s">
        <v>4</v>
      </c>
      <c r="E716" t="s">
        <v>6</v>
      </c>
      <c r="F716" t="s">
        <v>72</v>
      </c>
      <c r="G716" t="s">
        <v>181</v>
      </c>
      <c r="H716" s="94">
        <v>0.05</v>
      </c>
      <c r="I716" t="s">
        <v>62</v>
      </c>
      <c r="J716" t="s">
        <v>13</v>
      </c>
    </row>
    <row r="717" spans="1:10" x14ac:dyDescent="0.25">
      <c r="A717" t="s">
        <v>131</v>
      </c>
      <c r="B717" t="s">
        <v>14</v>
      </c>
      <c r="C717" s="12" t="s">
        <v>109</v>
      </c>
      <c r="D717" t="s">
        <v>4</v>
      </c>
      <c r="E717" t="s">
        <v>6</v>
      </c>
      <c r="F717" t="s">
        <v>72</v>
      </c>
      <c r="G717" t="s">
        <v>181</v>
      </c>
      <c r="H717" s="94">
        <v>0.05</v>
      </c>
      <c r="I717" t="s">
        <v>62</v>
      </c>
      <c r="J717" t="s">
        <v>63</v>
      </c>
    </row>
    <row r="718" spans="1:10" x14ac:dyDescent="0.25">
      <c r="A718" t="s">
        <v>131</v>
      </c>
      <c r="B718" t="s">
        <v>14</v>
      </c>
      <c r="C718" s="12" t="s">
        <v>109</v>
      </c>
      <c r="D718" t="s">
        <v>4</v>
      </c>
      <c r="E718" t="s">
        <v>6</v>
      </c>
      <c r="F718" t="s">
        <v>72</v>
      </c>
      <c r="G718" t="s">
        <v>181</v>
      </c>
      <c r="H718" s="94">
        <v>0.05</v>
      </c>
      <c r="I718" t="s">
        <v>62</v>
      </c>
      <c r="J718" t="s">
        <v>11</v>
      </c>
    </row>
    <row r="719" spans="1:10" x14ac:dyDescent="0.25">
      <c r="A719" t="s">
        <v>131</v>
      </c>
      <c r="B719" t="s">
        <v>14</v>
      </c>
      <c r="C719" s="12" t="s">
        <v>109</v>
      </c>
      <c r="D719" t="s">
        <v>4</v>
      </c>
      <c r="E719" t="s">
        <v>6</v>
      </c>
      <c r="F719" t="s">
        <v>72</v>
      </c>
      <c r="G719" t="s">
        <v>181</v>
      </c>
      <c r="H719" s="94">
        <v>0.05</v>
      </c>
      <c r="I719" t="s">
        <v>60</v>
      </c>
      <c r="J719" t="s">
        <v>13</v>
      </c>
    </row>
    <row r="720" spans="1:10" x14ac:dyDescent="0.25">
      <c r="A720" t="s">
        <v>131</v>
      </c>
      <c r="B720" t="s">
        <v>14</v>
      </c>
      <c r="C720" s="12" t="s">
        <v>109</v>
      </c>
      <c r="D720" t="s">
        <v>4</v>
      </c>
      <c r="E720" t="s">
        <v>6</v>
      </c>
      <c r="F720" t="s">
        <v>72</v>
      </c>
      <c r="G720" t="s">
        <v>181</v>
      </c>
      <c r="H720" s="94">
        <v>0.05</v>
      </c>
      <c r="I720" t="s">
        <v>60</v>
      </c>
      <c r="J720" t="s">
        <v>63</v>
      </c>
    </row>
    <row r="721" spans="1:10" x14ac:dyDescent="0.25">
      <c r="A721" t="s">
        <v>131</v>
      </c>
      <c r="B721" t="s">
        <v>14</v>
      </c>
      <c r="C721" s="12" t="s">
        <v>109</v>
      </c>
      <c r="D721" t="s">
        <v>4</v>
      </c>
      <c r="E721" t="s">
        <v>6</v>
      </c>
      <c r="F721" t="s">
        <v>72</v>
      </c>
      <c r="G721" t="s">
        <v>181</v>
      </c>
      <c r="H721" s="94">
        <v>0.05</v>
      </c>
      <c r="I721" t="s">
        <v>60</v>
      </c>
      <c r="J721" t="s">
        <v>11</v>
      </c>
    </row>
    <row r="722" spans="1:10" x14ac:dyDescent="0.25">
      <c r="A722" t="s">
        <v>131</v>
      </c>
      <c r="B722" t="s">
        <v>14</v>
      </c>
      <c r="C722" s="12" t="s">
        <v>109</v>
      </c>
      <c r="D722" t="s">
        <v>4</v>
      </c>
      <c r="E722" t="s">
        <v>6</v>
      </c>
      <c r="F722" t="s">
        <v>16</v>
      </c>
      <c r="G722" t="s">
        <v>181</v>
      </c>
      <c r="H722" s="94">
        <v>0.02</v>
      </c>
      <c r="I722" t="s">
        <v>107</v>
      </c>
      <c r="J722" t="s">
        <v>13</v>
      </c>
    </row>
    <row r="723" spans="1:10" x14ac:dyDescent="0.25">
      <c r="A723" t="s">
        <v>131</v>
      </c>
      <c r="B723" t="s">
        <v>14</v>
      </c>
      <c r="C723" s="12" t="s">
        <v>109</v>
      </c>
      <c r="D723" t="s">
        <v>4</v>
      </c>
      <c r="E723" t="s">
        <v>6</v>
      </c>
      <c r="F723" t="s">
        <v>16</v>
      </c>
      <c r="G723" t="s">
        <v>181</v>
      </c>
      <c r="H723" s="94">
        <v>0.02</v>
      </c>
      <c r="I723" t="s">
        <v>107</v>
      </c>
      <c r="J723" t="s">
        <v>63</v>
      </c>
    </row>
    <row r="724" spans="1:10" x14ac:dyDescent="0.25">
      <c r="A724" t="s">
        <v>131</v>
      </c>
      <c r="B724" t="s">
        <v>14</v>
      </c>
      <c r="C724" s="12" t="s">
        <v>109</v>
      </c>
      <c r="D724" t="s">
        <v>4</v>
      </c>
      <c r="E724" t="s">
        <v>6</v>
      </c>
      <c r="F724" t="s">
        <v>16</v>
      </c>
      <c r="G724" t="s">
        <v>181</v>
      </c>
      <c r="H724" s="94">
        <v>0.02</v>
      </c>
      <c r="I724" t="s">
        <v>107</v>
      </c>
      <c r="J724" t="s">
        <v>11</v>
      </c>
    </row>
    <row r="725" spans="1:10" x14ac:dyDescent="0.25">
      <c r="A725" t="s">
        <v>131</v>
      </c>
      <c r="B725" t="s">
        <v>14</v>
      </c>
      <c r="C725" s="12" t="s">
        <v>109</v>
      </c>
      <c r="D725" t="s">
        <v>4</v>
      </c>
      <c r="E725" t="s">
        <v>6</v>
      </c>
      <c r="F725" t="s">
        <v>16</v>
      </c>
      <c r="G725" t="s">
        <v>181</v>
      </c>
      <c r="H725" s="94">
        <v>0.02</v>
      </c>
      <c r="I725" t="s">
        <v>62</v>
      </c>
      <c r="J725" t="s">
        <v>13</v>
      </c>
    </row>
    <row r="726" spans="1:10" x14ac:dyDescent="0.25">
      <c r="A726" t="s">
        <v>131</v>
      </c>
      <c r="B726" t="s">
        <v>14</v>
      </c>
      <c r="C726" s="12" t="s">
        <v>109</v>
      </c>
      <c r="D726" t="s">
        <v>4</v>
      </c>
      <c r="E726" t="s">
        <v>6</v>
      </c>
      <c r="F726" t="s">
        <v>16</v>
      </c>
      <c r="G726" t="s">
        <v>181</v>
      </c>
      <c r="H726" s="94">
        <v>0.02</v>
      </c>
      <c r="I726" t="s">
        <v>62</v>
      </c>
      <c r="J726" t="s">
        <v>63</v>
      </c>
    </row>
    <row r="727" spans="1:10" x14ac:dyDescent="0.25">
      <c r="A727" t="s">
        <v>131</v>
      </c>
      <c r="B727" t="s">
        <v>14</v>
      </c>
      <c r="C727" s="12" t="s">
        <v>109</v>
      </c>
      <c r="D727" t="s">
        <v>4</v>
      </c>
      <c r="E727" t="s">
        <v>6</v>
      </c>
      <c r="F727" t="s">
        <v>16</v>
      </c>
      <c r="G727" t="s">
        <v>181</v>
      </c>
      <c r="H727" s="94">
        <v>0.02</v>
      </c>
      <c r="I727" t="s">
        <v>62</v>
      </c>
      <c r="J727" t="s">
        <v>11</v>
      </c>
    </row>
    <row r="728" spans="1:10" x14ac:dyDescent="0.25">
      <c r="A728" t="s">
        <v>131</v>
      </c>
      <c r="B728" t="s">
        <v>14</v>
      </c>
      <c r="C728" s="12" t="s">
        <v>109</v>
      </c>
      <c r="D728" t="s">
        <v>4</v>
      </c>
      <c r="E728" t="s">
        <v>6</v>
      </c>
      <c r="F728" t="s">
        <v>16</v>
      </c>
      <c r="G728" t="s">
        <v>181</v>
      </c>
      <c r="H728" s="94">
        <v>0.02</v>
      </c>
      <c r="I728" t="s">
        <v>60</v>
      </c>
      <c r="J728" t="s">
        <v>13</v>
      </c>
    </row>
    <row r="729" spans="1:10" x14ac:dyDescent="0.25">
      <c r="A729" t="s">
        <v>131</v>
      </c>
      <c r="B729" t="s">
        <v>14</v>
      </c>
      <c r="C729" s="12" t="s">
        <v>109</v>
      </c>
      <c r="D729" t="s">
        <v>4</v>
      </c>
      <c r="E729" t="s">
        <v>6</v>
      </c>
      <c r="F729" t="s">
        <v>16</v>
      </c>
      <c r="G729" t="s">
        <v>181</v>
      </c>
      <c r="H729" s="94">
        <v>0.02</v>
      </c>
      <c r="I729" t="s">
        <v>60</v>
      </c>
      <c r="J729" t="s">
        <v>63</v>
      </c>
    </row>
    <row r="730" spans="1:10" x14ac:dyDescent="0.25">
      <c r="A730" t="s">
        <v>131</v>
      </c>
      <c r="B730" t="s">
        <v>14</v>
      </c>
      <c r="C730" s="12" t="s">
        <v>109</v>
      </c>
      <c r="D730" t="s">
        <v>4</v>
      </c>
      <c r="E730" t="s">
        <v>6</v>
      </c>
      <c r="F730" t="s">
        <v>16</v>
      </c>
      <c r="G730" t="s">
        <v>181</v>
      </c>
      <c r="H730" s="94">
        <v>0.02</v>
      </c>
      <c r="I730" t="s">
        <v>60</v>
      </c>
      <c r="J730" t="s">
        <v>11</v>
      </c>
    </row>
    <row r="731" spans="1:10" x14ac:dyDescent="0.25">
      <c r="A731" t="s">
        <v>131</v>
      </c>
      <c r="B731" t="s">
        <v>14</v>
      </c>
      <c r="C731" s="12" t="s">
        <v>109</v>
      </c>
      <c r="D731" t="s">
        <v>4</v>
      </c>
      <c r="E731" t="s">
        <v>6</v>
      </c>
      <c r="F731" t="s">
        <v>16</v>
      </c>
      <c r="G731" t="s">
        <v>181</v>
      </c>
      <c r="H731" s="94">
        <v>0.05</v>
      </c>
      <c r="I731" t="s">
        <v>107</v>
      </c>
      <c r="J731" t="s">
        <v>13</v>
      </c>
    </row>
    <row r="732" spans="1:10" x14ac:dyDescent="0.25">
      <c r="A732" t="s">
        <v>131</v>
      </c>
      <c r="B732" t="s">
        <v>14</v>
      </c>
      <c r="C732" s="12" t="s">
        <v>109</v>
      </c>
      <c r="D732" t="s">
        <v>4</v>
      </c>
      <c r="E732" t="s">
        <v>6</v>
      </c>
      <c r="F732" t="s">
        <v>16</v>
      </c>
      <c r="G732" t="s">
        <v>181</v>
      </c>
      <c r="H732" s="94">
        <v>0.05</v>
      </c>
      <c r="I732" t="s">
        <v>107</v>
      </c>
      <c r="J732" t="s">
        <v>63</v>
      </c>
    </row>
    <row r="733" spans="1:10" x14ac:dyDescent="0.25">
      <c r="A733" t="s">
        <v>131</v>
      </c>
      <c r="B733" t="s">
        <v>14</v>
      </c>
      <c r="C733" s="12" t="s">
        <v>109</v>
      </c>
      <c r="D733" t="s">
        <v>4</v>
      </c>
      <c r="E733" t="s">
        <v>6</v>
      </c>
      <c r="F733" t="s">
        <v>16</v>
      </c>
      <c r="G733" t="s">
        <v>181</v>
      </c>
      <c r="H733" s="94">
        <v>0.05</v>
      </c>
      <c r="I733" t="s">
        <v>107</v>
      </c>
      <c r="J733" t="s">
        <v>11</v>
      </c>
    </row>
    <row r="734" spans="1:10" x14ac:dyDescent="0.25">
      <c r="A734" t="s">
        <v>131</v>
      </c>
      <c r="B734" t="s">
        <v>14</v>
      </c>
      <c r="C734" s="12" t="s">
        <v>109</v>
      </c>
      <c r="D734" t="s">
        <v>4</v>
      </c>
      <c r="E734" t="s">
        <v>6</v>
      </c>
      <c r="F734" t="s">
        <v>16</v>
      </c>
      <c r="G734" t="s">
        <v>181</v>
      </c>
      <c r="H734" s="94">
        <v>0.05</v>
      </c>
      <c r="I734" t="s">
        <v>62</v>
      </c>
      <c r="J734" t="s">
        <v>13</v>
      </c>
    </row>
    <row r="735" spans="1:10" x14ac:dyDescent="0.25">
      <c r="A735" t="s">
        <v>131</v>
      </c>
      <c r="B735" t="s">
        <v>14</v>
      </c>
      <c r="C735" s="12" t="s">
        <v>109</v>
      </c>
      <c r="D735" t="s">
        <v>4</v>
      </c>
      <c r="E735" t="s">
        <v>6</v>
      </c>
      <c r="F735" t="s">
        <v>16</v>
      </c>
      <c r="G735" t="s">
        <v>181</v>
      </c>
      <c r="H735" s="94">
        <v>0.05</v>
      </c>
      <c r="I735" t="s">
        <v>62</v>
      </c>
      <c r="J735" t="s">
        <v>63</v>
      </c>
    </row>
    <row r="736" spans="1:10" x14ac:dyDescent="0.25">
      <c r="A736" t="s">
        <v>131</v>
      </c>
      <c r="B736" t="s">
        <v>14</v>
      </c>
      <c r="C736" s="12" t="s">
        <v>109</v>
      </c>
      <c r="D736" t="s">
        <v>4</v>
      </c>
      <c r="E736" t="s">
        <v>6</v>
      </c>
      <c r="F736" t="s">
        <v>16</v>
      </c>
      <c r="G736" t="s">
        <v>181</v>
      </c>
      <c r="H736" s="94">
        <v>0.05</v>
      </c>
      <c r="I736" t="s">
        <v>62</v>
      </c>
      <c r="J736" t="s">
        <v>11</v>
      </c>
    </row>
    <row r="737" spans="1:10" x14ac:dyDescent="0.25">
      <c r="A737" t="s">
        <v>131</v>
      </c>
      <c r="B737" t="s">
        <v>14</v>
      </c>
      <c r="C737" s="12" t="s">
        <v>109</v>
      </c>
      <c r="D737" t="s">
        <v>4</v>
      </c>
      <c r="E737" t="s">
        <v>6</v>
      </c>
      <c r="F737" t="s">
        <v>16</v>
      </c>
      <c r="G737" t="s">
        <v>181</v>
      </c>
      <c r="H737" s="94">
        <v>0.05</v>
      </c>
      <c r="I737" t="s">
        <v>60</v>
      </c>
      <c r="J737" t="s">
        <v>13</v>
      </c>
    </row>
    <row r="738" spans="1:10" x14ac:dyDescent="0.25">
      <c r="A738" t="s">
        <v>131</v>
      </c>
      <c r="B738" t="s">
        <v>14</v>
      </c>
      <c r="C738" s="12" t="s">
        <v>109</v>
      </c>
      <c r="D738" t="s">
        <v>4</v>
      </c>
      <c r="E738" t="s">
        <v>6</v>
      </c>
      <c r="F738" t="s">
        <v>16</v>
      </c>
      <c r="G738" t="s">
        <v>181</v>
      </c>
      <c r="H738" s="94">
        <v>0.05</v>
      </c>
      <c r="I738" t="s">
        <v>60</v>
      </c>
      <c r="J738" t="s">
        <v>63</v>
      </c>
    </row>
    <row r="739" spans="1:10" x14ac:dyDescent="0.25">
      <c r="A739" t="s">
        <v>131</v>
      </c>
      <c r="B739" t="s">
        <v>14</v>
      </c>
      <c r="C739" s="12" t="s">
        <v>109</v>
      </c>
      <c r="D739" t="s">
        <v>4</v>
      </c>
      <c r="E739" t="s">
        <v>6</v>
      </c>
      <c r="F739" t="s">
        <v>16</v>
      </c>
      <c r="G739" t="s">
        <v>181</v>
      </c>
      <c r="H739" s="94">
        <v>0.05</v>
      </c>
      <c r="I739" t="s">
        <v>60</v>
      </c>
      <c r="J739" t="s">
        <v>11</v>
      </c>
    </row>
    <row r="740" spans="1:10" x14ac:dyDescent="0.25">
      <c r="A740" t="s">
        <v>131</v>
      </c>
      <c r="B740" t="s">
        <v>14</v>
      </c>
      <c r="C740" s="12" t="s">
        <v>109</v>
      </c>
      <c r="D740" t="s">
        <v>4</v>
      </c>
      <c r="E740" t="s">
        <v>6</v>
      </c>
      <c r="F740" t="s">
        <v>8</v>
      </c>
      <c r="G740" t="s">
        <v>181</v>
      </c>
      <c r="H740" s="94">
        <v>0.02</v>
      </c>
      <c r="I740" t="s">
        <v>107</v>
      </c>
      <c r="J740" t="s">
        <v>13</v>
      </c>
    </row>
    <row r="741" spans="1:10" x14ac:dyDescent="0.25">
      <c r="A741" t="s">
        <v>131</v>
      </c>
      <c r="B741" t="s">
        <v>14</v>
      </c>
      <c r="C741" s="12" t="s">
        <v>109</v>
      </c>
      <c r="D741" t="s">
        <v>4</v>
      </c>
      <c r="E741" t="s">
        <v>6</v>
      </c>
      <c r="F741" t="s">
        <v>8</v>
      </c>
      <c r="G741" t="s">
        <v>181</v>
      </c>
      <c r="H741" s="94">
        <v>0.02</v>
      </c>
      <c r="I741" t="s">
        <v>107</v>
      </c>
      <c r="J741" t="s">
        <v>63</v>
      </c>
    </row>
    <row r="742" spans="1:10" x14ac:dyDescent="0.25">
      <c r="A742" t="s">
        <v>131</v>
      </c>
      <c r="B742" t="s">
        <v>14</v>
      </c>
      <c r="C742" s="12" t="s">
        <v>109</v>
      </c>
      <c r="D742" t="s">
        <v>4</v>
      </c>
      <c r="E742" t="s">
        <v>6</v>
      </c>
      <c r="F742" t="s">
        <v>8</v>
      </c>
      <c r="G742" t="s">
        <v>181</v>
      </c>
      <c r="H742" s="94">
        <v>0.02</v>
      </c>
      <c r="I742" t="s">
        <v>107</v>
      </c>
      <c r="J742" t="s">
        <v>11</v>
      </c>
    </row>
    <row r="743" spans="1:10" x14ac:dyDescent="0.25">
      <c r="A743" t="s">
        <v>131</v>
      </c>
      <c r="B743" t="s">
        <v>14</v>
      </c>
      <c r="C743" s="12" t="s">
        <v>109</v>
      </c>
      <c r="D743" t="s">
        <v>4</v>
      </c>
      <c r="E743" t="s">
        <v>6</v>
      </c>
      <c r="F743" t="s">
        <v>8</v>
      </c>
      <c r="G743" t="s">
        <v>181</v>
      </c>
      <c r="H743" s="94">
        <v>0.02</v>
      </c>
      <c r="I743" t="s">
        <v>62</v>
      </c>
      <c r="J743" t="s">
        <v>13</v>
      </c>
    </row>
    <row r="744" spans="1:10" x14ac:dyDescent="0.25">
      <c r="A744" t="s">
        <v>131</v>
      </c>
      <c r="B744" t="s">
        <v>14</v>
      </c>
      <c r="C744" s="12" t="s">
        <v>109</v>
      </c>
      <c r="D744" t="s">
        <v>4</v>
      </c>
      <c r="E744" t="s">
        <v>6</v>
      </c>
      <c r="F744" t="s">
        <v>8</v>
      </c>
      <c r="G744" t="s">
        <v>181</v>
      </c>
      <c r="H744" s="94">
        <v>0.02</v>
      </c>
      <c r="I744" t="s">
        <v>62</v>
      </c>
      <c r="J744" t="s">
        <v>63</v>
      </c>
    </row>
    <row r="745" spans="1:10" x14ac:dyDescent="0.25">
      <c r="A745" t="s">
        <v>131</v>
      </c>
      <c r="B745" t="s">
        <v>14</v>
      </c>
      <c r="C745" s="12" t="s">
        <v>109</v>
      </c>
      <c r="D745" t="s">
        <v>4</v>
      </c>
      <c r="E745" t="s">
        <v>6</v>
      </c>
      <c r="F745" t="s">
        <v>8</v>
      </c>
      <c r="G745" t="s">
        <v>181</v>
      </c>
      <c r="H745" s="94">
        <v>0.02</v>
      </c>
      <c r="I745" t="s">
        <v>62</v>
      </c>
      <c r="J745" t="s">
        <v>11</v>
      </c>
    </row>
    <row r="746" spans="1:10" x14ac:dyDescent="0.25">
      <c r="A746" t="s">
        <v>131</v>
      </c>
      <c r="B746" t="s">
        <v>14</v>
      </c>
      <c r="C746" s="12" t="s">
        <v>109</v>
      </c>
      <c r="D746" t="s">
        <v>4</v>
      </c>
      <c r="E746" t="s">
        <v>6</v>
      </c>
      <c r="F746" t="s">
        <v>8</v>
      </c>
      <c r="G746" t="s">
        <v>181</v>
      </c>
      <c r="H746" s="94">
        <v>0.02</v>
      </c>
      <c r="I746" t="s">
        <v>60</v>
      </c>
      <c r="J746" t="s">
        <v>13</v>
      </c>
    </row>
    <row r="747" spans="1:10" x14ac:dyDescent="0.25">
      <c r="A747" t="s">
        <v>131</v>
      </c>
      <c r="B747" t="s">
        <v>14</v>
      </c>
      <c r="C747" s="12" t="s">
        <v>109</v>
      </c>
      <c r="D747" t="s">
        <v>4</v>
      </c>
      <c r="E747" t="s">
        <v>6</v>
      </c>
      <c r="F747" t="s">
        <v>8</v>
      </c>
      <c r="G747" t="s">
        <v>181</v>
      </c>
      <c r="H747" s="94">
        <v>0.02</v>
      </c>
      <c r="I747" t="s">
        <v>60</v>
      </c>
      <c r="J747" t="s">
        <v>63</v>
      </c>
    </row>
    <row r="748" spans="1:10" x14ac:dyDescent="0.25">
      <c r="A748" t="s">
        <v>131</v>
      </c>
      <c r="B748" t="s">
        <v>14</v>
      </c>
      <c r="C748" s="12" t="s">
        <v>109</v>
      </c>
      <c r="D748" t="s">
        <v>4</v>
      </c>
      <c r="E748" t="s">
        <v>6</v>
      </c>
      <c r="F748" t="s">
        <v>8</v>
      </c>
      <c r="G748" t="s">
        <v>181</v>
      </c>
      <c r="H748" s="94">
        <v>0.02</v>
      </c>
      <c r="I748" t="s">
        <v>60</v>
      </c>
      <c r="J748" t="s">
        <v>11</v>
      </c>
    </row>
    <row r="749" spans="1:10" x14ac:dyDescent="0.25">
      <c r="A749" t="s">
        <v>131</v>
      </c>
      <c r="B749" t="s">
        <v>14</v>
      </c>
      <c r="C749" s="12" t="s">
        <v>109</v>
      </c>
      <c r="D749" t="s">
        <v>4</v>
      </c>
      <c r="E749" t="s">
        <v>6</v>
      </c>
      <c r="F749" t="s">
        <v>8</v>
      </c>
      <c r="G749" t="s">
        <v>181</v>
      </c>
      <c r="H749" s="94">
        <v>0.05</v>
      </c>
      <c r="I749" t="s">
        <v>107</v>
      </c>
      <c r="J749" t="s">
        <v>13</v>
      </c>
    </row>
    <row r="750" spans="1:10" x14ac:dyDescent="0.25">
      <c r="A750" t="s">
        <v>131</v>
      </c>
      <c r="B750" t="s">
        <v>14</v>
      </c>
      <c r="C750" s="12" t="s">
        <v>109</v>
      </c>
      <c r="D750" t="s">
        <v>4</v>
      </c>
      <c r="E750" t="s">
        <v>6</v>
      </c>
      <c r="F750" t="s">
        <v>8</v>
      </c>
      <c r="G750" t="s">
        <v>181</v>
      </c>
      <c r="H750" s="94">
        <v>0.05</v>
      </c>
      <c r="I750" t="s">
        <v>107</v>
      </c>
      <c r="J750" t="s">
        <v>63</v>
      </c>
    </row>
    <row r="751" spans="1:10" x14ac:dyDescent="0.25">
      <c r="A751" t="s">
        <v>131</v>
      </c>
      <c r="B751" t="s">
        <v>14</v>
      </c>
      <c r="C751" s="12" t="s">
        <v>109</v>
      </c>
      <c r="D751" t="s">
        <v>4</v>
      </c>
      <c r="E751" t="s">
        <v>6</v>
      </c>
      <c r="F751" t="s">
        <v>8</v>
      </c>
      <c r="G751" t="s">
        <v>181</v>
      </c>
      <c r="H751" s="94">
        <v>0.05</v>
      </c>
      <c r="I751" t="s">
        <v>107</v>
      </c>
      <c r="J751" t="s">
        <v>11</v>
      </c>
    </row>
    <row r="752" spans="1:10" x14ac:dyDescent="0.25">
      <c r="A752" t="s">
        <v>131</v>
      </c>
      <c r="B752" t="s">
        <v>14</v>
      </c>
      <c r="C752" s="12" t="s">
        <v>109</v>
      </c>
      <c r="D752" t="s">
        <v>4</v>
      </c>
      <c r="E752" t="s">
        <v>6</v>
      </c>
      <c r="F752" t="s">
        <v>8</v>
      </c>
      <c r="G752" t="s">
        <v>181</v>
      </c>
      <c r="H752" s="94">
        <v>0.05</v>
      </c>
      <c r="I752" t="s">
        <v>62</v>
      </c>
      <c r="J752" t="s">
        <v>13</v>
      </c>
    </row>
    <row r="753" spans="1:10" x14ac:dyDescent="0.25">
      <c r="A753" t="s">
        <v>131</v>
      </c>
      <c r="B753" t="s">
        <v>14</v>
      </c>
      <c r="C753" s="12" t="s">
        <v>109</v>
      </c>
      <c r="D753" t="s">
        <v>4</v>
      </c>
      <c r="E753" t="s">
        <v>6</v>
      </c>
      <c r="F753" t="s">
        <v>8</v>
      </c>
      <c r="G753" t="s">
        <v>181</v>
      </c>
      <c r="H753" s="94">
        <v>0.05</v>
      </c>
      <c r="I753" t="s">
        <v>62</v>
      </c>
      <c r="J753" t="s">
        <v>63</v>
      </c>
    </row>
    <row r="754" spans="1:10" x14ac:dyDescent="0.25">
      <c r="A754" t="s">
        <v>131</v>
      </c>
      <c r="B754" t="s">
        <v>14</v>
      </c>
      <c r="C754" s="12" t="s">
        <v>109</v>
      </c>
      <c r="D754" t="s">
        <v>4</v>
      </c>
      <c r="E754" t="s">
        <v>6</v>
      </c>
      <c r="F754" t="s">
        <v>8</v>
      </c>
      <c r="G754" t="s">
        <v>181</v>
      </c>
      <c r="H754" s="94">
        <v>0.05</v>
      </c>
      <c r="I754" t="s">
        <v>62</v>
      </c>
      <c r="J754" t="s">
        <v>11</v>
      </c>
    </row>
    <row r="755" spans="1:10" x14ac:dyDescent="0.25">
      <c r="A755" t="s">
        <v>131</v>
      </c>
      <c r="B755" t="s">
        <v>14</v>
      </c>
      <c r="C755" s="12" t="s">
        <v>109</v>
      </c>
      <c r="D755" t="s">
        <v>4</v>
      </c>
      <c r="E755" t="s">
        <v>6</v>
      </c>
      <c r="F755" t="s">
        <v>8</v>
      </c>
      <c r="G755" t="s">
        <v>181</v>
      </c>
      <c r="H755" s="94">
        <v>0.05</v>
      </c>
      <c r="I755" t="s">
        <v>60</v>
      </c>
      <c r="J755" t="s">
        <v>13</v>
      </c>
    </row>
    <row r="756" spans="1:10" x14ac:dyDescent="0.25">
      <c r="A756" t="s">
        <v>131</v>
      </c>
      <c r="B756" t="s">
        <v>14</v>
      </c>
      <c r="C756" s="12" t="s">
        <v>109</v>
      </c>
      <c r="D756" t="s">
        <v>4</v>
      </c>
      <c r="E756" t="s">
        <v>6</v>
      </c>
      <c r="F756" t="s">
        <v>8</v>
      </c>
      <c r="G756" t="s">
        <v>181</v>
      </c>
      <c r="H756" s="94">
        <v>0.05</v>
      </c>
      <c r="I756" t="s">
        <v>60</v>
      </c>
      <c r="J756" t="s">
        <v>63</v>
      </c>
    </row>
    <row r="757" spans="1:10" x14ac:dyDescent="0.25">
      <c r="A757" t="s">
        <v>131</v>
      </c>
      <c r="B757" t="s">
        <v>14</v>
      </c>
      <c r="C757" s="12" t="s">
        <v>109</v>
      </c>
      <c r="D757" t="s">
        <v>4</v>
      </c>
      <c r="E757" t="s">
        <v>6</v>
      </c>
      <c r="F757" t="s">
        <v>8</v>
      </c>
      <c r="G757" t="s">
        <v>181</v>
      </c>
      <c r="H757" s="94">
        <v>0.05</v>
      </c>
      <c r="I757" t="s">
        <v>60</v>
      </c>
      <c r="J757" t="s">
        <v>11</v>
      </c>
    </row>
    <row r="758" spans="1:10" x14ac:dyDescent="0.25">
      <c r="A758" t="s">
        <v>131</v>
      </c>
      <c r="B758" t="s">
        <v>167</v>
      </c>
      <c r="C758" s="12" t="s">
        <v>109</v>
      </c>
      <c r="D758" t="s">
        <v>4</v>
      </c>
      <c r="E758" t="s">
        <v>12</v>
      </c>
      <c r="F758" t="s">
        <v>72</v>
      </c>
      <c r="G758" t="s">
        <v>181</v>
      </c>
      <c r="H758" s="94">
        <v>0.02</v>
      </c>
      <c r="I758" t="s">
        <v>107</v>
      </c>
      <c r="J758" t="s">
        <v>13</v>
      </c>
    </row>
    <row r="759" spans="1:10" x14ac:dyDescent="0.25">
      <c r="A759" t="s">
        <v>131</v>
      </c>
      <c r="B759" t="s">
        <v>167</v>
      </c>
      <c r="C759" s="12" t="s">
        <v>109</v>
      </c>
      <c r="D759" t="s">
        <v>4</v>
      </c>
      <c r="E759" t="s">
        <v>12</v>
      </c>
      <c r="F759" t="s">
        <v>72</v>
      </c>
      <c r="G759" t="s">
        <v>181</v>
      </c>
      <c r="H759" s="94">
        <v>0.02</v>
      </c>
      <c r="I759" t="s">
        <v>107</v>
      </c>
      <c r="J759" t="s">
        <v>63</v>
      </c>
    </row>
    <row r="760" spans="1:10" x14ac:dyDescent="0.25">
      <c r="A760" t="s">
        <v>131</v>
      </c>
      <c r="B760" t="s">
        <v>167</v>
      </c>
      <c r="C760" s="12" t="s">
        <v>109</v>
      </c>
      <c r="D760" t="s">
        <v>4</v>
      </c>
      <c r="E760" t="s">
        <v>12</v>
      </c>
      <c r="F760" t="s">
        <v>72</v>
      </c>
      <c r="G760" t="s">
        <v>181</v>
      </c>
      <c r="H760" s="94">
        <v>0.02</v>
      </c>
      <c r="I760" t="s">
        <v>107</v>
      </c>
      <c r="J760" t="s">
        <v>11</v>
      </c>
    </row>
    <row r="761" spans="1:10" x14ac:dyDescent="0.25">
      <c r="A761" t="s">
        <v>131</v>
      </c>
      <c r="B761" t="s">
        <v>167</v>
      </c>
      <c r="C761" s="12" t="s">
        <v>109</v>
      </c>
      <c r="D761" t="s">
        <v>4</v>
      </c>
      <c r="E761" t="s">
        <v>12</v>
      </c>
      <c r="F761" t="s">
        <v>72</v>
      </c>
      <c r="G761" t="s">
        <v>181</v>
      </c>
      <c r="H761" s="94">
        <v>0.02</v>
      </c>
      <c r="I761" t="s">
        <v>62</v>
      </c>
      <c r="J761" t="s">
        <v>13</v>
      </c>
    </row>
    <row r="762" spans="1:10" x14ac:dyDescent="0.25">
      <c r="A762" t="s">
        <v>131</v>
      </c>
      <c r="B762" t="s">
        <v>167</v>
      </c>
      <c r="C762" s="12" t="s">
        <v>109</v>
      </c>
      <c r="D762" t="s">
        <v>4</v>
      </c>
      <c r="E762" t="s">
        <v>12</v>
      </c>
      <c r="F762" t="s">
        <v>72</v>
      </c>
      <c r="G762" t="s">
        <v>181</v>
      </c>
      <c r="H762" s="94">
        <v>0.02</v>
      </c>
      <c r="I762" t="s">
        <v>62</v>
      </c>
      <c r="J762" t="s">
        <v>63</v>
      </c>
    </row>
    <row r="763" spans="1:10" x14ac:dyDescent="0.25">
      <c r="A763" t="s">
        <v>131</v>
      </c>
      <c r="B763" t="s">
        <v>167</v>
      </c>
      <c r="C763" s="12" t="s">
        <v>109</v>
      </c>
      <c r="D763" t="s">
        <v>4</v>
      </c>
      <c r="E763" t="s">
        <v>12</v>
      </c>
      <c r="F763" t="s">
        <v>72</v>
      </c>
      <c r="G763" t="s">
        <v>181</v>
      </c>
      <c r="H763" s="94">
        <v>0.02</v>
      </c>
      <c r="I763" t="s">
        <v>62</v>
      </c>
      <c r="J763" t="s">
        <v>11</v>
      </c>
    </row>
    <row r="764" spans="1:10" x14ac:dyDescent="0.25">
      <c r="A764" t="s">
        <v>131</v>
      </c>
      <c r="B764" t="s">
        <v>167</v>
      </c>
      <c r="C764" s="12" t="s">
        <v>109</v>
      </c>
      <c r="D764" t="s">
        <v>4</v>
      </c>
      <c r="E764" t="s">
        <v>12</v>
      </c>
      <c r="F764" t="s">
        <v>72</v>
      </c>
      <c r="G764" t="s">
        <v>181</v>
      </c>
      <c r="H764" s="94">
        <v>0.02</v>
      </c>
      <c r="I764" t="s">
        <v>60</v>
      </c>
      <c r="J764" t="s">
        <v>13</v>
      </c>
    </row>
    <row r="765" spans="1:10" x14ac:dyDescent="0.25">
      <c r="A765" t="s">
        <v>131</v>
      </c>
      <c r="B765" t="s">
        <v>167</v>
      </c>
      <c r="C765" s="12" t="s">
        <v>109</v>
      </c>
      <c r="D765" t="s">
        <v>4</v>
      </c>
      <c r="E765" t="s">
        <v>12</v>
      </c>
      <c r="F765" t="s">
        <v>72</v>
      </c>
      <c r="G765" t="s">
        <v>181</v>
      </c>
      <c r="H765" s="94">
        <v>0.02</v>
      </c>
      <c r="I765" t="s">
        <v>60</v>
      </c>
      <c r="J765" t="s">
        <v>63</v>
      </c>
    </row>
    <row r="766" spans="1:10" x14ac:dyDescent="0.25">
      <c r="A766" t="s">
        <v>131</v>
      </c>
      <c r="B766" t="s">
        <v>167</v>
      </c>
      <c r="C766" s="12" t="s">
        <v>109</v>
      </c>
      <c r="D766" t="s">
        <v>4</v>
      </c>
      <c r="E766" t="s">
        <v>12</v>
      </c>
      <c r="F766" t="s">
        <v>72</v>
      </c>
      <c r="G766" t="s">
        <v>181</v>
      </c>
      <c r="H766" s="94">
        <v>0.02</v>
      </c>
      <c r="I766" t="s">
        <v>60</v>
      </c>
      <c r="J766" t="s">
        <v>11</v>
      </c>
    </row>
    <row r="767" spans="1:10" x14ac:dyDescent="0.25">
      <c r="A767" t="s">
        <v>131</v>
      </c>
      <c r="B767" t="s">
        <v>167</v>
      </c>
      <c r="C767" s="12" t="s">
        <v>109</v>
      </c>
      <c r="D767" t="s">
        <v>4</v>
      </c>
      <c r="E767" t="s">
        <v>12</v>
      </c>
      <c r="F767" t="s">
        <v>72</v>
      </c>
      <c r="G767" t="s">
        <v>181</v>
      </c>
      <c r="H767" s="94">
        <v>0.05</v>
      </c>
      <c r="I767" t="s">
        <v>107</v>
      </c>
      <c r="J767" t="s">
        <v>13</v>
      </c>
    </row>
    <row r="768" spans="1:10" x14ac:dyDescent="0.25">
      <c r="A768" t="s">
        <v>131</v>
      </c>
      <c r="B768" t="s">
        <v>167</v>
      </c>
      <c r="C768" s="12" t="s">
        <v>109</v>
      </c>
      <c r="D768" t="s">
        <v>4</v>
      </c>
      <c r="E768" t="s">
        <v>12</v>
      </c>
      <c r="F768" t="s">
        <v>72</v>
      </c>
      <c r="G768" t="s">
        <v>181</v>
      </c>
      <c r="H768" s="94">
        <v>0.05</v>
      </c>
      <c r="I768" t="s">
        <v>107</v>
      </c>
      <c r="J768" t="s">
        <v>63</v>
      </c>
    </row>
    <row r="769" spans="1:10" x14ac:dyDescent="0.25">
      <c r="A769" t="s">
        <v>131</v>
      </c>
      <c r="B769" t="s">
        <v>167</v>
      </c>
      <c r="C769" s="12" t="s">
        <v>109</v>
      </c>
      <c r="D769" t="s">
        <v>4</v>
      </c>
      <c r="E769" t="s">
        <v>12</v>
      </c>
      <c r="F769" t="s">
        <v>72</v>
      </c>
      <c r="G769" t="s">
        <v>181</v>
      </c>
      <c r="H769" s="94">
        <v>0.05</v>
      </c>
      <c r="I769" t="s">
        <v>107</v>
      </c>
      <c r="J769" t="s">
        <v>11</v>
      </c>
    </row>
    <row r="770" spans="1:10" x14ac:dyDescent="0.25">
      <c r="A770" t="s">
        <v>131</v>
      </c>
      <c r="B770" t="s">
        <v>167</v>
      </c>
      <c r="C770" s="12" t="s">
        <v>109</v>
      </c>
      <c r="D770" t="s">
        <v>4</v>
      </c>
      <c r="E770" t="s">
        <v>12</v>
      </c>
      <c r="F770" t="s">
        <v>72</v>
      </c>
      <c r="G770" t="s">
        <v>181</v>
      </c>
      <c r="H770" s="94">
        <v>0.05</v>
      </c>
      <c r="I770" t="s">
        <v>62</v>
      </c>
      <c r="J770" t="s">
        <v>13</v>
      </c>
    </row>
    <row r="771" spans="1:10" x14ac:dyDescent="0.25">
      <c r="A771" t="s">
        <v>131</v>
      </c>
      <c r="B771" t="s">
        <v>167</v>
      </c>
      <c r="C771" s="12" t="s">
        <v>109</v>
      </c>
      <c r="D771" t="s">
        <v>4</v>
      </c>
      <c r="E771" t="s">
        <v>12</v>
      </c>
      <c r="F771" t="s">
        <v>72</v>
      </c>
      <c r="G771" t="s">
        <v>181</v>
      </c>
      <c r="H771" s="94">
        <v>0.05</v>
      </c>
      <c r="I771" t="s">
        <v>62</v>
      </c>
      <c r="J771" t="s">
        <v>63</v>
      </c>
    </row>
    <row r="772" spans="1:10" x14ac:dyDescent="0.25">
      <c r="A772" t="s">
        <v>131</v>
      </c>
      <c r="B772" t="s">
        <v>167</v>
      </c>
      <c r="C772" s="12" t="s">
        <v>109</v>
      </c>
      <c r="D772" t="s">
        <v>4</v>
      </c>
      <c r="E772" t="s">
        <v>12</v>
      </c>
      <c r="F772" t="s">
        <v>72</v>
      </c>
      <c r="G772" t="s">
        <v>181</v>
      </c>
      <c r="H772" s="94">
        <v>0.05</v>
      </c>
      <c r="I772" t="s">
        <v>62</v>
      </c>
      <c r="J772" t="s">
        <v>11</v>
      </c>
    </row>
    <row r="773" spans="1:10" x14ac:dyDescent="0.25">
      <c r="A773" t="s">
        <v>131</v>
      </c>
      <c r="B773" t="s">
        <v>167</v>
      </c>
      <c r="C773" s="12" t="s">
        <v>109</v>
      </c>
      <c r="D773" t="s">
        <v>4</v>
      </c>
      <c r="E773" t="s">
        <v>12</v>
      </c>
      <c r="F773" t="s">
        <v>72</v>
      </c>
      <c r="G773" t="s">
        <v>181</v>
      </c>
      <c r="H773" s="94">
        <v>0.05</v>
      </c>
      <c r="I773" t="s">
        <v>60</v>
      </c>
      <c r="J773" t="s">
        <v>13</v>
      </c>
    </row>
    <row r="774" spans="1:10" x14ac:dyDescent="0.25">
      <c r="A774" t="s">
        <v>131</v>
      </c>
      <c r="B774" t="s">
        <v>167</v>
      </c>
      <c r="C774" s="12" t="s">
        <v>109</v>
      </c>
      <c r="D774" t="s">
        <v>4</v>
      </c>
      <c r="E774" t="s">
        <v>12</v>
      </c>
      <c r="F774" t="s">
        <v>72</v>
      </c>
      <c r="G774" t="s">
        <v>181</v>
      </c>
      <c r="H774" s="94">
        <v>0.05</v>
      </c>
      <c r="I774" t="s">
        <v>60</v>
      </c>
      <c r="J774" t="s">
        <v>63</v>
      </c>
    </row>
    <row r="775" spans="1:10" x14ac:dyDescent="0.25">
      <c r="A775" t="s">
        <v>131</v>
      </c>
      <c r="B775" t="s">
        <v>167</v>
      </c>
      <c r="C775" s="12" t="s">
        <v>109</v>
      </c>
      <c r="D775" t="s">
        <v>4</v>
      </c>
      <c r="E775" t="s">
        <v>12</v>
      </c>
      <c r="F775" t="s">
        <v>72</v>
      </c>
      <c r="G775" t="s">
        <v>181</v>
      </c>
      <c r="H775" s="94">
        <v>0.05</v>
      </c>
      <c r="I775" t="s">
        <v>60</v>
      </c>
      <c r="J775" t="s">
        <v>11</v>
      </c>
    </row>
    <row r="776" spans="1:10" x14ac:dyDescent="0.25">
      <c r="A776" t="s">
        <v>131</v>
      </c>
      <c r="B776" t="s">
        <v>167</v>
      </c>
      <c r="C776" s="12" t="s">
        <v>109</v>
      </c>
      <c r="D776" t="s">
        <v>4</v>
      </c>
      <c r="E776" t="s">
        <v>12</v>
      </c>
      <c r="F776" t="s">
        <v>16</v>
      </c>
      <c r="G776" t="s">
        <v>181</v>
      </c>
      <c r="H776" s="94">
        <v>0.02</v>
      </c>
      <c r="I776" t="s">
        <v>107</v>
      </c>
      <c r="J776" t="s">
        <v>13</v>
      </c>
    </row>
    <row r="777" spans="1:10" x14ac:dyDescent="0.25">
      <c r="A777" t="s">
        <v>131</v>
      </c>
      <c r="B777" t="s">
        <v>167</v>
      </c>
      <c r="C777" s="12" t="s">
        <v>109</v>
      </c>
      <c r="D777" t="s">
        <v>4</v>
      </c>
      <c r="E777" t="s">
        <v>12</v>
      </c>
      <c r="F777" t="s">
        <v>16</v>
      </c>
      <c r="G777" t="s">
        <v>181</v>
      </c>
      <c r="H777" s="94">
        <v>0.02</v>
      </c>
      <c r="I777" t="s">
        <v>107</v>
      </c>
      <c r="J777" t="s">
        <v>63</v>
      </c>
    </row>
    <row r="778" spans="1:10" x14ac:dyDescent="0.25">
      <c r="A778" t="s">
        <v>131</v>
      </c>
      <c r="B778" t="s">
        <v>167</v>
      </c>
      <c r="C778" s="12" t="s">
        <v>109</v>
      </c>
      <c r="D778" t="s">
        <v>4</v>
      </c>
      <c r="E778" t="s">
        <v>12</v>
      </c>
      <c r="F778" t="s">
        <v>16</v>
      </c>
      <c r="G778" t="s">
        <v>181</v>
      </c>
      <c r="H778" s="94">
        <v>0.02</v>
      </c>
      <c r="I778" t="s">
        <v>107</v>
      </c>
      <c r="J778" t="s">
        <v>11</v>
      </c>
    </row>
    <row r="779" spans="1:10" x14ac:dyDescent="0.25">
      <c r="A779" t="s">
        <v>131</v>
      </c>
      <c r="B779" t="s">
        <v>167</v>
      </c>
      <c r="C779" s="12" t="s">
        <v>109</v>
      </c>
      <c r="D779" t="s">
        <v>4</v>
      </c>
      <c r="E779" t="s">
        <v>12</v>
      </c>
      <c r="F779" t="s">
        <v>16</v>
      </c>
      <c r="G779" t="s">
        <v>181</v>
      </c>
      <c r="H779" s="94">
        <v>0.02</v>
      </c>
      <c r="I779" t="s">
        <v>62</v>
      </c>
      <c r="J779" t="s">
        <v>13</v>
      </c>
    </row>
    <row r="780" spans="1:10" x14ac:dyDescent="0.25">
      <c r="A780" t="s">
        <v>131</v>
      </c>
      <c r="B780" t="s">
        <v>167</v>
      </c>
      <c r="C780" s="12" t="s">
        <v>109</v>
      </c>
      <c r="D780" t="s">
        <v>4</v>
      </c>
      <c r="E780" t="s">
        <v>12</v>
      </c>
      <c r="F780" t="s">
        <v>16</v>
      </c>
      <c r="G780" t="s">
        <v>181</v>
      </c>
      <c r="H780" s="94">
        <v>0.02</v>
      </c>
      <c r="I780" t="s">
        <v>62</v>
      </c>
      <c r="J780" t="s">
        <v>63</v>
      </c>
    </row>
    <row r="781" spans="1:10" x14ac:dyDescent="0.25">
      <c r="A781" t="s">
        <v>131</v>
      </c>
      <c r="B781" t="s">
        <v>167</v>
      </c>
      <c r="C781" s="12" t="s">
        <v>109</v>
      </c>
      <c r="D781" t="s">
        <v>4</v>
      </c>
      <c r="E781" t="s">
        <v>12</v>
      </c>
      <c r="F781" t="s">
        <v>16</v>
      </c>
      <c r="G781" t="s">
        <v>181</v>
      </c>
      <c r="H781" s="94">
        <v>0.02</v>
      </c>
      <c r="I781" t="s">
        <v>62</v>
      </c>
      <c r="J781" t="s">
        <v>11</v>
      </c>
    </row>
    <row r="782" spans="1:10" x14ac:dyDescent="0.25">
      <c r="A782" t="s">
        <v>131</v>
      </c>
      <c r="B782" t="s">
        <v>167</v>
      </c>
      <c r="C782" s="12" t="s">
        <v>109</v>
      </c>
      <c r="D782" t="s">
        <v>4</v>
      </c>
      <c r="E782" t="s">
        <v>12</v>
      </c>
      <c r="F782" t="s">
        <v>16</v>
      </c>
      <c r="G782" t="s">
        <v>181</v>
      </c>
      <c r="H782" s="94">
        <v>0.02</v>
      </c>
      <c r="I782" t="s">
        <v>60</v>
      </c>
      <c r="J782" t="s">
        <v>13</v>
      </c>
    </row>
    <row r="783" spans="1:10" x14ac:dyDescent="0.25">
      <c r="A783" t="s">
        <v>131</v>
      </c>
      <c r="B783" t="s">
        <v>167</v>
      </c>
      <c r="C783" s="12" t="s">
        <v>109</v>
      </c>
      <c r="D783" t="s">
        <v>4</v>
      </c>
      <c r="E783" t="s">
        <v>12</v>
      </c>
      <c r="F783" t="s">
        <v>16</v>
      </c>
      <c r="G783" t="s">
        <v>181</v>
      </c>
      <c r="H783" s="94">
        <v>0.02</v>
      </c>
      <c r="I783" t="s">
        <v>60</v>
      </c>
      <c r="J783" t="s">
        <v>63</v>
      </c>
    </row>
    <row r="784" spans="1:10" x14ac:dyDescent="0.25">
      <c r="A784" t="s">
        <v>131</v>
      </c>
      <c r="B784" t="s">
        <v>167</v>
      </c>
      <c r="C784" s="12" t="s">
        <v>109</v>
      </c>
      <c r="D784" t="s">
        <v>4</v>
      </c>
      <c r="E784" t="s">
        <v>12</v>
      </c>
      <c r="F784" t="s">
        <v>16</v>
      </c>
      <c r="G784" t="s">
        <v>181</v>
      </c>
      <c r="H784" s="94">
        <v>0.02</v>
      </c>
      <c r="I784" t="s">
        <v>60</v>
      </c>
      <c r="J784" t="s">
        <v>11</v>
      </c>
    </row>
    <row r="785" spans="1:10" x14ac:dyDescent="0.25">
      <c r="A785" t="s">
        <v>131</v>
      </c>
      <c r="B785" t="s">
        <v>167</v>
      </c>
      <c r="C785" s="12" t="s">
        <v>109</v>
      </c>
      <c r="D785" t="s">
        <v>4</v>
      </c>
      <c r="E785" t="s">
        <v>12</v>
      </c>
      <c r="F785" t="s">
        <v>16</v>
      </c>
      <c r="G785" t="s">
        <v>181</v>
      </c>
      <c r="H785" s="94">
        <v>0.05</v>
      </c>
      <c r="I785" t="s">
        <v>107</v>
      </c>
      <c r="J785" t="s">
        <v>13</v>
      </c>
    </row>
    <row r="786" spans="1:10" x14ac:dyDescent="0.25">
      <c r="A786" t="s">
        <v>131</v>
      </c>
      <c r="B786" t="s">
        <v>167</v>
      </c>
      <c r="C786" s="12" t="s">
        <v>109</v>
      </c>
      <c r="D786" t="s">
        <v>4</v>
      </c>
      <c r="E786" t="s">
        <v>12</v>
      </c>
      <c r="F786" t="s">
        <v>16</v>
      </c>
      <c r="G786" t="s">
        <v>181</v>
      </c>
      <c r="H786" s="94">
        <v>0.05</v>
      </c>
      <c r="I786" t="s">
        <v>107</v>
      </c>
      <c r="J786" t="s">
        <v>63</v>
      </c>
    </row>
    <row r="787" spans="1:10" x14ac:dyDescent="0.25">
      <c r="A787" t="s">
        <v>131</v>
      </c>
      <c r="B787" t="s">
        <v>167</v>
      </c>
      <c r="C787" s="12" t="s">
        <v>109</v>
      </c>
      <c r="D787" t="s">
        <v>4</v>
      </c>
      <c r="E787" t="s">
        <v>12</v>
      </c>
      <c r="F787" t="s">
        <v>16</v>
      </c>
      <c r="G787" t="s">
        <v>181</v>
      </c>
      <c r="H787" s="94">
        <v>0.05</v>
      </c>
      <c r="I787" t="s">
        <v>107</v>
      </c>
      <c r="J787" t="s">
        <v>11</v>
      </c>
    </row>
    <row r="788" spans="1:10" x14ac:dyDescent="0.25">
      <c r="A788" t="s">
        <v>131</v>
      </c>
      <c r="B788" t="s">
        <v>167</v>
      </c>
      <c r="C788" s="12" t="s">
        <v>109</v>
      </c>
      <c r="D788" t="s">
        <v>4</v>
      </c>
      <c r="E788" t="s">
        <v>12</v>
      </c>
      <c r="F788" t="s">
        <v>16</v>
      </c>
      <c r="G788" t="s">
        <v>181</v>
      </c>
      <c r="H788" s="94">
        <v>0.05</v>
      </c>
      <c r="I788" t="s">
        <v>62</v>
      </c>
      <c r="J788" t="s">
        <v>13</v>
      </c>
    </row>
    <row r="789" spans="1:10" x14ac:dyDescent="0.25">
      <c r="A789" t="s">
        <v>131</v>
      </c>
      <c r="B789" t="s">
        <v>167</v>
      </c>
      <c r="C789" s="12" t="s">
        <v>109</v>
      </c>
      <c r="D789" t="s">
        <v>4</v>
      </c>
      <c r="E789" t="s">
        <v>12</v>
      </c>
      <c r="F789" t="s">
        <v>16</v>
      </c>
      <c r="G789" t="s">
        <v>181</v>
      </c>
      <c r="H789" s="94">
        <v>0.05</v>
      </c>
      <c r="I789" t="s">
        <v>62</v>
      </c>
      <c r="J789" t="s">
        <v>63</v>
      </c>
    </row>
    <row r="790" spans="1:10" x14ac:dyDescent="0.25">
      <c r="A790" t="s">
        <v>131</v>
      </c>
      <c r="B790" t="s">
        <v>167</v>
      </c>
      <c r="C790" s="12" t="s">
        <v>109</v>
      </c>
      <c r="D790" t="s">
        <v>4</v>
      </c>
      <c r="E790" t="s">
        <v>12</v>
      </c>
      <c r="F790" t="s">
        <v>16</v>
      </c>
      <c r="G790" t="s">
        <v>181</v>
      </c>
      <c r="H790" s="94">
        <v>0.05</v>
      </c>
      <c r="I790" t="s">
        <v>62</v>
      </c>
      <c r="J790" t="s">
        <v>11</v>
      </c>
    </row>
    <row r="791" spans="1:10" x14ac:dyDescent="0.25">
      <c r="A791" t="s">
        <v>131</v>
      </c>
      <c r="B791" t="s">
        <v>167</v>
      </c>
      <c r="C791" s="12" t="s">
        <v>109</v>
      </c>
      <c r="D791" t="s">
        <v>4</v>
      </c>
      <c r="E791" t="s">
        <v>12</v>
      </c>
      <c r="F791" t="s">
        <v>16</v>
      </c>
      <c r="G791" t="s">
        <v>181</v>
      </c>
      <c r="H791" s="94">
        <v>0.05</v>
      </c>
      <c r="I791" t="s">
        <v>60</v>
      </c>
      <c r="J791" t="s">
        <v>13</v>
      </c>
    </row>
    <row r="792" spans="1:10" x14ac:dyDescent="0.25">
      <c r="A792" t="s">
        <v>131</v>
      </c>
      <c r="B792" t="s">
        <v>167</v>
      </c>
      <c r="C792" s="12" t="s">
        <v>109</v>
      </c>
      <c r="D792" t="s">
        <v>4</v>
      </c>
      <c r="E792" t="s">
        <v>12</v>
      </c>
      <c r="F792" t="s">
        <v>16</v>
      </c>
      <c r="G792" t="s">
        <v>181</v>
      </c>
      <c r="H792" s="94">
        <v>0.05</v>
      </c>
      <c r="I792" t="s">
        <v>60</v>
      </c>
      <c r="J792" t="s">
        <v>63</v>
      </c>
    </row>
    <row r="793" spans="1:10" x14ac:dyDescent="0.25">
      <c r="A793" t="s">
        <v>131</v>
      </c>
      <c r="B793" t="s">
        <v>167</v>
      </c>
      <c r="C793" s="12" t="s">
        <v>109</v>
      </c>
      <c r="D793" t="s">
        <v>4</v>
      </c>
      <c r="E793" t="s">
        <v>12</v>
      </c>
      <c r="F793" t="s">
        <v>16</v>
      </c>
      <c r="G793" t="s">
        <v>181</v>
      </c>
      <c r="H793" s="94">
        <v>0.05</v>
      </c>
      <c r="I793" t="s">
        <v>60</v>
      </c>
      <c r="J793" t="s">
        <v>11</v>
      </c>
    </row>
    <row r="794" spans="1:10" x14ac:dyDescent="0.25">
      <c r="A794" t="s">
        <v>131</v>
      </c>
      <c r="B794" t="s">
        <v>167</v>
      </c>
      <c r="C794" s="12" t="s">
        <v>109</v>
      </c>
      <c r="D794" t="s">
        <v>4</v>
      </c>
      <c r="E794" t="s">
        <v>12</v>
      </c>
      <c r="F794" t="s">
        <v>8</v>
      </c>
      <c r="G794" t="s">
        <v>181</v>
      </c>
      <c r="H794" s="94">
        <v>0.02</v>
      </c>
      <c r="I794" t="s">
        <v>107</v>
      </c>
      <c r="J794" t="s">
        <v>13</v>
      </c>
    </row>
    <row r="795" spans="1:10" x14ac:dyDescent="0.25">
      <c r="A795" t="s">
        <v>131</v>
      </c>
      <c r="B795" t="s">
        <v>167</v>
      </c>
      <c r="C795" s="12" t="s">
        <v>109</v>
      </c>
      <c r="D795" t="s">
        <v>4</v>
      </c>
      <c r="E795" t="s">
        <v>12</v>
      </c>
      <c r="F795" t="s">
        <v>8</v>
      </c>
      <c r="G795" t="s">
        <v>181</v>
      </c>
      <c r="H795" s="94">
        <v>0.02</v>
      </c>
      <c r="I795" t="s">
        <v>107</v>
      </c>
      <c r="J795" t="s">
        <v>63</v>
      </c>
    </row>
    <row r="796" spans="1:10" x14ac:dyDescent="0.25">
      <c r="A796" t="s">
        <v>131</v>
      </c>
      <c r="B796" t="s">
        <v>167</v>
      </c>
      <c r="C796" s="12" t="s">
        <v>109</v>
      </c>
      <c r="D796" t="s">
        <v>4</v>
      </c>
      <c r="E796" t="s">
        <v>12</v>
      </c>
      <c r="F796" t="s">
        <v>8</v>
      </c>
      <c r="G796" t="s">
        <v>181</v>
      </c>
      <c r="H796" s="94">
        <v>0.02</v>
      </c>
      <c r="I796" t="s">
        <v>107</v>
      </c>
      <c r="J796" t="s">
        <v>11</v>
      </c>
    </row>
    <row r="797" spans="1:10" x14ac:dyDescent="0.25">
      <c r="A797" t="s">
        <v>131</v>
      </c>
      <c r="B797" t="s">
        <v>167</v>
      </c>
      <c r="C797" s="12" t="s">
        <v>109</v>
      </c>
      <c r="D797" t="s">
        <v>4</v>
      </c>
      <c r="E797" t="s">
        <v>12</v>
      </c>
      <c r="F797" t="s">
        <v>8</v>
      </c>
      <c r="G797" t="s">
        <v>181</v>
      </c>
      <c r="H797" s="94">
        <v>0.02</v>
      </c>
      <c r="I797" t="s">
        <v>62</v>
      </c>
      <c r="J797" t="s">
        <v>13</v>
      </c>
    </row>
    <row r="798" spans="1:10" x14ac:dyDescent="0.25">
      <c r="A798" t="s">
        <v>131</v>
      </c>
      <c r="B798" t="s">
        <v>167</v>
      </c>
      <c r="C798" s="12" t="s">
        <v>109</v>
      </c>
      <c r="D798" t="s">
        <v>4</v>
      </c>
      <c r="E798" t="s">
        <v>12</v>
      </c>
      <c r="F798" t="s">
        <v>8</v>
      </c>
      <c r="G798" t="s">
        <v>181</v>
      </c>
      <c r="H798" s="94">
        <v>0.02</v>
      </c>
      <c r="I798" t="s">
        <v>62</v>
      </c>
      <c r="J798" t="s">
        <v>63</v>
      </c>
    </row>
    <row r="799" spans="1:10" x14ac:dyDescent="0.25">
      <c r="A799" t="s">
        <v>131</v>
      </c>
      <c r="B799" t="s">
        <v>167</v>
      </c>
      <c r="C799" s="12" t="s">
        <v>109</v>
      </c>
      <c r="D799" t="s">
        <v>4</v>
      </c>
      <c r="E799" t="s">
        <v>12</v>
      </c>
      <c r="F799" t="s">
        <v>8</v>
      </c>
      <c r="G799" t="s">
        <v>181</v>
      </c>
      <c r="H799" s="94">
        <v>0.02</v>
      </c>
      <c r="I799" t="s">
        <v>62</v>
      </c>
      <c r="J799" t="s">
        <v>11</v>
      </c>
    </row>
    <row r="800" spans="1:10" x14ac:dyDescent="0.25">
      <c r="A800" t="s">
        <v>131</v>
      </c>
      <c r="B800" t="s">
        <v>167</v>
      </c>
      <c r="C800" s="12" t="s">
        <v>109</v>
      </c>
      <c r="D800" t="s">
        <v>4</v>
      </c>
      <c r="E800" t="s">
        <v>12</v>
      </c>
      <c r="F800" t="s">
        <v>8</v>
      </c>
      <c r="G800" t="s">
        <v>181</v>
      </c>
      <c r="H800" s="94">
        <v>0.02</v>
      </c>
      <c r="I800" t="s">
        <v>60</v>
      </c>
      <c r="J800" t="s">
        <v>13</v>
      </c>
    </row>
    <row r="801" spans="1:10" x14ac:dyDescent="0.25">
      <c r="A801" t="s">
        <v>131</v>
      </c>
      <c r="B801" t="s">
        <v>167</v>
      </c>
      <c r="C801" s="12" t="s">
        <v>109</v>
      </c>
      <c r="D801" t="s">
        <v>4</v>
      </c>
      <c r="E801" t="s">
        <v>12</v>
      </c>
      <c r="F801" t="s">
        <v>8</v>
      </c>
      <c r="G801" t="s">
        <v>181</v>
      </c>
      <c r="H801" s="94">
        <v>0.02</v>
      </c>
      <c r="I801" t="s">
        <v>60</v>
      </c>
      <c r="J801" t="s">
        <v>63</v>
      </c>
    </row>
    <row r="802" spans="1:10" x14ac:dyDescent="0.25">
      <c r="A802" t="s">
        <v>131</v>
      </c>
      <c r="B802" t="s">
        <v>167</v>
      </c>
      <c r="C802" s="12" t="s">
        <v>109</v>
      </c>
      <c r="D802" t="s">
        <v>4</v>
      </c>
      <c r="E802" t="s">
        <v>12</v>
      </c>
      <c r="F802" t="s">
        <v>8</v>
      </c>
      <c r="G802" t="s">
        <v>181</v>
      </c>
      <c r="H802" s="94">
        <v>0.02</v>
      </c>
      <c r="I802" t="s">
        <v>60</v>
      </c>
      <c r="J802" t="s">
        <v>11</v>
      </c>
    </row>
    <row r="803" spans="1:10" x14ac:dyDescent="0.25">
      <c r="A803" t="s">
        <v>131</v>
      </c>
      <c r="B803" t="s">
        <v>167</v>
      </c>
      <c r="C803" s="12" t="s">
        <v>109</v>
      </c>
      <c r="D803" t="s">
        <v>4</v>
      </c>
      <c r="E803" t="s">
        <v>12</v>
      </c>
      <c r="F803" t="s">
        <v>8</v>
      </c>
      <c r="G803" t="s">
        <v>181</v>
      </c>
      <c r="H803" s="94">
        <v>0.05</v>
      </c>
      <c r="I803" t="s">
        <v>107</v>
      </c>
      <c r="J803" t="s">
        <v>13</v>
      </c>
    </row>
    <row r="804" spans="1:10" x14ac:dyDescent="0.25">
      <c r="A804" t="s">
        <v>131</v>
      </c>
      <c r="B804" t="s">
        <v>167</v>
      </c>
      <c r="C804" s="12" t="s">
        <v>109</v>
      </c>
      <c r="D804" t="s">
        <v>4</v>
      </c>
      <c r="E804" t="s">
        <v>12</v>
      </c>
      <c r="F804" t="s">
        <v>8</v>
      </c>
      <c r="G804" t="s">
        <v>181</v>
      </c>
      <c r="H804" s="94">
        <v>0.05</v>
      </c>
      <c r="I804" t="s">
        <v>107</v>
      </c>
      <c r="J804" t="s">
        <v>63</v>
      </c>
    </row>
    <row r="805" spans="1:10" x14ac:dyDescent="0.25">
      <c r="A805" t="s">
        <v>131</v>
      </c>
      <c r="B805" t="s">
        <v>167</v>
      </c>
      <c r="C805" s="12" t="s">
        <v>109</v>
      </c>
      <c r="D805" t="s">
        <v>4</v>
      </c>
      <c r="E805" t="s">
        <v>12</v>
      </c>
      <c r="F805" t="s">
        <v>8</v>
      </c>
      <c r="G805" t="s">
        <v>181</v>
      </c>
      <c r="H805" s="94">
        <v>0.05</v>
      </c>
      <c r="I805" t="s">
        <v>107</v>
      </c>
      <c r="J805" t="s">
        <v>11</v>
      </c>
    </row>
    <row r="806" spans="1:10" x14ac:dyDescent="0.25">
      <c r="A806" t="s">
        <v>131</v>
      </c>
      <c r="B806" t="s">
        <v>167</v>
      </c>
      <c r="C806" s="12" t="s">
        <v>109</v>
      </c>
      <c r="D806" t="s">
        <v>4</v>
      </c>
      <c r="E806" t="s">
        <v>12</v>
      </c>
      <c r="F806" t="s">
        <v>8</v>
      </c>
      <c r="G806" t="s">
        <v>181</v>
      </c>
      <c r="H806" s="94">
        <v>0.05</v>
      </c>
      <c r="I806" t="s">
        <v>62</v>
      </c>
      <c r="J806" t="s">
        <v>13</v>
      </c>
    </row>
    <row r="807" spans="1:10" x14ac:dyDescent="0.25">
      <c r="A807" t="s">
        <v>131</v>
      </c>
      <c r="B807" t="s">
        <v>167</v>
      </c>
      <c r="C807" s="12" t="s">
        <v>109</v>
      </c>
      <c r="D807" t="s">
        <v>4</v>
      </c>
      <c r="E807" t="s">
        <v>12</v>
      </c>
      <c r="F807" t="s">
        <v>8</v>
      </c>
      <c r="G807" t="s">
        <v>181</v>
      </c>
      <c r="H807" s="94">
        <v>0.05</v>
      </c>
      <c r="I807" t="s">
        <v>62</v>
      </c>
      <c r="J807" t="s">
        <v>63</v>
      </c>
    </row>
    <row r="808" spans="1:10" x14ac:dyDescent="0.25">
      <c r="A808" t="s">
        <v>131</v>
      </c>
      <c r="B808" t="s">
        <v>167</v>
      </c>
      <c r="C808" s="12" t="s">
        <v>109</v>
      </c>
      <c r="D808" t="s">
        <v>4</v>
      </c>
      <c r="E808" t="s">
        <v>12</v>
      </c>
      <c r="F808" t="s">
        <v>8</v>
      </c>
      <c r="G808" t="s">
        <v>181</v>
      </c>
      <c r="H808" s="94">
        <v>0.05</v>
      </c>
      <c r="I808" t="s">
        <v>62</v>
      </c>
      <c r="J808" t="s">
        <v>11</v>
      </c>
    </row>
    <row r="809" spans="1:10" x14ac:dyDescent="0.25">
      <c r="A809" t="s">
        <v>131</v>
      </c>
      <c r="B809" t="s">
        <v>167</v>
      </c>
      <c r="C809" s="12" t="s">
        <v>109</v>
      </c>
      <c r="D809" t="s">
        <v>4</v>
      </c>
      <c r="E809" t="s">
        <v>12</v>
      </c>
      <c r="F809" t="s">
        <v>8</v>
      </c>
      <c r="G809" t="s">
        <v>181</v>
      </c>
      <c r="H809" s="94">
        <v>0.05</v>
      </c>
      <c r="I809" t="s">
        <v>60</v>
      </c>
      <c r="J809" t="s">
        <v>13</v>
      </c>
    </row>
    <row r="810" spans="1:10" x14ac:dyDescent="0.25">
      <c r="A810" t="s">
        <v>131</v>
      </c>
      <c r="B810" t="s">
        <v>167</v>
      </c>
      <c r="C810" s="12" t="s">
        <v>109</v>
      </c>
      <c r="D810" t="s">
        <v>4</v>
      </c>
      <c r="E810" t="s">
        <v>12</v>
      </c>
      <c r="F810" t="s">
        <v>8</v>
      </c>
      <c r="G810" t="s">
        <v>181</v>
      </c>
      <c r="H810" s="94">
        <v>0.05</v>
      </c>
      <c r="I810" t="s">
        <v>60</v>
      </c>
      <c r="J810" t="s">
        <v>63</v>
      </c>
    </row>
    <row r="811" spans="1:10" x14ac:dyDescent="0.25">
      <c r="A811" t="s">
        <v>131</v>
      </c>
      <c r="B811" t="s">
        <v>167</v>
      </c>
      <c r="C811" s="12" t="s">
        <v>109</v>
      </c>
      <c r="D811" t="s">
        <v>4</v>
      </c>
      <c r="E811" t="s">
        <v>12</v>
      </c>
      <c r="F811" t="s">
        <v>8</v>
      </c>
      <c r="G811" t="s">
        <v>181</v>
      </c>
      <c r="H811" s="94">
        <v>0.05</v>
      </c>
      <c r="I811" t="s">
        <v>60</v>
      </c>
      <c r="J811" t="s">
        <v>11</v>
      </c>
    </row>
    <row r="812" spans="1:10" x14ac:dyDescent="0.25">
      <c r="A812" t="s">
        <v>131</v>
      </c>
      <c r="B812" t="s">
        <v>167</v>
      </c>
      <c r="C812" s="12" t="s">
        <v>109</v>
      </c>
      <c r="D812" t="s">
        <v>4</v>
      </c>
      <c r="E812" t="s">
        <v>6</v>
      </c>
      <c r="F812" t="s">
        <v>72</v>
      </c>
      <c r="G812" t="s">
        <v>181</v>
      </c>
      <c r="H812" s="94">
        <v>0.02</v>
      </c>
      <c r="I812" t="s">
        <v>107</v>
      </c>
      <c r="J812" t="s">
        <v>13</v>
      </c>
    </row>
    <row r="813" spans="1:10" x14ac:dyDescent="0.25">
      <c r="A813" t="s">
        <v>131</v>
      </c>
      <c r="B813" t="s">
        <v>167</v>
      </c>
      <c r="C813" s="12" t="s">
        <v>109</v>
      </c>
      <c r="D813" t="s">
        <v>4</v>
      </c>
      <c r="E813" t="s">
        <v>6</v>
      </c>
      <c r="F813" t="s">
        <v>72</v>
      </c>
      <c r="G813" t="s">
        <v>181</v>
      </c>
      <c r="H813" s="94">
        <v>0.02</v>
      </c>
      <c r="I813" t="s">
        <v>107</v>
      </c>
      <c r="J813" t="s">
        <v>63</v>
      </c>
    </row>
    <row r="814" spans="1:10" x14ac:dyDescent="0.25">
      <c r="A814" t="s">
        <v>131</v>
      </c>
      <c r="B814" t="s">
        <v>167</v>
      </c>
      <c r="C814" s="12" t="s">
        <v>109</v>
      </c>
      <c r="D814" t="s">
        <v>4</v>
      </c>
      <c r="E814" t="s">
        <v>6</v>
      </c>
      <c r="F814" t="s">
        <v>72</v>
      </c>
      <c r="G814" t="s">
        <v>181</v>
      </c>
      <c r="H814" s="94">
        <v>0.02</v>
      </c>
      <c r="I814" t="s">
        <v>107</v>
      </c>
      <c r="J814" t="s">
        <v>11</v>
      </c>
    </row>
    <row r="815" spans="1:10" x14ac:dyDescent="0.25">
      <c r="A815" t="s">
        <v>131</v>
      </c>
      <c r="B815" t="s">
        <v>167</v>
      </c>
      <c r="C815" s="12" t="s">
        <v>109</v>
      </c>
      <c r="D815" t="s">
        <v>4</v>
      </c>
      <c r="E815" t="s">
        <v>6</v>
      </c>
      <c r="F815" t="s">
        <v>72</v>
      </c>
      <c r="G815" t="s">
        <v>181</v>
      </c>
      <c r="H815" s="94">
        <v>0.02</v>
      </c>
      <c r="I815" t="s">
        <v>62</v>
      </c>
      <c r="J815" t="s">
        <v>13</v>
      </c>
    </row>
    <row r="816" spans="1:10" x14ac:dyDescent="0.25">
      <c r="A816" t="s">
        <v>131</v>
      </c>
      <c r="B816" t="s">
        <v>167</v>
      </c>
      <c r="C816" s="12" t="s">
        <v>109</v>
      </c>
      <c r="D816" t="s">
        <v>4</v>
      </c>
      <c r="E816" t="s">
        <v>6</v>
      </c>
      <c r="F816" t="s">
        <v>72</v>
      </c>
      <c r="G816" t="s">
        <v>181</v>
      </c>
      <c r="H816" s="94">
        <v>0.02</v>
      </c>
      <c r="I816" t="s">
        <v>62</v>
      </c>
      <c r="J816" t="s">
        <v>63</v>
      </c>
    </row>
    <row r="817" spans="1:10" x14ac:dyDescent="0.25">
      <c r="A817" t="s">
        <v>131</v>
      </c>
      <c r="B817" t="s">
        <v>167</v>
      </c>
      <c r="C817" s="12" t="s">
        <v>109</v>
      </c>
      <c r="D817" t="s">
        <v>4</v>
      </c>
      <c r="E817" t="s">
        <v>6</v>
      </c>
      <c r="F817" t="s">
        <v>72</v>
      </c>
      <c r="G817" t="s">
        <v>181</v>
      </c>
      <c r="H817" s="94">
        <v>0.02</v>
      </c>
      <c r="I817" t="s">
        <v>62</v>
      </c>
      <c r="J817" t="s">
        <v>11</v>
      </c>
    </row>
    <row r="818" spans="1:10" x14ac:dyDescent="0.25">
      <c r="A818" t="s">
        <v>131</v>
      </c>
      <c r="B818" t="s">
        <v>167</v>
      </c>
      <c r="C818" s="12" t="s">
        <v>109</v>
      </c>
      <c r="D818" t="s">
        <v>4</v>
      </c>
      <c r="E818" t="s">
        <v>6</v>
      </c>
      <c r="F818" t="s">
        <v>72</v>
      </c>
      <c r="G818" t="s">
        <v>181</v>
      </c>
      <c r="H818" s="94">
        <v>0.02</v>
      </c>
      <c r="I818" t="s">
        <v>60</v>
      </c>
      <c r="J818" t="s">
        <v>13</v>
      </c>
    </row>
    <row r="819" spans="1:10" x14ac:dyDescent="0.25">
      <c r="A819" t="s">
        <v>131</v>
      </c>
      <c r="B819" t="s">
        <v>167</v>
      </c>
      <c r="C819" s="12" t="s">
        <v>109</v>
      </c>
      <c r="D819" t="s">
        <v>4</v>
      </c>
      <c r="E819" t="s">
        <v>6</v>
      </c>
      <c r="F819" t="s">
        <v>72</v>
      </c>
      <c r="G819" t="s">
        <v>181</v>
      </c>
      <c r="H819" s="94">
        <v>0.02</v>
      </c>
      <c r="I819" t="s">
        <v>60</v>
      </c>
      <c r="J819" t="s">
        <v>63</v>
      </c>
    </row>
    <row r="820" spans="1:10" x14ac:dyDescent="0.25">
      <c r="A820" t="s">
        <v>131</v>
      </c>
      <c r="B820" t="s">
        <v>167</v>
      </c>
      <c r="C820" s="12" t="s">
        <v>109</v>
      </c>
      <c r="D820" t="s">
        <v>4</v>
      </c>
      <c r="E820" t="s">
        <v>6</v>
      </c>
      <c r="F820" t="s">
        <v>72</v>
      </c>
      <c r="G820" t="s">
        <v>181</v>
      </c>
      <c r="H820" s="94">
        <v>0.02</v>
      </c>
      <c r="I820" t="s">
        <v>60</v>
      </c>
      <c r="J820" t="s">
        <v>11</v>
      </c>
    </row>
    <row r="821" spans="1:10" x14ac:dyDescent="0.25">
      <c r="A821" t="s">
        <v>131</v>
      </c>
      <c r="B821" t="s">
        <v>167</v>
      </c>
      <c r="C821" s="12" t="s">
        <v>109</v>
      </c>
      <c r="D821" t="s">
        <v>4</v>
      </c>
      <c r="E821" t="s">
        <v>6</v>
      </c>
      <c r="F821" t="s">
        <v>72</v>
      </c>
      <c r="G821" t="s">
        <v>181</v>
      </c>
      <c r="H821" s="94">
        <v>0.05</v>
      </c>
      <c r="I821" t="s">
        <v>107</v>
      </c>
      <c r="J821" t="s">
        <v>13</v>
      </c>
    </row>
    <row r="822" spans="1:10" x14ac:dyDescent="0.25">
      <c r="A822" t="s">
        <v>131</v>
      </c>
      <c r="B822" t="s">
        <v>167</v>
      </c>
      <c r="C822" s="12" t="s">
        <v>109</v>
      </c>
      <c r="D822" t="s">
        <v>4</v>
      </c>
      <c r="E822" t="s">
        <v>6</v>
      </c>
      <c r="F822" t="s">
        <v>72</v>
      </c>
      <c r="G822" t="s">
        <v>181</v>
      </c>
      <c r="H822" s="94">
        <v>0.05</v>
      </c>
      <c r="I822" t="s">
        <v>107</v>
      </c>
      <c r="J822" t="s">
        <v>63</v>
      </c>
    </row>
    <row r="823" spans="1:10" x14ac:dyDescent="0.25">
      <c r="A823" t="s">
        <v>131</v>
      </c>
      <c r="B823" t="s">
        <v>167</v>
      </c>
      <c r="C823" s="12" t="s">
        <v>109</v>
      </c>
      <c r="D823" t="s">
        <v>4</v>
      </c>
      <c r="E823" t="s">
        <v>6</v>
      </c>
      <c r="F823" t="s">
        <v>72</v>
      </c>
      <c r="G823" t="s">
        <v>181</v>
      </c>
      <c r="H823" s="94">
        <v>0.05</v>
      </c>
      <c r="I823" t="s">
        <v>107</v>
      </c>
      <c r="J823" t="s">
        <v>11</v>
      </c>
    </row>
    <row r="824" spans="1:10" x14ac:dyDescent="0.25">
      <c r="A824" t="s">
        <v>131</v>
      </c>
      <c r="B824" t="s">
        <v>167</v>
      </c>
      <c r="C824" s="12" t="s">
        <v>109</v>
      </c>
      <c r="D824" t="s">
        <v>4</v>
      </c>
      <c r="E824" t="s">
        <v>6</v>
      </c>
      <c r="F824" t="s">
        <v>72</v>
      </c>
      <c r="G824" t="s">
        <v>181</v>
      </c>
      <c r="H824" s="94">
        <v>0.05</v>
      </c>
      <c r="I824" t="s">
        <v>62</v>
      </c>
      <c r="J824" t="s">
        <v>13</v>
      </c>
    </row>
    <row r="825" spans="1:10" x14ac:dyDescent="0.25">
      <c r="A825" t="s">
        <v>131</v>
      </c>
      <c r="B825" t="s">
        <v>167</v>
      </c>
      <c r="C825" s="12" t="s">
        <v>109</v>
      </c>
      <c r="D825" t="s">
        <v>4</v>
      </c>
      <c r="E825" t="s">
        <v>6</v>
      </c>
      <c r="F825" t="s">
        <v>72</v>
      </c>
      <c r="G825" t="s">
        <v>181</v>
      </c>
      <c r="H825" s="94">
        <v>0.05</v>
      </c>
      <c r="I825" t="s">
        <v>62</v>
      </c>
      <c r="J825" t="s">
        <v>63</v>
      </c>
    </row>
    <row r="826" spans="1:10" x14ac:dyDescent="0.25">
      <c r="A826" t="s">
        <v>131</v>
      </c>
      <c r="B826" t="s">
        <v>167</v>
      </c>
      <c r="C826" s="12" t="s">
        <v>109</v>
      </c>
      <c r="D826" t="s">
        <v>4</v>
      </c>
      <c r="E826" t="s">
        <v>6</v>
      </c>
      <c r="F826" t="s">
        <v>72</v>
      </c>
      <c r="G826" t="s">
        <v>181</v>
      </c>
      <c r="H826" s="94">
        <v>0.05</v>
      </c>
      <c r="I826" t="s">
        <v>62</v>
      </c>
      <c r="J826" t="s">
        <v>11</v>
      </c>
    </row>
    <row r="827" spans="1:10" x14ac:dyDescent="0.25">
      <c r="A827" t="s">
        <v>131</v>
      </c>
      <c r="B827" t="s">
        <v>167</v>
      </c>
      <c r="C827" s="12" t="s">
        <v>109</v>
      </c>
      <c r="D827" t="s">
        <v>4</v>
      </c>
      <c r="E827" t="s">
        <v>6</v>
      </c>
      <c r="F827" t="s">
        <v>72</v>
      </c>
      <c r="G827" t="s">
        <v>181</v>
      </c>
      <c r="H827" s="94">
        <v>0.05</v>
      </c>
      <c r="I827" t="s">
        <v>60</v>
      </c>
      <c r="J827" t="s">
        <v>13</v>
      </c>
    </row>
    <row r="828" spans="1:10" x14ac:dyDescent="0.25">
      <c r="A828" t="s">
        <v>131</v>
      </c>
      <c r="B828" t="s">
        <v>167</v>
      </c>
      <c r="C828" s="12" t="s">
        <v>109</v>
      </c>
      <c r="D828" t="s">
        <v>4</v>
      </c>
      <c r="E828" t="s">
        <v>6</v>
      </c>
      <c r="F828" t="s">
        <v>72</v>
      </c>
      <c r="G828" t="s">
        <v>181</v>
      </c>
      <c r="H828" s="94">
        <v>0.05</v>
      </c>
      <c r="I828" t="s">
        <v>60</v>
      </c>
      <c r="J828" t="s">
        <v>63</v>
      </c>
    </row>
    <row r="829" spans="1:10" x14ac:dyDescent="0.25">
      <c r="A829" t="s">
        <v>131</v>
      </c>
      <c r="B829" t="s">
        <v>167</v>
      </c>
      <c r="C829" s="12" t="s">
        <v>109</v>
      </c>
      <c r="D829" t="s">
        <v>4</v>
      </c>
      <c r="E829" t="s">
        <v>6</v>
      </c>
      <c r="F829" t="s">
        <v>72</v>
      </c>
      <c r="G829" t="s">
        <v>181</v>
      </c>
      <c r="H829" s="94">
        <v>0.05</v>
      </c>
      <c r="I829" t="s">
        <v>60</v>
      </c>
      <c r="J829" t="s">
        <v>11</v>
      </c>
    </row>
    <row r="830" spans="1:10" x14ac:dyDescent="0.25">
      <c r="A830" t="s">
        <v>131</v>
      </c>
      <c r="B830" t="s">
        <v>167</v>
      </c>
      <c r="C830" s="12" t="s">
        <v>109</v>
      </c>
      <c r="D830" t="s">
        <v>4</v>
      </c>
      <c r="E830" t="s">
        <v>6</v>
      </c>
      <c r="F830" t="s">
        <v>16</v>
      </c>
      <c r="G830" t="s">
        <v>181</v>
      </c>
      <c r="H830" s="94">
        <v>0.02</v>
      </c>
      <c r="I830" t="s">
        <v>107</v>
      </c>
      <c r="J830" t="s">
        <v>13</v>
      </c>
    </row>
    <row r="831" spans="1:10" x14ac:dyDescent="0.25">
      <c r="A831" t="s">
        <v>131</v>
      </c>
      <c r="B831" t="s">
        <v>167</v>
      </c>
      <c r="C831" s="12" t="s">
        <v>109</v>
      </c>
      <c r="D831" t="s">
        <v>4</v>
      </c>
      <c r="E831" t="s">
        <v>6</v>
      </c>
      <c r="F831" t="s">
        <v>16</v>
      </c>
      <c r="G831" t="s">
        <v>181</v>
      </c>
      <c r="H831" s="94">
        <v>0.02</v>
      </c>
      <c r="I831" t="s">
        <v>107</v>
      </c>
      <c r="J831" t="s">
        <v>63</v>
      </c>
    </row>
    <row r="832" spans="1:10" x14ac:dyDescent="0.25">
      <c r="A832" t="s">
        <v>131</v>
      </c>
      <c r="B832" t="s">
        <v>167</v>
      </c>
      <c r="C832" s="12" t="s">
        <v>109</v>
      </c>
      <c r="D832" t="s">
        <v>4</v>
      </c>
      <c r="E832" t="s">
        <v>6</v>
      </c>
      <c r="F832" t="s">
        <v>16</v>
      </c>
      <c r="G832" t="s">
        <v>181</v>
      </c>
      <c r="H832" s="94">
        <v>0.02</v>
      </c>
      <c r="I832" t="s">
        <v>107</v>
      </c>
      <c r="J832" t="s">
        <v>11</v>
      </c>
    </row>
    <row r="833" spans="1:10" x14ac:dyDescent="0.25">
      <c r="A833" t="s">
        <v>131</v>
      </c>
      <c r="B833" t="s">
        <v>167</v>
      </c>
      <c r="C833" s="12" t="s">
        <v>109</v>
      </c>
      <c r="D833" t="s">
        <v>4</v>
      </c>
      <c r="E833" t="s">
        <v>6</v>
      </c>
      <c r="F833" t="s">
        <v>16</v>
      </c>
      <c r="G833" t="s">
        <v>181</v>
      </c>
      <c r="H833" s="94">
        <v>0.02</v>
      </c>
      <c r="I833" t="s">
        <v>62</v>
      </c>
      <c r="J833" t="s">
        <v>13</v>
      </c>
    </row>
    <row r="834" spans="1:10" x14ac:dyDescent="0.25">
      <c r="A834" t="s">
        <v>131</v>
      </c>
      <c r="B834" t="s">
        <v>167</v>
      </c>
      <c r="C834" s="12" t="s">
        <v>109</v>
      </c>
      <c r="D834" t="s">
        <v>4</v>
      </c>
      <c r="E834" t="s">
        <v>6</v>
      </c>
      <c r="F834" t="s">
        <v>16</v>
      </c>
      <c r="G834" t="s">
        <v>181</v>
      </c>
      <c r="H834" s="94">
        <v>0.02</v>
      </c>
      <c r="I834" t="s">
        <v>62</v>
      </c>
      <c r="J834" t="s">
        <v>63</v>
      </c>
    </row>
    <row r="835" spans="1:10" x14ac:dyDescent="0.25">
      <c r="A835" t="s">
        <v>131</v>
      </c>
      <c r="B835" t="s">
        <v>167</v>
      </c>
      <c r="C835" s="12" t="s">
        <v>109</v>
      </c>
      <c r="D835" t="s">
        <v>4</v>
      </c>
      <c r="E835" t="s">
        <v>6</v>
      </c>
      <c r="F835" t="s">
        <v>16</v>
      </c>
      <c r="G835" t="s">
        <v>181</v>
      </c>
      <c r="H835" s="94">
        <v>0.02</v>
      </c>
      <c r="I835" t="s">
        <v>62</v>
      </c>
      <c r="J835" t="s">
        <v>11</v>
      </c>
    </row>
    <row r="836" spans="1:10" x14ac:dyDescent="0.25">
      <c r="A836" t="s">
        <v>131</v>
      </c>
      <c r="B836" t="s">
        <v>167</v>
      </c>
      <c r="C836" s="12" t="s">
        <v>109</v>
      </c>
      <c r="D836" t="s">
        <v>4</v>
      </c>
      <c r="E836" t="s">
        <v>6</v>
      </c>
      <c r="F836" t="s">
        <v>16</v>
      </c>
      <c r="G836" t="s">
        <v>181</v>
      </c>
      <c r="H836" s="94">
        <v>0.02</v>
      </c>
      <c r="I836" t="s">
        <v>60</v>
      </c>
      <c r="J836" t="s">
        <v>13</v>
      </c>
    </row>
    <row r="837" spans="1:10" x14ac:dyDescent="0.25">
      <c r="A837" t="s">
        <v>131</v>
      </c>
      <c r="B837" t="s">
        <v>167</v>
      </c>
      <c r="C837" s="12" t="s">
        <v>109</v>
      </c>
      <c r="D837" t="s">
        <v>4</v>
      </c>
      <c r="E837" t="s">
        <v>6</v>
      </c>
      <c r="F837" t="s">
        <v>16</v>
      </c>
      <c r="G837" t="s">
        <v>181</v>
      </c>
      <c r="H837" s="94">
        <v>0.02</v>
      </c>
      <c r="I837" t="s">
        <v>60</v>
      </c>
      <c r="J837" t="s">
        <v>63</v>
      </c>
    </row>
    <row r="838" spans="1:10" x14ac:dyDescent="0.25">
      <c r="A838" t="s">
        <v>131</v>
      </c>
      <c r="B838" t="s">
        <v>167</v>
      </c>
      <c r="C838" s="12" t="s">
        <v>109</v>
      </c>
      <c r="D838" t="s">
        <v>4</v>
      </c>
      <c r="E838" t="s">
        <v>6</v>
      </c>
      <c r="F838" t="s">
        <v>16</v>
      </c>
      <c r="G838" t="s">
        <v>181</v>
      </c>
      <c r="H838" s="94">
        <v>0.02</v>
      </c>
      <c r="I838" t="s">
        <v>60</v>
      </c>
      <c r="J838" t="s">
        <v>11</v>
      </c>
    </row>
    <row r="839" spans="1:10" x14ac:dyDescent="0.25">
      <c r="A839" t="s">
        <v>131</v>
      </c>
      <c r="B839" t="s">
        <v>167</v>
      </c>
      <c r="C839" s="12" t="s">
        <v>109</v>
      </c>
      <c r="D839" t="s">
        <v>4</v>
      </c>
      <c r="E839" t="s">
        <v>6</v>
      </c>
      <c r="F839" t="s">
        <v>16</v>
      </c>
      <c r="G839" t="s">
        <v>181</v>
      </c>
      <c r="H839" s="94">
        <v>0.05</v>
      </c>
      <c r="I839" t="s">
        <v>107</v>
      </c>
      <c r="J839" t="s">
        <v>13</v>
      </c>
    </row>
    <row r="840" spans="1:10" x14ac:dyDescent="0.25">
      <c r="A840" t="s">
        <v>131</v>
      </c>
      <c r="B840" t="s">
        <v>167</v>
      </c>
      <c r="C840" s="12" t="s">
        <v>109</v>
      </c>
      <c r="D840" t="s">
        <v>4</v>
      </c>
      <c r="E840" t="s">
        <v>6</v>
      </c>
      <c r="F840" t="s">
        <v>16</v>
      </c>
      <c r="G840" t="s">
        <v>181</v>
      </c>
      <c r="H840" s="94">
        <v>0.05</v>
      </c>
      <c r="I840" t="s">
        <v>107</v>
      </c>
      <c r="J840" t="s">
        <v>63</v>
      </c>
    </row>
    <row r="841" spans="1:10" x14ac:dyDescent="0.25">
      <c r="A841" t="s">
        <v>131</v>
      </c>
      <c r="B841" t="s">
        <v>167</v>
      </c>
      <c r="C841" s="12" t="s">
        <v>109</v>
      </c>
      <c r="D841" t="s">
        <v>4</v>
      </c>
      <c r="E841" t="s">
        <v>6</v>
      </c>
      <c r="F841" t="s">
        <v>16</v>
      </c>
      <c r="G841" t="s">
        <v>181</v>
      </c>
      <c r="H841" s="94">
        <v>0.05</v>
      </c>
      <c r="I841" t="s">
        <v>107</v>
      </c>
      <c r="J841" t="s">
        <v>11</v>
      </c>
    </row>
    <row r="842" spans="1:10" x14ac:dyDescent="0.25">
      <c r="A842" t="s">
        <v>131</v>
      </c>
      <c r="B842" t="s">
        <v>167</v>
      </c>
      <c r="C842" s="12" t="s">
        <v>109</v>
      </c>
      <c r="D842" t="s">
        <v>4</v>
      </c>
      <c r="E842" t="s">
        <v>6</v>
      </c>
      <c r="F842" t="s">
        <v>16</v>
      </c>
      <c r="G842" t="s">
        <v>181</v>
      </c>
      <c r="H842" s="94">
        <v>0.05</v>
      </c>
      <c r="I842" t="s">
        <v>62</v>
      </c>
      <c r="J842" t="s">
        <v>13</v>
      </c>
    </row>
    <row r="843" spans="1:10" x14ac:dyDescent="0.25">
      <c r="A843" t="s">
        <v>131</v>
      </c>
      <c r="B843" t="s">
        <v>167</v>
      </c>
      <c r="C843" s="12" t="s">
        <v>109</v>
      </c>
      <c r="D843" t="s">
        <v>4</v>
      </c>
      <c r="E843" t="s">
        <v>6</v>
      </c>
      <c r="F843" t="s">
        <v>16</v>
      </c>
      <c r="G843" t="s">
        <v>181</v>
      </c>
      <c r="H843" s="94">
        <v>0.05</v>
      </c>
      <c r="I843" t="s">
        <v>62</v>
      </c>
      <c r="J843" t="s">
        <v>63</v>
      </c>
    </row>
    <row r="844" spans="1:10" x14ac:dyDescent="0.25">
      <c r="A844" t="s">
        <v>131</v>
      </c>
      <c r="B844" t="s">
        <v>167</v>
      </c>
      <c r="C844" s="12" t="s">
        <v>109</v>
      </c>
      <c r="D844" t="s">
        <v>4</v>
      </c>
      <c r="E844" t="s">
        <v>6</v>
      </c>
      <c r="F844" t="s">
        <v>16</v>
      </c>
      <c r="G844" t="s">
        <v>181</v>
      </c>
      <c r="H844" s="94">
        <v>0.05</v>
      </c>
      <c r="I844" t="s">
        <v>62</v>
      </c>
      <c r="J844" t="s">
        <v>11</v>
      </c>
    </row>
    <row r="845" spans="1:10" x14ac:dyDescent="0.25">
      <c r="A845" t="s">
        <v>131</v>
      </c>
      <c r="B845" t="s">
        <v>167</v>
      </c>
      <c r="C845" s="12" t="s">
        <v>109</v>
      </c>
      <c r="D845" t="s">
        <v>4</v>
      </c>
      <c r="E845" t="s">
        <v>6</v>
      </c>
      <c r="F845" t="s">
        <v>16</v>
      </c>
      <c r="G845" t="s">
        <v>181</v>
      </c>
      <c r="H845" s="94">
        <v>0.05</v>
      </c>
      <c r="I845" t="s">
        <v>60</v>
      </c>
      <c r="J845" t="s">
        <v>13</v>
      </c>
    </row>
    <row r="846" spans="1:10" x14ac:dyDescent="0.25">
      <c r="A846" t="s">
        <v>131</v>
      </c>
      <c r="B846" t="s">
        <v>167</v>
      </c>
      <c r="C846" s="12" t="s">
        <v>109</v>
      </c>
      <c r="D846" t="s">
        <v>4</v>
      </c>
      <c r="E846" t="s">
        <v>6</v>
      </c>
      <c r="F846" t="s">
        <v>16</v>
      </c>
      <c r="G846" t="s">
        <v>181</v>
      </c>
      <c r="H846" s="94">
        <v>0.05</v>
      </c>
      <c r="I846" t="s">
        <v>60</v>
      </c>
      <c r="J846" t="s">
        <v>63</v>
      </c>
    </row>
    <row r="847" spans="1:10" x14ac:dyDescent="0.25">
      <c r="A847" t="s">
        <v>131</v>
      </c>
      <c r="B847" t="s">
        <v>167</v>
      </c>
      <c r="C847" s="12" t="s">
        <v>109</v>
      </c>
      <c r="D847" t="s">
        <v>4</v>
      </c>
      <c r="E847" t="s">
        <v>6</v>
      </c>
      <c r="F847" t="s">
        <v>16</v>
      </c>
      <c r="G847" t="s">
        <v>181</v>
      </c>
      <c r="H847" s="94">
        <v>0.05</v>
      </c>
      <c r="I847" t="s">
        <v>60</v>
      </c>
      <c r="J847" t="s">
        <v>11</v>
      </c>
    </row>
    <row r="848" spans="1:10" x14ac:dyDescent="0.25">
      <c r="A848" t="s">
        <v>131</v>
      </c>
      <c r="B848" t="s">
        <v>167</v>
      </c>
      <c r="C848" s="12" t="s">
        <v>109</v>
      </c>
      <c r="D848" t="s">
        <v>4</v>
      </c>
      <c r="E848" t="s">
        <v>6</v>
      </c>
      <c r="F848" t="s">
        <v>8</v>
      </c>
      <c r="G848" t="s">
        <v>181</v>
      </c>
      <c r="H848" s="94">
        <v>0.02</v>
      </c>
      <c r="I848" t="s">
        <v>107</v>
      </c>
      <c r="J848" t="s">
        <v>13</v>
      </c>
    </row>
    <row r="849" spans="1:10" x14ac:dyDescent="0.25">
      <c r="A849" t="s">
        <v>131</v>
      </c>
      <c r="B849" t="s">
        <v>167</v>
      </c>
      <c r="C849" s="12" t="s">
        <v>109</v>
      </c>
      <c r="D849" t="s">
        <v>4</v>
      </c>
      <c r="E849" t="s">
        <v>6</v>
      </c>
      <c r="F849" t="s">
        <v>8</v>
      </c>
      <c r="G849" t="s">
        <v>181</v>
      </c>
      <c r="H849" s="94">
        <v>0.02</v>
      </c>
      <c r="I849" t="s">
        <v>107</v>
      </c>
      <c r="J849" t="s">
        <v>63</v>
      </c>
    </row>
    <row r="850" spans="1:10" x14ac:dyDescent="0.25">
      <c r="A850" t="s">
        <v>131</v>
      </c>
      <c r="B850" t="s">
        <v>167</v>
      </c>
      <c r="C850" s="12" t="s">
        <v>109</v>
      </c>
      <c r="D850" t="s">
        <v>4</v>
      </c>
      <c r="E850" t="s">
        <v>6</v>
      </c>
      <c r="F850" t="s">
        <v>8</v>
      </c>
      <c r="G850" t="s">
        <v>181</v>
      </c>
      <c r="H850" s="94">
        <v>0.02</v>
      </c>
      <c r="I850" t="s">
        <v>107</v>
      </c>
      <c r="J850" t="s">
        <v>11</v>
      </c>
    </row>
    <row r="851" spans="1:10" x14ac:dyDescent="0.25">
      <c r="A851" t="s">
        <v>131</v>
      </c>
      <c r="B851" t="s">
        <v>167</v>
      </c>
      <c r="C851" s="12" t="s">
        <v>109</v>
      </c>
      <c r="D851" t="s">
        <v>4</v>
      </c>
      <c r="E851" t="s">
        <v>6</v>
      </c>
      <c r="F851" t="s">
        <v>8</v>
      </c>
      <c r="G851" t="s">
        <v>181</v>
      </c>
      <c r="H851" s="94">
        <v>0.02</v>
      </c>
      <c r="I851" t="s">
        <v>62</v>
      </c>
      <c r="J851" t="s">
        <v>13</v>
      </c>
    </row>
    <row r="852" spans="1:10" x14ac:dyDescent="0.25">
      <c r="A852" t="s">
        <v>131</v>
      </c>
      <c r="B852" t="s">
        <v>167</v>
      </c>
      <c r="C852" s="12" t="s">
        <v>109</v>
      </c>
      <c r="D852" t="s">
        <v>4</v>
      </c>
      <c r="E852" t="s">
        <v>6</v>
      </c>
      <c r="F852" t="s">
        <v>8</v>
      </c>
      <c r="G852" t="s">
        <v>181</v>
      </c>
      <c r="H852" s="94">
        <v>0.02</v>
      </c>
      <c r="I852" t="s">
        <v>62</v>
      </c>
      <c r="J852" t="s">
        <v>63</v>
      </c>
    </row>
    <row r="853" spans="1:10" x14ac:dyDescent="0.25">
      <c r="A853" t="s">
        <v>131</v>
      </c>
      <c r="B853" t="s">
        <v>167</v>
      </c>
      <c r="C853" s="12" t="s">
        <v>109</v>
      </c>
      <c r="D853" t="s">
        <v>4</v>
      </c>
      <c r="E853" t="s">
        <v>6</v>
      </c>
      <c r="F853" t="s">
        <v>8</v>
      </c>
      <c r="G853" t="s">
        <v>181</v>
      </c>
      <c r="H853" s="94">
        <v>0.02</v>
      </c>
      <c r="I853" t="s">
        <v>62</v>
      </c>
      <c r="J853" t="s">
        <v>11</v>
      </c>
    </row>
    <row r="854" spans="1:10" x14ac:dyDescent="0.25">
      <c r="A854" t="s">
        <v>131</v>
      </c>
      <c r="B854" t="s">
        <v>167</v>
      </c>
      <c r="C854" s="12" t="s">
        <v>109</v>
      </c>
      <c r="D854" t="s">
        <v>4</v>
      </c>
      <c r="E854" t="s">
        <v>6</v>
      </c>
      <c r="F854" t="s">
        <v>8</v>
      </c>
      <c r="G854" t="s">
        <v>181</v>
      </c>
      <c r="H854" s="94">
        <v>0.02</v>
      </c>
      <c r="I854" t="s">
        <v>60</v>
      </c>
      <c r="J854" t="s">
        <v>13</v>
      </c>
    </row>
    <row r="855" spans="1:10" x14ac:dyDescent="0.25">
      <c r="A855" t="s">
        <v>131</v>
      </c>
      <c r="B855" t="s">
        <v>167</v>
      </c>
      <c r="C855" s="12" t="s">
        <v>109</v>
      </c>
      <c r="D855" t="s">
        <v>4</v>
      </c>
      <c r="E855" t="s">
        <v>6</v>
      </c>
      <c r="F855" t="s">
        <v>8</v>
      </c>
      <c r="G855" t="s">
        <v>181</v>
      </c>
      <c r="H855" s="94">
        <v>0.02</v>
      </c>
      <c r="I855" t="s">
        <v>60</v>
      </c>
      <c r="J855" t="s">
        <v>63</v>
      </c>
    </row>
    <row r="856" spans="1:10" x14ac:dyDescent="0.25">
      <c r="A856" t="s">
        <v>131</v>
      </c>
      <c r="B856" t="s">
        <v>167</v>
      </c>
      <c r="C856" s="12" t="s">
        <v>109</v>
      </c>
      <c r="D856" t="s">
        <v>4</v>
      </c>
      <c r="E856" t="s">
        <v>6</v>
      </c>
      <c r="F856" t="s">
        <v>8</v>
      </c>
      <c r="G856" t="s">
        <v>181</v>
      </c>
      <c r="H856" s="94">
        <v>0.02</v>
      </c>
      <c r="I856" t="s">
        <v>60</v>
      </c>
      <c r="J856" t="s">
        <v>11</v>
      </c>
    </row>
    <row r="857" spans="1:10" x14ac:dyDescent="0.25">
      <c r="A857" t="s">
        <v>131</v>
      </c>
      <c r="B857" t="s">
        <v>167</v>
      </c>
      <c r="C857" s="12" t="s">
        <v>109</v>
      </c>
      <c r="D857" t="s">
        <v>4</v>
      </c>
      <c r="E857" t="s">
        <v>6</v>
      </c>
      <c r="F857" t="s">
        <v>8</v>
      </c>
      <c r="G857" t="s">
        <v>181</v>
      </c>
      <c r="H857" s="94">
        <v>0.05</v>
      </c>
      <c r="I857" t="s">
        <v>107</v>
      </c>
      <c r="J857" t="s">
        <v>13</v>
      </c>
    </row>
    <row r="858" spans="1:10" x14ac:dyDescent="0.25">
      <c r="A858" t="s">
        <v>131</v>
      </c>
      <c r="B858" t="s">
        <v>167</v>
      </c>
      <c r="C858" s="12" t="s">
        <v>109</v>
      </c>
      <c r="D858" t="s">
        <v>4</v>
      </c>
      <c r="E858" t="s">
        <v>6</v>
      </c>
      <c r="F858" t="s">
        <v>8</v>
      </c>
      <c r="G858" t="s">
        <v>181</v>
      </c>
      <c r="H858" s="94">
        <v>0.05</v>
      </c>
      <c r="I858" t="s">
        <v>107</v>
      </c>
      <c r="J858" t="s">
        <v>63</v>
      </c>
    </row>
    <row r="859" spans="1:10" x14ac:dyDescent="0.25">
      <c r="A859" t="s">
        <v>131</v>
      </c>
      <c r="B859" t="s">
        <v>167</v>
      </c>
      <c r="C859" s="12" t="s">
        <v>109</v>
      </c>
      <c r="D859" t="s">
        <v>4</v>
      </c>
      <c r="E859" t="s">
        <v>6</v>
      </c>
      <c r="F859" t="s">
        <v>8</v>
      </c>
      <c r="G859" t="s">
        <v>181</v>
      </c>
      <c r="H859" s="94">
        <v>0.05</v>
      </c>
      <c r="I859" t="s">
        <v>107</v>
      </c>
      <c r="J859" t="s">
        <v>11</v>
      </c>
    </row>
    <row r="860" spans="1:10" x14ac:dyDescent="0.25">
      <c r="A860" t="s">
        <v>131</v>
      </c>
      <c r="B860" t="s">
        <v>167</v>
      </c>
      <c r="C860" s="12" t="s">
        <v>109</v>
      </c>
      <c r="D860" t="s">
        <v>4</v>
      </c>
      <c r="E860" t="s">
        <v>6</v>
      </c>
      <c r="F860" t="s">
        <v>8</v>
      </c>
      <c r="G860" t="s">
        <v>181</v>
      </c>
      <c r="H860" s="94">
        <v>0.05</v>
      </c>
      <c r="I860" t="s">
        <v>62</v>
      </c>
      <c r="J860" t="s">
        <v>13</v>
      </c>
    </row>
    <row r="861" spans="1:10" x14ac:dyDescent="0.25">
      <c r="A861" t="s">
        <v>131</v>
      </c>
      <c r="B861" t="s">
        <v>167</v>
      </c>
      <c r="C861" s="12" t="s">
        <v>109</v>
      </c>
      <c r="D861" t="s">
        <v>4</v>
      </c>
      <c r="E861" t="s">
        <v>6</v>
      </c>
      <c r="F861" t="s">
        <v>8</v>
      </c>
      <c r="G861" t="s">
        <v>181</v>
      </c>
      <c r="H861" s="94">
        <v>0.05</v>
      </c>
      <c r="I861" t="s">
        <v>62</v>
      </c>
      <c r="J861" t="s">
        <v>63</v>
      </c>
    </row>
    <row r="862" spans="1:10" x14ac:dyDescent="0.25">
      <c r="A862" t="s">
        <v>131</v>
      </c>
      <c r="B862" t="s">
        <v>167</v>
      </c>
      <c r="C862" s="12" t="s">
        <v>109</v>
      </c>
      <c r="D862" t="s">
        <v>4</v>
      </c>
      <c r="E862" t="s">
        <v>6</v>
      </c>
      <c r="F862" t="s">
        <v>8</v>
      </c>
      <c r="G862" t="s">
        <v>181</v>
      </c>
      <c r="H862" s="94">
        <v>0.05</v>
      </c>
      <c r="I862" t="s">
        <v>62</v>
      </c>
      <c r="J862" t="s">
        <v>11</v>
      </c>
    </row>
    <row r="863" spans="1:10" x14ac:dyDescent="0.25">
      <c r="A863" t="s">
        <v>131</v>
      </c>
      <c r="B863" t="s">
        <v>167</v>
      </c>
      <c r="C863" s="12" t="s">
        <v>109</v>
      </c>
      <c r="D863" t="s">
        <v>4</v>
      </c>
      <c r="E863" t="s">
        <v>6</v>
      </c>
      <c r="F863" t="s">
        <v>8</v>
      </c>
      <c r="G863" t="s">
        <v>181</v>
      </c>
      <c r="H863" s="94">
        <v>0.05</v>
      </c>
      <c r="I863" t="s">
        <v>60</v>
      </c>
      <c r="J863" t="s">
        <v>13</v>
      </c>
    </row>
    <row r="864" spans="1:10" x14ac:dyDescent="0.25">
      <c r="A864" t="s">
        <v>131</v>
      </c>
      <c r="B864" t="s">
        <v>167</v>
      </c>
      <c r="C864" s="12" t="s">
        <v>109</v>
      </c>
      <c r="D864" t="s">
        <v>4</v>
      </c>
      <c r="E864" t="s">
        <v>6</v>
      </c>
      <c r="F864" t="s">
        <v>8</v>
      </c>
      <c r="G864" t="s">
        <v>181</v>
      </c>
      <c r="H864" s="94">
        <v>0.05</v>
      </c>
      <c r="I864" t="s">
        <v>60</v>
      </c>
      <c r="J864" t="s">
        <v>63</v>
      </c>
    </row>
    <row r="865" spans="1:10" x14ac:dyDescent="0.25">
      <c r="A865" t="s">
        <v>131</v>
      </c>
      <c r="B865" t="s">
        <v>167</v>
      </c>
      <c r="C865" s="12" t="s">
        <v>109</v>
      </c>
      <c r="D865" t="s">
        <v>4</v>
      </c>
      <c r="E865" t="s">
        <v>6</v>
      </c>
      <c r="F865" t="s">
        <v>8</v>
      </c>
      <c r="G865" t="s">
        <v>181</v>
      </c>
      <c r="H865" s="94">
        <v>0.05</v>
      </c>
      <c r="I865" t="s">
        <v>60</v>
      </c>
      <c r="J865" t="s">
        <v>11</v>
      </c>
    </row>
    <row r="866" spans="1:10" x14ac:dyDescent="0.25">
      <c r="A866" t="s">
        <v>131</v>
      </c>
      <c r="B866" t="s">
        <v>168</v>
      </c>
      <c r="C866" s="12" t="s">
        <v>109</v>
      </c>
      <c r="D866" t="s">
        <v>4</v>
      </c>
      <c r="E866" t="s">
        <v>12</v>
      </c>
      <c r="F866" t="s">
        <v>72</v>
      </c>
      <c r="G866" t="s">
        <v>181</v>
      </c>
      <c r="H866" s="94">
        <v>0.02</v>
      </c>
      <c r="I866" t="s">
        <v>107</v>
      </c>
      <c r="J866" t="s">
        <v>13</v>
      </c>
    </row>
    <row r="867" spans="1:10" x14ac:dyDescent="0.25">
      <c r="A867" t="s">
        <v>131</v>
      </c>
      <c r="B867" t="s">
        <v>168</v>
      </c>
      <c r="C867" s="12" t="s">
        <v>109</v>
      </c>
      <c r="D867" t="s">
        <v>4</v>
      </c>
      <c r="E867" t="s">
        <v>12</v>
      </c>
      <c r="F867" t="s">
        <v>72</v>
      </c>
      <c r="G867" t="s">
        <v>181</v>
      </c>
      <c r="H867" s="94">
        <v>0.02</v>
      </c>
      <c r="I867" t="s">
        <v>107</v>
      </c>
      <c r="J867" t="s">
        <v>63</v>
      </c>
    </row>
    <row r="868" spans="1:10" x14ac:dyDescent="0.25">
      <c r="A868" t="s">
        <v>131</v>
      </c>
      <c r="B868" t="s">
        <v>168</v>
      </c>
      <c r="C868" s="12" t="s">
        <v>109</v>
      </c>
      <c r="D868" t="s">
        <v>4</v>
      </c>
      <c r="E868" t="s">
        <v>12</v>
      </c>
      <c r="F868" t="s">
        <v>72</v>
      </c>
      <c r="G868" t="s">
        <v>181</v>
      </c>
      <c r="H868" s="94">
        <v>0.02</v>
      </c>
      <c r="I868" t="s">
        <v>107</v>
      </c>
      <c r="J868" t="s">
        <v>11</v>
      </c>
    </row>
    <row r="869" spans="1:10" x14ac:dyDescent="0.25">
      <c r="A869" t="s">
        <v>131</v>
      </c>
      <c r="B869" t="s">
        <v>168</v>
      </c>
      <c r="C869" s="12" t="s">
        <v>109</v>
      </c>
      <c r="D869" t="s">
        <v>4</v>
      </c>
      <c r="E869" t="s">
        <v>12</v>
      </c>
      <c r="F869" t="s">
        <v>72</v>
      </c>
      <c r="G869" t="s">
        <v>181</v>
      </c>
      <c r="H869" s="94">
        <v>0.02</v>
      </c>
      <c r="I869" t="s">
        <v>62</v>
      </c>
      <c r="J869" t="s">
        <v>13</v>
      </c>
    </row>
    <row r="870" spans="1:10" x14ac:dyDescent="0.25">
      <c r="A870" t="s">
        <v>131</v>
      </c>
      <c r="B870" t="s">
        <v>168</v>
      </c>
      <c r="C870" s="12" t="s">
        <v>109</v>
      </c>
      <c r="D870" t="s">
        <v>4</v>
      </c>
      <c r="E870" t="s">
        <v>12</v>
      </c>
      <c r="F870" t="s">
        <v>72</v>
      </c>
      <c r="G870" t="s">
        <v>181</v>
      </c>
      <c r="H870" s="94">
        <v>0.02</v>
      </c>
      <c r="I870" t="s">
        <v>62</v>
      </c>
      <c r="J870" t="s">
        <v>63</v>
      </c>
    </row>
    <row r="871" spans="1:10" x14ac:dyDescent="0.25">
      <c r="A871" t="s">
        <v>131</v>
      </c>
      <c r="B871" t="s">
        <v>168</v>
      </c>
      <c r="C871" s="12" t="s">
        <v>109</v>
      </c>
      <c r="D871" t="s">
        <v>4</v>
      </c>
      <c r="E871" t="s">
        <v>12</v>
      </c>
      <c r="F871" t="s">
        <v>72</v>
      </c>
      <c r="G871" t="s">
        <v>181</v>
      </c>
      <c r="H871" s="94">
        <v>0.02</v>
      </c>
      <c r="I871" t="s">
        <v>62</v>
      </c>
      <c r="J871" t="s">
        <v>11</v>
      </c>
    </row>
    <row r="872" spans="1:10" x14ac:dyDescent="0.25">
      <c r="A872" t="s">
        <v>131</v>
      </c>
      <c r="B872" t="s">
        <v>168</v>
      </c>
      <c r="C872" s="12" t="s">
        <v>109</v>
      </c>
      <c r="D872" t="s">
        <v>4</v>
      </c>
      <c r="E872" t="s">
        <v>12</v>
      </c>
      <c r="F872" t="s">
        <v>72</v>
      </c>
      <c r="G872" t="s">
        <v>181</v>
      </c>
      <c r="H872" s="94">
        <v>0.02</v>
      </c>
      <c r="I872" t="s">
        <v>60</v>
      </c>
      <c r="J872" t="s">
        <v>13</v>
      </c>
    </row>
    <row r="873" spans="1:10" x14ac:dyDescent="0.25">
      <c r="A873" t="s">
        <v>131</v>
      </c>
      <c r="B873" t="s">
        <v>168</v>
      </c>
      <c r="C873" s="12" t="s">
        <v>109</v>
      </c>
      <c r="D873" t="s">
        <v>4</v>
      </c>
      <c r="E873" t="s">
        <v>12</v>
      </c>
      <c r="F873" t="s">
        <v>72</v>
      </c>
      <c r="G873" t="s">
        <v>181</v>
      </c>
      <c r="H873" s="94">
        <v>0.02</v>
      </c>
      <c r="I873" t="s">
        <v>60</v>
      </c>
      <c r="J873" t="s">
        <v>63</v>
      </c>
    </row>
    <row r="874" spans="1:10" x14ac:dyDescent="0.25">
      <c r="A874" t="s">
        <v>131</v>
      </c>
      <c r="B874" t="s">
        <v>168</v>
      </c>
      <c r="C874" s="12" t="s">
        <v>109</v>
      </c>
      <c r="D874" t="s">
        <v>4</v>
      </c>
      <c r="E874" t="s">
        <v>12</v>
      </c>
      <c r="F874" t="s">
        <v>72</v>
      </c>
      <c r="G874" t="s">
        <v>181</v>
      </c>
      <c r="H874" s="94">
        <v>0.02</v>
      </c>
      <c r="I874" t="s">
        <v>60</v>
      </c>
      <c r="J874" t="s">
        <v>11</v>
      </c>
    </row>
    <row r="875" spans="1:10" x14ac:dyDescent="0.25">
      <c r="A875" t="s">
        <v>131</v>
      </c>
      <c r="B875" t="s">
        <v>168</v>
      </c>
      <c r="C875" s="12" t="s">
        <v>109</v>
      </c>
      <c r="D875" t="s">
        <v>4</v>
      </c>
      <c r="E875" t="s">
        <v>12</v>
      </c>
      <c r="F875" t="s">
        <v>72</v>
      </c>
      <c r="G875" t="s">
        <v>181</v>
      </c>
      <c r="H875" s="94">
        <v>0.05</v>
      </c>
      <c r="I875" t="s">
        <v>107</v>
      </c>
      <c r="J875" t="s">
        <v>13</v>
      </c>
    </row>
    <row r="876" spans="1:10" x14ac:dyDescent="0.25">
      <c r="A876" t="s">
        <v>131</v>
      </c>
      <c r="B876" t="s">
        <v>168</v>
      </c>
      <c r="C876" s="12" t="s">
        <v>109</v>
      </c>
      <c r="D876" t="s">
        <v>4</v>
      </c>
      <c r="E876" t="s">
        <v>12</v>
      </c>
      <c r="F876" t="s">
        <v>72</v>
      </c>
      <c r="G876" t="s">
        <v>181</v>
      </c>
      <c r="H876" s="94">
        <v>0.05</v>
      </c>
      <c r="I876" t="s">
        <v>107</v>
      </c>
      <c r="J876" t="s">
        <v>63</v>
      </c>
    </row>
    <row r="877" spans="1:10" x14ac:dyDescent="0.25">
      <c r="A877" t="s">
        <v>131</v>
      </c>
      <c r="B877" t="s">
        <v>168</v>
      </c>
      <c r="C877" s="12" t="s">
        <v>109</v>
      </c>
      <c r="D877" t="s">
        <v>4</v>
      </c>
      <c r="E877" t="s">
        <v>12</v>
      </c>
      <c r="F877" t="s">
        <v>72</v>
      </c>
      <c r="G877" t="s">
        <v>181</v>
      </c>
      <c r="H877" s="94">
        <v>0.05</v>
      </c>
      <c r="I877" t="s">
        <v>107</v>
      </c>
      <c r="J877" t="s">
        <v>11</v>
      </c>
    </row>
    <row r="878" spans="1:10" x14ac:dyDescent="0.25">
      <c r="A878" t="s">
        <v>131</v>
      </c>
      <c r="B878" t="s">
        <v>168</v>
      </c>
      <c r="C878" s="12" t="s">
        <v>109</v>
      </c>
      <c r="D878" t="s">
        <v>4</v>
      </c>
      <c r="E878" t="s">
        <v>12</v>
      </c>
      <c r="F878" t="s">
        <v>72</v>
      </c>
      <c r="G878" t="s">
        <v>181</v>
      </c>
      <c r="H878" s="94">
        <v>0.05</v>
      </c>
      <c r="I878" t="s">
        <v>62</v>
      </c>
      <c r="J878" t="s">
        <v>13</v>
      </c>
    </row>
    <row r="879" spans="1:10" x14ac:dyDescent="0.25">
      <c r="A879" t="s">
        <v>131</v>
      </c>
      <c r="B879" t="s">
        <v>168</v>
      </c>
      <c r="C879" s="12" t="s">
        <v>109</v>
      </c>
      <c r="D879" t="s">
        <v>4</v>
      </c>
      <c r="E879" t="s">
        <v>12</v>
      </c>
      <c r="F879" t="s">
        <v>72</v>
      </c>
      <c r="G879" t="s">
        <v>181</v>
      </c>
      <c r="H879" s="94">
        <v>0.05</v>
      </c>
      <c r="I879" t="s">
        <v>62</v>
      </c>
      <c r="J879" t="s">
        <v>63</v>
      </c>
    </row>
    <row r="880" spans="1:10" x14ac:dyDescent="0.25">
      <c r="A880" t="s">
        <v>131</v>
      </c>
      <c r="B880" t="s">
        <v>168</v>
      </c>
      <c r="C880" s="12" t="s">
        <v>109</v>
      </c>
      <c r="D880" t="s">
        <v>4</v>
      </c>
      <c r="E880" t="s">
        <v>12</v>
      </c>
      <c r="F880" t="s">
        <v>72</v>
      </c>
      <c r="G880" t="s">
        <v>181</v>
      </c>
      <c r="H880" s="94">
        <v>0.05</v>
      </c>
      <c r="I880" t="s">
        <v>62</v>
      </c>
      <c r="J880" t="s">
        <v>11</v>
      </c>
    </row>
    <row r="881" spans="1:10" x14ac:dyDescent="0.25">
      <c r="A881" t="s">
        <v>131</v>
      </c>
      <c r="B881" t="s">
        <v>168</v>
      </c>
      <c r="C881" s="12" t="s">
        <v>109</v>
      </c>
      <c r="D881" t="s">
        <v>4</v>
      </c>
      <c r="E881" t="s">
        <v>12</v>
      </c>
      <c r="F881" t="s">
        <v>72</v>
      </c>
      <c r="G881" t="s">
        <v>181</v>
      </c>
      <c r="H881" s="94">
        <v>0.05</v>
      </c>
      <c r="I881" t="s">
        <v>60</v>
      </c>
      <c r="J881" t="s">
        <v>13</v>
      </c>
    </row>
    <row r="882" spans="1:10" x14ac:dyDescent="0.25">
      <c r="A882" t="s">
        <v>131</v>
      </c>
      <c r="B882" t="s">
        <v>168</v>
      </c>
      <c r="C882" s="12" t="s">
        <v>109</v>
      </c>
      <c r="D882" t="s">
        <v>4</v>
      </c>
      <c r="E882" t="s">
        <v>12</v>
      </c>
      <c r="F882" t="s">
        <v>72</v>
      </c>
      <c r="G882" t="s">
        <v>181</v>
      </c>
      <c r="H882" s="94">
        <v>0.05</v>
      </c>
      <c r="I882" t="s">
        <v>60</v>
      </c>
      <c r="J882" t="s">
        <v>63</v>
      </c>
    </row>
    <row r="883" spans="1:10" x14ac:dyDescent="0.25">
      <c r="A883" t="s">
        <v>131</v>
      </c>
      <c r="B883" t="s">
        <v>168</v>
      </c>
      <c r="C883" s="12" t="s">
        <v>109</v>
      </c>
      <c r="D883" t="s">
        <v>4</v>
      </c>
      <c r="E883" t="s">
        <v>12</v>
      </c>
      <c r="F883" t="s">
        <v>72</v>
      </c>
      <c r="G883" t="s">
        <v>181</v>
      </c>
      <c r="H883" s="94">
        <v>0.05</v>
      </c>
      <c r="I883" t="s">
        <v>60</v>
      </c>
      <c r="J883" t="s">
        <v>11</v>
      </c>
    </row>
    <row r="884" spans="1:10" x14ac:dyDescent="0.25">
      <c r="A884" t="s">
        <v>131</v>
      </c>
      <c r="B884" t="s">
        <v>168</v>
      </c>
      <c r="C884" s="12" t="s">
        <v>109</v>
      </c>
      <c r="D884" t="s">
        <v>4</v>
      </c>
      <c r="E884" t="s">
        <v>12</v>
      </c>
      <c r="F884" t="s">
        <v>16</v>
      </c>
      <c r="G884" t="s">
        <v>181</v>
      </c>
      <c r="H884" s="94">
        <v>0.02</v>
      </c>
      <c r="I884" t="s">
        <v>107</v>
      </c>
      <c r="J884" t="s">
        <v>13</v>
      </c>
    </row>
    <row r="885" spans="1:10" x14ac:dyDescent="0.25">
      <c r="A885" t="s">
        <v>131</v>
      </c>
      <c r="B885" t="s">
        <v>168</v>
      </c>
      <c r="C885" s="12" t="s">
        <v>109</v>
      </c>
      <c r="D885" t="s">
        <v>4</v>
      </c>
      <c r="E885" t="s">
        <v>12</v>
      </c>
      <c r="F885" t="s">
        <v>16</v>
      </c>
      <c r="G885" t="s">
        <v>181</v>
      </c>
      <c r="H885" s="94">
        <v>0.02</v>
      </c>
      <c r="I885" t="s">
        <v>107</v>
      </c>
      <c r="J885" t="s">
        <v>63</v>
      </c>
    </row>
    <row r="886" spans="1:10" x14ac:dyDescent="0.25">
      <c r="A886" t="s">
        <v>131</v>
      </c>
      <c r="B886" t="s">
        <v>168</v>
      </c>
      <c r="C886" s="12" t="s">
        <v>109</v>
      </c>
      <c r="D886" t="s">
        <v>4</v>
      </c>
      <c r="E886" t="s">
        <v>12</v>
      </c>
      <c r="F886" t="s">
        <v>16</v>
      </c>
      <c r="G886" t="s">
        <v>181</v>
      </c>
      <c r="H886" s="94">
        <v>0.02</v>
      </c>
      <c r="I886" t="s">
        <v>107</v>
      </c>
      <c r="J886" t="s">
        <v>11</v>
      </c>
    </row>
    <row r="887" spans="1:10" x14ac:dyDescent="0.25">
      <c r="A887" t="s">
        <v>131</v>
      </c>
      <c r="B887" t="s">
        <v>168</v>
      </c>
      <c r="C887" s="12" t="s">
        <v>109</v>
      </c>
      <c r="D887" t="s">
        <v>4</v>
      </c>
      <c r="E887" t="s">
        <v>12</v>
      </c>
      <c r="F887" t="s">
        <v>16</v>
      </c>
      <c r="G887" t="s">
        <v>181</v>
      </c>
      <c r="H887" s="94">
        <v>0.02</v>
      </c>
      <c r="I887" t="s">
        <v>62</v>
      </c>
      <c r="J887" t="s">
        <v>13</v>
      </c>
    </row>
    <row r="888" spans="1:10" x14ac:dyDescent="0.25">
      <c r="A888" t="s">
        <v>131</v>
      </c>
      <c r="B888" t="s">
        <v>168</v>
      </c>
      <c r="C888" s="12" t="s">
        <v>109</v>
      </c>
      <c r="D888" t="s">
        <v>4</v>
      </c>
      <c r="E888" t="s">
        <v>12</v>
      </c>
      <c r="F888" t="s">
        <v>16</v>
      </c>
      <c r="G888" t="s">
        <v>181</v>
      </c>
      <c r="H888" s="94">
        <v>0.02</v>
      </c>
      <c r="I888" t="s">
        <v>62</v>
      </c>
      <c r="J888" t="s">
        <v>63</v>
      </c>
    </row>
    <row r="889" spans="1:10" x14ac:dyDescent="0.25">
      <c r="A889" t="s">
        <v>131</v>
      </c>
      <c r="B889" t="s">
        <v>168</v>
      </c>
      <c r="C889" s="12" t="s">
        <v>109</v>
      </c>
      <c r="D889" t="s">
        <v>4</v>
      </c>
      <c r="E889" t="s">
        <v>12</v>
      </c>
      <c r="F889" t="s">
        <v>16</v>
      </c>
      <c r="G889" t="s">
        <v>181</v>
      </c>
      <c r="H889" s="94">
        <v>0.02</v>
      </c>
      <c r="I889" t="s">
        <v>62</v>
      </c>
      <c r="J889" t="s">
        <v>11</v>
      </c>
    </row>
    <row r="890" spans="1:10" x14ac:dyDescent="0.25">
      <c r="A890" t="s">
        <v>131</v>
      </c>
      <c r="B890" t="s">
        <v>168</v>
      </c>
      <c r="C890" s="12" t="s">
        <v>109</v>
      </c>
      <c r="D890" t="s">
        <v>4</v>
      </c>
      <c r="E890" t="s">
        <v>12</v>
      </c>
      <c r="F890" t="s">
        <v>16</v>
      </c>
      <c r="G890" t="s">
        <v>181</v>
      </c>
      <c r="H890" s="94">
        <v>0.02</v>
      </c>
      <c r="I890" t="s">
        <v>60</v>
      </c>
      <c r="J890" t="s">
        <v>13</v>
      </c>
    </row>
    <row r="891" spans="1:10" x14ac:dyDescent="0.25">
      <c r="A891" t="s">
        <v>131</v>
      </c>
      <c r="B891" t="s">
        <v>168</v>
      </c>
      <c r="C891" s="12" t="s">
        <v>109</v>
      </c>
      <c r="D891" t="s">
        <v>4</v>
      </c>
      <c r="E891" t="s">
        <v>12</v>
      </c>
      <c r="F891" t="s">
        <v>16</v>
      </c>
      <c r="G891" t="s">
        <v>181</v>
      </c>
      <c r="H891" s="94">
        <v>0.02</v>
      </c>
      <c r="I891" t="s">
        <v>60</v>
      </c>
      <c r="J891" t="s">
        <v>63</v>
      </c>
    </row>
    <row r="892" spans="1:10" x14ac:dyDescent="0.25">
      <c r="A892" t="s">
        <v>131</v>
      </c>
      <c r="B892" t="s">
        <v>168</v>
      </c>
      <c r="C892" s="12" t="s">
        <v>109</v>
      </c>
      <c r="D892" t="s">
        <v>4</v>
      </c>
      <c r="E892" t="s">
        <v>12</v>
      </c>
      <c r="F892" t="s">
        <v>16</v>
      </c>
      <c r="G892" t="s">
        <v>181</v>
      </c>
      <c r="H892" s="94">
        <v>0.02</v>
      </c>
      <c r="I892" t="s">
        <v>60</v>
      </c>
      <c r="J892" t="s">
        <v>11</v>
      </c>
    </row>
    <row r="893" spans="1:10" x14ac:dyDescent="0.25">
      <c r="A893" t="s">
        <v>131</v>
      </c>
      <c r="B893" t="s">
        <v>168</v>
      </c>
      <c r="C893" s="12" t="s">
        <v>109</v>
      </c>
      <c r="D893" t="s">
        <v>4</v>
      </c>
      <c r="E893" t="s">
        <v>12</v>
      </c>
      <c r="F893" t="s">
        <v>16</v>
      </c>
      <c r="G893" t="s">
        <v>181</v>
      </c>
      <c r="H893" s="94">
        <v>0.05</v>
      </c>
      <c r="I893" t="s">
        <v>107</v>
      </c>
      <c r="J893" t="s">
        <v>13</v>
      </c>
    </row>
    <row r="894" spans="1:10" x14ac:dyDescent="0.25">
      <c r="A894" t="s">
        <v>131</v>
      </c>
      <c r="B894" t="s">
        <v>168</v>
      </c>
      <c r="C894" s="12" t="s">
        <v>109</v>
      </c>
      <c r="D894" t="s">
        <v>4</v>
      </c>
      <c r="E894" t="s">
        <v>12</v>
      </c>
      <c r="F894" t="s">
        <v>16</v>
      </c>
      <c r="G894" t="s">
        <v>181</v>
      </c>
      <c r="H894" s="94">
        <v>0.05</v>
      </c>
      <c r="I894" t="s">
        <v>107</v>
      </c>
      <c r="J894" t="s">
        <v>63</v>
      </c>
    </row>
    <row r="895" spans="1:10" x14ac:dyDescent="0.25">
      <c r="A895" t="s">
        <v>131</v>
      </c>
      <c r="B895" t="s">
        <v>168</v>
      </c>
      <c r="C895" s="12" t="s">
        <v>109</v>
      </c>
      <c r="D895" t="s">
        <v>4</v>
      </c>
      <c r="E895" t="s">
        <v>12</v>
      </c>
      <c r="F895" t="s">
        <v>16</v>
      </c>
      <c r="G895" t="s">
        <v>181</v>
      </c>
      <c r="H895" s="94">
        <v>0.05</v>
      </c>
      <c r="I895" t="s">
        <v>107</v>
      </c>
      <c r="J895" t="s">
        <v>11</v>
      </c>
    </row>
    <row r="896" spans="1:10" x14ac:dyDescent="0.25">
      <c r="A896" t="s">
        <v>131</v>
      </c>
      <c r="B896" t="s">
        <v>168</v>
      </c>
      <c r="C896" s="12" t="s">
        <v>109</v>
      </c>
      <c r="D896" t="s">
        <v>4</v>
      </c>
      <c r="E896" t="s">
        <v>12</v>
      </c>
      <c r="F896" t="s">
        <v>16</v>
      </c>
      <c r="G896" t="s">
        <v>181</v>
      </c>
      <c r="H896" s="94">
        <v>0.05</v>
      </c>
      <c r="I896" t="s">
        <v>62</v>
      </c>
      <c r="J896" t="s">
        <v>13</v>
      </c>
    </row>
    <row r="897" spans="1:10" x14ac:dyDescent="0.25">
      <c r="A897" t="s">
        <v>131</v>
      </c>
      <c r="B897" t="s">
        <v>168</v>
      </c>
      <c r="C897" s="12" t="s">
        <v>109</v>
      </c>
      <c r="D897" t="s">
        <v>4</v>
      </c>
      <c r="E897" t="s">
        <v>12</v>
      </c>
      <c r="F897" t="s">
        <v>16</v>
      </c>
      <c r="G897" t="s">
        <v>181</v>
      </c>
      <c r="H897" s="94">
        <v>0.05</v>
      </c>
      <c r="I897" t="s">
        <v>62</v>
      </c>
      <c r="J897" t="s">
        <v>63</v>
      </c>
    </row>
    <row r="898" spans="1:10" x14ac:dyDescent="0.25">
      <c r="A898" t="s">
        <v>131</v>
      </c>
      <c r="B898" t="s">
        <v>168</v>
      </c>
      <c r="C898" s="12" t="s">
        <v>109</v>
      </c>
      <c r="D898" t="s">
        <v>4</v>
      </c>
      <c r="E898" t="s">
        <v>12</v>
      </c>
      <c r="F898" t="s">
        <v>16</v>
      </c>
      <c r="G898" t="s">
        <v>181</v>
      </c>
      <c r="H898" s="94">
        <v>0.05</v>
      </c>
      <c r="I898" t="s">
        <v>62</v>
      </c>
      <c r="J898" t="s">
        <v>11</v>
      </c>
    </row>
    <row r="899" spans="1:10" x14ac:dyDescent="0.25">
      <c r="A899" t="s">
        <v>131</v>
      </c>
      <c r="B899" t="s">
        <v>168</v>
      </c>
      <c r="C899" s="12" t="s">
        <v>109</v>
      </c>
      <c r="D899" t="s">
        <v>4</v>
      </c>
      <c r="E899" t="s">
        <v>12</v>
      </c>
      <c r="F899" t="s">
        <v>16</v>
      </c>
      <c r="G899" t="s">
        <v>181</v>
      </c>
      <c r="H899" s="94">
        <v>0.05</v>
      </c>
      <c r="I899" t="s">
        <v>60</v>
      </c>
      <c r="J899" t="s">
        <v>13</v>
      </c>
    </row>
    <row r="900" spans="1:10" x14ac:dyDescent="0.25">
      <c r="A900" t="s">
        <v>131</v>
      </c>
      <c r="B900" t="s">
        <v>168</v>
      </c>
      <c r="C900" s="12" t="s">
        <v>109</v>
      </c>
      <c r="D900" t="s">
        <v>4</v>
      </c>
      <c r="E900" t="s">
        <v>12</v>
      </c>
      <c r="F900" t="s">
        <v>16</v>
      </c>
      <c r="G900" t="s">
        <v>181</v>
      </c>
      <c r="H900" s="94">
        <v>0.05</v>
      </c>
      <c r="I900" t="s">
        <v>60</v>
      </c>
      <c r="J900" t="s">
        <v>63</v>
      </c>
    </row>
    <row r="901" spans="1:10" x14ac:dyDescent="0.25">
      <c r="A901" t="s">
        <v>131</v>
      </c>
      <c r="B901" t="s">
        <v>168</v>
      </c>
      <c r="C901" s="12" t="s">
        <v>109</v>
      </c>
      <c r="D901" t="s">
        <v>4</v>
      </c>
      <c r="E901" t="s">
        <v>12</v>
      </c>
      <c r="F901" t="s">
        <v>16</v>
      </c>
      <c r="G901" t="s">
        <v>181</v>
      </c>
      <c r="H901" s="94">
        <v>0.05</v>
      </c>
      <c r="I901" t="s">
        <v>60</v>
      </c>
      <c r="J901" t="s">
        <v>11</v>
      </c>
    </row>
    <row r="902" spans="1:10" x14ac:dyDescent="0.25">
      <c r="A902" t="s">
        <v>131</v>
      </c>
      <c r="B902" t="s">
        <v>168</v>
      </c>
      <c r="C902" s="12" t="s">
        <v>109</v>
      </c>
      <c r="D902" t="s">
        <v>4</v>
      </c>
      <c r="E902" t="s">
        <v>12</v>
      </c>
      <c r="F902" t="s">
        <v>8</v>
      </c>
      <c r="G902" t="s">
        <v>181</v>
      </c>
      <c r="H902" s="94">
        <v>0.02</v>
      </c>
      <c r="I902" t="s">
        <v>107</v>
      </c>
      <c r="J902" t="s">
        <v>13</v>
      </c>
    </row>
    <row r="903" spans="1:10" x14ac:dyDescent="0.25">
      <c r="A903" t="s">
        <v>131</v>
      </c>
      <c r="B903" t="s">
        <v>168</v>
      </c>
      <c r="C903" s="12" t="s">
        <v>109</v>
      </c>
      <c r="D903" t="s">
        <v>4</v>
      </c>
      <c r="E903" t="s">
        <v>12</v>
      </c>
      <c r="F903" t="s">
        <v>8</v>
      </c>
      <c r="G903" t="s">
        <v>181</v>
      </c>
      <c r="H903" s="94">
        <v>0.02</v>
      </c>
      <c r="I903" t="s">
        <v>107</v>
      </c>
      <c r="J903" t="s">
        <v>63</v>
      </c>
    </row>
    <row r="904" spans="1:10" x14ac:dyDescent="0.25">
      <c r="A904" t="s">
        <v>131</v>
      </c>
      <c r="B904" t="s">
        <v>168</v>
      </c>
      <c r="C904" s="12" t="s">
        <v>109</v>
      </c>
      <c r="D904" t="s">
        <v>4</v>
      </c>
      <c r="E904" t="s">
        <v>12</v>
      </c>
      <c r="F904" t="s">
        <v>8</v>
      </c>
      <c r="G904" t="s">
        <v>181</v>
      </c>
      <c r="H904" s="94">
        <v>0.02</v>
      </c>
      <c r="I904" t="s">
        <v>107</v>
      </c>
      <c r="J904" t="s">
        <v>11</v>
      </c>
    </row>
    <row r="905" spans="1:10" x14ac:dyDescent="0.25">
      <c r="A905" t="s">
        <v>131</v>
      </c>
      <c r="B905" t="s">
        <v>168</v>
      </c>
      <c r="C905" s="12" t="s">
        <v>109</v>
      </c>
      <c r="D905" t="s">
        <v>4</v>
      </c>
      <c r="E905" t="s">
        <v>12</v>
      </c>
      <c r="F905" t="s">
        <v>8</v>
      </c>
      <c r="G905" t="s">
        <v>181</v>
      </c>
      <c r="H905" s="94">
        <v>0.02</v>
      </c>
      <c r="I905" t="s">
        <v>62</v>
      </c>
      <c r="J905" t="s">
        <v>13</v>
      </c>
    </row>
    <row r="906" spans="1:10" x14ac:dyDescent="0.25">
      <c r="A906" t="s">
        <v>131</v>
      </c>
      <c r="B906" t="s">
        <v>168</v>
      </c>
      <c r="C906" s="12" t="s">
        <v>109</v>
      </c>
      <c r="D906" t="s">
        <v>4</v>
      </c>
      <c r="E906" t="s">
        <v>12</v>
      </c>
      <c r="F906" t="s">
        <v>8</v>
      </c>
      <c r="G906" t="s">
        <v>181</v>
      </c>
      <c r="H906" s="94">
        <v>0.02</v>
      </c>
      <c r="I906" t="s">
        <v>62</v>
      </c>
      <c r="J906" t="s">
        <v>63</v>
      </c>
    </row>
    <row r="907" spans="1:10" x14ac:dyDescent="0.25">
      <c r="A907" t="s">
        <v>131</v>
      </c>
      <c r="B907" t="s">
        <v>168</v>
      </c>
      <c r="C907" s="12" t="s">
        <v>109</v>
      </c>
      <c r="D907" t="s">
        <v>4</v>
      </c>
      <c r="E907" t="s">
        <v>12</v>
      </c>
      <c r="F907" t="s">
        <v>8</v>
      </c>
      <c r="G907" t="s">
        <v>181</v>
      </c>
      <c r="H907" s="94">
        <v>0.02</v>
      </c>
      <c r="I907" t="s">
        <v>62</v>
      </c>
      <c r="J907" t="s">
        <v>11</v>
      </c>
    </row>
    <row r="908" spans="1:10" x14ac:dyDescent="0.25">
      <c r="A908" t="s">
        <v>131</v>
      </c>
      <c r="B908" t="s">
        <v>168</v>
      </c>
      <c r="C908" s="12" t="s">
        <v>109</v>
      </c>
      <c r="D908" t="s">
        <v>4</v>
      </c>
      <c r="E908" t="s">
        <v>12</v>
      </c>
      <c r="F908" t="s">
        <v>8</v>
      </c>
      <c r="G908" t="s">
        <v>181</v>
      </c>
      <c r="H908" s="94">
        <v>0.02</v>
      </c>
      <c r="I908" t="s">
        <v>60</v>
      </c>
      <c r="J908" t="s">
        <v>13</v>
      </c>
    </row>
    <row r="909" spans="1:10" x14ac:dyDescent="0.25">
      <c r="A909" t="s">
        <v>131</v>
      </c>
      <c r="B909" t="s">
        <v>168</v>
      </c>
      <c r="C909" s="12" t="s">
        <v>109</v>
      </c>
      <c r="D909" t="s">
        <v>4</v>
      </c>
      <c r="E909" t="s">
        <v>12</v>
      </c>
      <c r="F909" t="s">
        <v>8</v>
      </c>
      <c r="G909" t="s">
        <v>181</v>
      </c>
      <c r="H909" s="94">
        <v>0.02</v>
      </c>
      <c r="I909" t="s">
        <v>60</v>
      </c>
      <c r="J909" t="s">
        <v>63</v>
      </c>
    </row>
    <row r="910" spans="1:10" x14ac:dyDescent="0.25">
      <c r="A910" t="s">
        <v>131</v>
      </c>
      <c r="B910" t="s">
        <v>168</v>
      </c>
      <c r="C910" s="12" t="s">
        <v>109</v>
      </c>
      <c r="D910" t="s">
        <v>4</v>
      </c>
      <c r="E910" t="s">
        <v>12</v>
      </c>
      <c r="F910" t="s">
        <v>8</v>
      </c>
      <c r="G910" t="s">
        <v>181</v>
      </c>
      <c r="H910" s="94">
        <v>0.02</v>
      </c>
      <c r="I910" t="s">
        <v>60</v>
      </c>
      <c r="J910" t="s">
        <v>11</v>
      </c>
    </row>
    <row r="911" spans="1:10" x14ac:dyDescent="0.25">
      <c r="A911" t="s">
        <v>131</v>
      </c>
      <c r="B911" t="s">
        <v>168</v>
      </c>
      <c r="C911" s="12" t="s">
        <v>109</v>
      </c>
      <c r="D911" t="s">
        <v>4</v>
      </c>
      <c r="E911" t="s">
        <v>12</v>
      </c>
      <c r="F911" t="s">
        <v>8</v>
      </c>
      <c r="G911" t="s">
        <v>181</v>
      </c>
      <c r="H911" s="94">
        <v>0.05</v>
      </c>
      <c r="I911" t="s">
        <v>107</v>
      </c>
      <c r="J911" t="s">
        <v>13</v>
      </c>
    </row>
    <row r="912" spans="1:10" x14ac:dyDescent="0.25">
      <c r="A912" t="s">
        <v>131</v>
      </c>
      <c r="B912" t="s">
        <v>168</v>
      </c>
      <c r="C912" s="12" t="s">
        <v>109</v>
      </c>
      <c r="D912" t="s">
        <v>4</v>
      </c>
      <c r="E912" t="s">
        <v>12</v>
      </c>
      <c r="F912" t="s">
        <v>8</v>
      </c>
      <c r="G912" t="s">
        <v>181</v>
      </c>
      <c r="H912" s="94">
        <v>0.05</v>
      </c>
      <c r="I912" t="s">
        <v>107</v>
      </c>
      <c r="J912" t="s">
        <v>63</v>
      </c>
    </row>
    <row r="913" spans="1:10" x14ac:dyDescent="0.25">
      <c r="A913" t="s">
        <v>131</v>
      </c>
      <c r="B913" t="s">
        <v>168</v>
      </c>
      <c r="C913" s="12" t="s">
        <v>109</v>
      </c>
      <c r="D913" t="s">
        <v>4</v>
      </c>
      <c r="E913" t="s">
        <v>12</v>
      </c>
      <c r="F913" t="s">
        <v>8</v>
      </c>
      <c r="G913" t="s">
        <v>181</v>
      </c>
      <c r="H913" s="94">
        <v>0.05</v>
      </c>
      <c r="I913" t="s">
        <v>107</v>
      </c>
      <c r="J913" t="s">
        <v>11</v>
      </c>
    </row>
    <row r="914" spans="1:10" x14ac:dyDescent="0.25">
      <c r="A914" t="s">
        <v>131</v>
      </c>
      <c r="B914" t="s">
        <v>168</v>
      </c>
      <c r="C914" s="12" t="s">
        <v>109</v>
      </c>
      <c r="D914" t="s">
        <v>4</v>
      </c>
      <c r="E914" t="s">
        <v>12</v>
      </c>
      <c r="F914" t="s">
        <v>8</v>
      </c>
      <c r="G914" t="s">
        <v>181</v>
      </c>
      <c r="H914" s="94">
        <v>0.05</v>
      </c>
      <c r="I914" t="s">
        <v>62</v>
      </c>
      <c r="J914" t="s">
        <v>13</v>
      </c>
    </row>
    <row r="915" spans="1:10" x14ac:dyDescent="0.25">
      <c r="A915" t="s">
        <v>131</v>
      </c>
      <c r="B915" t="s">
        <v>168</v>
      </c>
      <c r="C915" s="12" t="s">
        <v>109</v>
      </c>
      <c r="D915" t="s">
        <v>4</v>
      </c>
      <c r="E915" t="s">
        <v>12</v>
      </c>
      <c r="F915" t="s">
        <v>8</v>
      </c>
      <c r="G915" t="s">
        <v>181</v>
      </c>
      <c r="H915" s="94">
        <v>0.05</v>
      </c>
      <c r="I915" t="s">
        <v>62</v>
      </c>
      <c r="J915" t="s">
        <v>63</v>
      </c>
    </row>
    <row r="916" spans="1:10" x14ac:dyDescent="0.25">
      <c r="A916" t="s">
        <v>131</v>
      </c>
      <c r="B916" t="s">
        <v>168</v>
      </c>
      <c r="C916" s="12" t="s">
        <v>109</v>
      </c>
      <c r="D916" t="s">
        <v>4</v>
      </c>
      <c r="E916" t="s">
        <v>12</v>
      </c>
      <c r="F916" t="s">
        <v>8</v>
      </c>
      <c r="G916" t="s">
        <v>181</v>
      </c>
      <c r="H916" s="94">
        <v>0.05</v>
      </c>
      <c r="I916" t="s">
        <v>62</v>
      </c>
      <c r="J916" t="s">
        <v>11</v>
      </c>
    </row>
    <row r="917" spans="1:10" x14ac:dyDescent="0.25">
      <c r="A917" t="s">
        <v>131</v>
      </c>
      <c r="B917" t="s">
        <v>168</v>
      </c>
      <c r="C917" s="12" t="s">
        <v>109</v>
      </c>
      <c r="D917" t="s">
        <v>4</v>
      </c>
      <c r="E917" t="s">
        <v>12</v>
      </c>
      <c r="F917" t="s">
        <v>8</v>
      </c>
      <c r="G917" t="s">
        <v>181</v>
      </c>
      <c r="H917" s="94">
        <v>0.05</v>
      </c>
      <c r="I917" t="s">
        <v>60</v>
      </c>
      <c r="J917" t="s">
        <v>13</v>
      </c>
    </row>
    <row r="918" spans="1:10" x14ac:dyDescent="0.25">
      <c r="A918" t="s">
        <v>131</v>
      </c>
      <c r="B918" t="s">
        <v>168</v>
      </c>
      <c r="C918" s="12" t="s">
        <v>109</v>
      </c>
      <c r="D918" t="s">
        <v>4</v>
      </c>
      <c r="E918" t="s">
        <v>12</v>
      </c>
      <c r="F918" t="s">
        <v>8</v>
      </c>
      <c r="G918" t="s">
        <v>181</v>
      </c>
      <c r="H918" s="94">
        <v>0.05</v>
      </c>
      <c r="I918" t="s">
        <v>60</v>
      </c>
      <c r="J918" t="s">
        <v>63</v>
      </c>
    </row>
    <row r="919" spans="1:10" x14ac:dyDescent="0.25">
      <c r="A919" t="s">
        <v>131</v>
      </c>
      <c r="B919" t="s">
        <v>168</v>
      </c>
      <c r="C919" s="12" t="s">
        <v>109</v>
      </c>
      <c r="D919" t="s">
        <v>4</v>
      </c>
      <c r="E919" t="s">
        <v>12</v>
      </c>
      <c r="F919" t="s">
        <v>8</v>
      </c>
      <c r="G919" t="s">
        <v>181</v>
      </c>
      <c r="H919" s="94">
        <v>0.05</v>
      </c>
      <c r="I919" t="s">
        <v>60</v>
      </c>
      <c r="J919" t="s">
        <v>11</v>
      </c>
    </row>
    <row r="920" spans="1:10" x14ac:dyDescent="0.25">
      <c r="A920" t="s">
        <v>131</v>
      </c>
      <c r="B920" t="s">
        <v>168</v>
      </c>
      <c r="C920" s="12" t="s">
        <v>109</v>
      </c>
      <c r="D920" t="s">
        <v>4</v>
      </c>
      <c r="E920" t="s">
        <v>6</v>
      </c>
      <c r="F920" t="s">
        <v>72</v>
      </c>
      <c r="G920" t="s">
        <v>181</v>
      </c>
      <c r="H920" s="94">
        <v>0.02</v>
      </c>
      <c r="I920" t="s">
        <v>107</v>
      </c>
      <c r="J920" t="s">
        <v>13</v>
      </c>
    </row>
    <row r="921" spans="1:10" x14ac:dyDescent="0.25">
      <c r="A921" t="s">
        <v>131</v>
      </c>
      <c r="B921" t="s">
        <v>168</v>
      </c>
      <c r="C921" s="12" t="s">
        <v>109</v>
      </c>
      <c r="D921" t="s">
        <v>4</v>
      </c>
      <c r="E921" t="s">
        <v>6</v>
      </c>
      <c r="F921" t="s">
        <v>72</v>
      </c>
      <c r="G921" t="s">
        <v>181</v>
      </c>
      <c r="H921" s="94">
        <v>0.02</v>
      </c>
      <c r="I921" t="s">
        <v>107</v>
      </c>
      <c r="J921" t="s">
        <v>63</v>
      </c>
    </row>
    <row r="922" spans="1:10" x14ac:dyDescent="0.25">
      <c r="A922" t="s">
        <v>131</v>
      </c>
      <c r="B922" t="s">
        <v>168</v>
      </c>
      <c r="C922" s="12" t="s">
        <v>109</v>
      </c>
      <c r="D922" t="s">
        <v>4</v>
      </c>
      <c r="E922" t="s">
        <v>6</v>
      </c>
      <c r="F922" t="s">
        <v>72</v>
      </c>
      <c r="G922" t="s">
        <v>181</v>
      </c>
      <c r="H922" s="94">
        <v>0.02</v>
      </c>
      <c r="I922" t="s">
        <v>107</v>
      </c>
      <c r="J922" t="s">
        <v>11</v>
      </c>
    </row>
    <row r="923" spans="1:10" x14ac:dyDescent="0.25">
      <c r="A923" t="s">
        <v>131</v>
      </c>
      <c r="B923" t="s">
        <v>168</v>
      </c>
      <c r="C923" s="12" t="s">
        <v>109</v>
      </c>
      <c r="D923" t="s">
        <v>4</v>
      </c>
      <c r="E923" t="s">
        <v>6</v>
      </c>
      <c r="F923" t="s">
        <v>72</v>
      </c>
      <c r="G923" t="s">
        <v>181</v>
      </c>
      <c r="H923" s="94">
        <v>0.02</v>
      </c>
      <c r="I923" t="s">
        <v>62</v>
      </c>
      <c r="J923" t="s">
        <v>13</v>
      </c>
    </row>
    <row r="924" spans="1:10" x14ac:dyDescent="0.25">
      <c r="A924" t="s">
        <v>131</v>
      </c>
      <c r="B924" t="s">
        <v>168</v>
      </c>
      <c r="C924" s="12" t="s">
        <v>109</v>
      </c>
      <c r="D924" t="s">
        <v>4</v>
      </c>
      <c r="E924" t="s">
        <v>6</v>
      </c>
      <c r="F924" t="s">
        <v>72</v>
      </c>
      <c r="G924" t="s">
        <v>181</v>
      </c>
      <c r="H924" s="94">
        <v>0.02</v>
      </c>
      <c r="I924" t="s">
        <v>62</v>
      </c>
      <c r="J924" t="s">
        <v>63</v>
      </c>
    </row>
    <row r="925" spans="1:10" x14ac:dyDescent="0.25">
      <c r="A925" t="s">
        <v>131</v>
      </c>
      <c r="B925" t="s">
        <v>168</v>
      </c>
      <c r="C925" s="12" t="s">
        <v>109</v>
      </c>
      <c r="D925" t="s">
        <v>4</v>
      </c>
      <c r="E925" t="s">
        <v>6</v>
      </c>
      <c r="F925" t="s">
        <v>72</v>
      </c>
      <c r="G925" t="s">
        <v>181</v>
      </c>
      <c r="H925" s="94">
        <v>0.02</v>
      </c>
      <c r="I925" t="s">
        <v>62</v>
      </c>
      <c r="J925" t="s">
        <v>11</v>
      </c>
    </row>
    <row r="926" spans="1:10" x14ac:dyDescent="0.25">
      <c r="A926" t="s">
        <v>131</v>
      </c>
      <c r="B926" t="s">
        <v>168</v>
      </c>
      <c r="C926" s="12" t="s">
        <v>109</v>
      </c>
      <c r="D926" t="s">
        <v>4</v>
      </c>
      <c r="E926" t="s">
        <v>6</v>
      </c>
      <c r="F926" t="s">
        <v>72</v>
      </c>
      <c r="G926" t="s">
        <v>181</v>
      </c>
      <c r="H926" s="94">
        <v>0.02</v>
      </c>
      <c r="I926" t="s">
        <v>60</v>
      </c>
      <c r="J926" t="s">
        <v>13</v>
      </c>
    </row>
    <row r="927" spans="1:10" x14ac:dyDescent="0.25">
      <c r="A927" t="s">
        <v>131</v>
      </c>
      <c r="B927" t="s">
        <v>168</v>
      </c>
      <c r="C927" s="12" t="s">
        <v>109</v>
      </c>
      <c r="D927" t="s">
        <v>4</v>
      </c>
      <c r="E927" t="s">
        <v>6</v>
      </c>
      <c r="F927" t="s">
        <v>72</v>
      </c>
      <c r="G927" t="s">
        <v>181</v>
      </c>
      <c r="H927" s="94">
        <v>0.02</v>
      </c>
      <c r="I927" t="s">
        <v>60</v>
      </c>
      <c r="J927" t="s">
        <v>63</v>
      </c>
    </row>
    <row r="928" spans="1:10" x14ac:dyDescent="0.25">
      <c r="A928" t="s">
        <v>131</v>
      </c>
      <c r="B928" t="s">
        <v>168</v>
      </c>
      <c r="C928" s="12" t="s">
        <v>109</v>
      </c>
      <c r="D928" t="s">
        <v>4</v>
      </c>
      <c r="E928" t="s">
        <v>6</v>
      </c>
      <c r="F928" t="s">
        <v>72</v>
      </c>
      <c r="G928" t="s">
        <v>181</v>
      </c>
      <c r="H928" s="94">
        <v>0.02</v>
      </c>
      <c r="I928" t="s">
        <v>60</v>
      </c>
      <c r="J928" t="s">
        <v>11</v>
      </c>
    </row>
    <row r="929" spans="1:10" x14ac:dyDescent="0.25">
      <c r="A929" t="s">
        <v>131</v>
      </c>
      <c r="B929" t="s">
        <v>168</v>
      </c>
      <c r="C929" s="12" t="s">
        <v>109</v>
      </c>
      <c r="D929" t="s">
        <v>4</v>
      </c>
      <c r="E929" t="s">
        <v>6</v>
      </c>
      <c r="F929" t="s">
        <v>72</v>
      </c>
      <c r="G929" t="s">
        <v>181</v>
      </c>
      <c r="H929" s="94">
        <v>0.05</v>
      </c>
      <c r="I929" t="s">
        <v>107</v>
      </c>
      <c r="J929" t="s">
        <v>13</v>
      </c>
    </row>
    <row r="930" spans="1:10" x14ac:dyDescent="0.25">
      <c r="A930" t="s">
        <v>131</v>
      </c>
      <c r="B930" t="s">
        <v>168</v>
      </c>
      <c r="C930" s="12" t="s">
        <v>109</v>
      </c>
      <c r="D930" t="s">
        <v>4</v>
      </c>
      <c r="E930" t="s">
        <v>6</v>
      </c>
      <c r="F930" t="s">
        <v>72</v>
      </c>
      <c r="G930" t="s">
        <v>181</v>
      </c>
      <c r="H930" s="94">
        <v>0.05</v>
      </c>
      <c r="I930" t="s">
        <v>107</v>
      </c>
      <c r="J930" t="s">
        <v>63</v>
      </c>
    </row>
    <row r="931" spans="1:10" x14ac:dyDescent="0.25">
      <c r="A931" t="s">
        <v>131</v>
      </c>
      <c r="B931" t="s">
        <v>168</v>
      </c>
      <c r="C931" s="12" t="s">
        <v>109</v>
      </c>
      <c r="D931" t="s">
        <v>4</v>
      </c>
      <c r="E931" t="s">
        <v>6</v>
      </c>
      <c r="F931" t="s">
        <v>72</v>
      </c>
      <c r="G931" t="s">
        <v>181</v>
      </c>
      <c r="H931" s="94">
        <v>0.05</v>
      </c>
      <c r="I931" t="s">
        <v>107</v>
      </c>
      <c r="J931" t="s">
        <v>11</v>
      </c>
    </row>
    <row r="932" spans="1:10" x14ac:dyDescent="0.25">
      <c r="A932" t="s">
        <v>131</v>
      </c>
      <c r="B932" t="s">
        <v>168</v>
      </c>
      <c r="C932" s="12" t="s">
        <v>109</v>
      </c>
      <c r="D932" t="s">
        <v>4</v>
      </c>
      <c r="E932" t="s">
        <v>6</v>
      </c>
      <c r="F932" t="s">
        <v>72</v>
      </c>
      <c r="G932" t="s">
        <v>181</v>
      </c>
      <c r="H932" s="94">
        <v>0.05</v>
      </c>
      <c r="I932" t="s">
        <v>62</v>
      </c>
      <c r="J932" t="s">
        <v>13</v>
      </c>
    </row>
    <row r="933" spans="1:10" x14ac:dyDescent="0.25">
      <c r="A933" t="s">
        <v>131</v>
      </c>
      <c r="B933" t="s">
        <v>168</v>
      </c>
      <c r="C933" s="12" t="s">
        <v>109</v>
      </c>
      <c r="D933" t="s">
        <v>4</v>
      </c>
      <c r="E933" t="s">
        <v>6</v>
      </c>
      <c r="F933" t="s">
        <v>72</v>
      </c>
      <c r="G933" t="s">
        <v>181</v>
      </c>
      <c r="H933" s="94">
        <v>0.05</v>
      </c>
      <c r="I933" t="s">
        <v>62</v>
      </c>
      <c r="J933" t="s">
        <v>63</v>
      </c>
    </row>
    <row r="934" spans="1:10" x14ac:dyDescent="0.25">
      <c r="A934" t="s">
        <v>131</v>
      </c>
      <c r="B934" t="s">
        <v>168</v>
      </c>
      <c r="C934" s="12" t="s">
        <v>109</v>
      </c>
      <c r="D934" t="s">
        <v>4</v>
      </c>
      <c r="E934" t="s">
        <v>6</v>
      </c>
      <c r="F934" t="s">
        <v>72</v>
      </c>
      <c r="G934" t="s">
        <v>181</v>
      </c>
      <c r="H934" s="94">
        <v>0.05</v>
      </c>
      <c r="I934" t="s">
        <v>62</v>
      </c>
      <c r="J934" t="s">
        <v>11</v>
      </c>
    </row>
    <row r="935" spans="1:10" x14ac:dyDescent="0.25">
      <c r="A935" t="s">
        <v>131</v>
      </c>
      <c r="B935" t="s">
        <v>168</v>
      </c>
      <c r="C935" s="12" t="s">
        <v>109</v>
      </c>
      <c r="D935" t="s">
        <v>4</v>
      </c>
      <c r="E935" t="s">
        <v>6</v>
      </c>
      <c r="F935" t="s">
        <v>72</v>
      </c>
      <c r="G935" t="s">
        <v>181</v>
      </c>
      <c r="H935" s="94">
        <v>0.05</v>
      </c>
      <c r="I935" t="s">
        <v>60</v>
      </c>
      <c r="J935" t="s">
        <v>13</v>
      </c>
    </row>
    <row r="936" spans="1:10" x14ac:dyDescent="0.25">
      <c r="A936" t="s">
        <v>131</v>
      </c>
      <c r="B936" t="s">
        <v>168</v>
      </c>
      <c r="C936" s="12" t="s">
        <v>109</v>
      </c>
      <c r="D936" t="s">
        <v>4</v>
      </c>
      <c r="E936" t="s">
        <v>6</v>
      </c>
      <c r="F936" t="s">
        <v>72</v>
      </c>
      <c r="G936" t="s">
        <v>181</v>
      </c>
      <c r="H936" s="94">
        <v>0.05</v>
      </c>
      <c r="I936" t="s">
        <v>60</v>
      </c>
      <c r="J936" t="s">
        <v>63</v>
      </c>
    </row>
    <row r="937" spans="1:10" x14ac:dyDescent="0.25">
      <c r="A937" t="s">
        <v>131</v>
      </c>
      <c r="B937" t="s">
        <v>168</v>
      </c>
      <c r="C937" s="12" t="s">
        <v>109</v>
      </c>
      <c r="D937" t="s">
        <v>4</v>
      </c>
      <c r="E937" t="s">
        <v>6</v>
      </c>
      <c r="F937" t="s">
        <v>72</v>
      </c>
      <c r="G937" t="s">
        <v>181</v>
      </c>
      <c r="H937" s="94">
        <v>0.05</v>
      </c>
      <c r="I937" t="s">
        <v>60</v>
      </c>
      <c r="J937" t="s">
        <v>11</v>
      </c>
    </row>
    <row r="938" spans="1:10" x14ac:dyDescent="0.25">
      <c r="A938" t="s">
        <v>131</v>
      </c>
      <c r="B938" t="s">
        <v>168</v>
      </c>
      <c r="C938" s="12" t="s">
        <v>109</v>
      </c>
      <c r="D938" t="s">
        <v>4</v>
      </c>
      <c r="E938" t="s">
        <v>6</v>
      </c>
      <c r="F938" t="s">
        <v>16</v>
      </c>
      <c r="G938" t="s">
        <v>181</v>
      </c>
      <c r="H938" s="94">
        <v>0.02</v>
      </c>
      <c r="I938" t="s">
        <v>107</v>
      </c>
      <c r="J938" t="s">
        <v>13</v>
      </c>
    </row>
    <row r="939" spans="1:10" x14ac:dyDescent="0.25">
      <c r="A939" t="s">
        <v>131</v>
      </c>
      <c r="B939" t="s">
        <v>168</v>
      </c>
      <c r="C939" s="12" t="s">
        <v>109</v>
      </c>
      <c r="D939" t="s">
        <v>4</v>
      </c>
      <c r="E939" t="s">
        <v>6</v>
      </c>
      <c r="F939" t="s">
        <v>16</v>
      </c>
      <c r="G939" t="s">
        <v>181</v>
      </c>
      <c r="H939" s="94">
        <v>0.02</v>
      </c>
      <c r="I939" t="s">
        <v>107</v>
      </c>
      <c r="J939" t="s">
        <v>63</v>
      </c>
    </row>
    <row r="940" spans="1:10" x14ac:dyDescent="0.25">
      <c r="A940" t="s">
        <v>131</v>
      </c>
      <c r="B940" t="s">
        <v>168</v>
      </c>
      <c r="C940" s="12" t="s">
        <v>109</v>
      </c>
      <c r="D940" t="s">
        <v>4</v>
      </c>
      <c r="E940" t="s">
        <v>6</v>
      </c>
      <c r="F940" t="s">
        <v>16</v>
      </c>
      <c r="G940" t="s">
        <v>181</v>
      </c>
      <c r="H940" s="94">
        <v>0.02</v>
      </c>
      <c r="I940" t="s">
        <v>107</v>
      </c>
      <c r="J940" t="s">
        <v>11</v>
      </c>
    </row>
    <row r="941" spans="1:10" x14ac:dyDescent="0.25">
      <c r="A941" t="s">
        <v>131</v>
      </c>
      <c r="B941" t="s">
        <v>168</v>
      </c>
      <c r="C941" s="12" t="s">
        <v>109</v>
      </c>
      <c r="D941" t="s">
        <v>4</v>
      </c>
      <c r="E941" t="s">
        <v>6</v>
      </c>
      <c r="F941" t="s">
        <v>16</v>
      </c>
      <c r="G941" t="s">
        <v>181</v>
      </c>
      <c r="H941" s="94">
        <v>0.02</v>
      </c>
      <c r="I941" t="s">
        <v>62</v>
      </c>
      <c r="J941" t="s">
        <v>13</v>
      </c>
    </row>
    <row r="942" spans="1:10" x14ac:dyDescent="0.25">
      <c r="A942" t="s">
        <v>131</v>
      </c>
      <c r="B942" t="s">
        <v>168</v>
      </c>
      <c r="C942" s="12" t="s">
        <v>109</v>
      </c>
      <c r="D942" t="s">
        <v>4</v>
      </c>
      <c r="E942" t="s">
        <v>6</v>
      </c>
      <c r="F942" t="s">
        <v>16</v>
      </c>
      <c r="G942" t="s">
        <v>181</v>
      </c>
      <c r="H942" s="94">
        <v>0.02</v>
      </c>
      <c r="I942" t="s">
        <v>62</v>
      </c>
      <c r="J942" t="s">
        <v>63</v>
      </c>
    </row>
    <row r="943" spans="1:10" x14ac:dyDescent="0.25">
      <c r="A943" t="s">
        <v>131</v>
      </c>
      <c r="B943" t="s">
        <v>168</v>
      </c>
      <c r="C943" s="12" t="s">
        <v>109</v>
      </c>
      <c r="D943" t="s">
        <v>4</v>
      </c>
      <c r="E943" t="s">
        <v>6</v>
      </c>
      <c r="F943" t="s">
        <v>16</v>
      </c>
      <c r="G943" t="s">
        <v>181</v>
      </c>
      <c r="H943" s="94">
        <v>0.02</v>
      </c>
      <c r="I943" t="s">
        <v>62</v>
      </c>
      <c r="J943" t="s">
        <v>11</v>
      </c>
    </row>
    <row r="944" spans="1:10" x14ac:dyDescent="0.25">
      <c r="A944" t="s">
        <v>131</v>
      </c>
      <c r="B944" t="s">
        <v>168</v>
      </c>
      <c r="C944" s="12" t="s">
        <v>109</v>
      </c>
      <c r="D944" t="s">
        <v>4</v>
      </c>
      <c r="E944" t="s">
        <v>6</v>
      </c>
      <c r="F944" t="s">
        <v>16</v>
      </c>
      <c r="G944" t="s">
        <v>181</v>
      </c>
      <c r="H944" s="94">
        <v>0.02</v>
      </c>
      <c r="I944" t="s">
        <v>60</v>
      </c>
      <c r="J944" t="s">
        <v>13</v>
      </c>
    </row>
    <row r="945" spans="1:10" x14ac:dyDescent="0.25">
      <c r="A945" t="s">
        <v>131</v>
      </c>
      <c r="B945" t="s">
        <v>168</v>
      </c>
      <c r="C945" s="12" t="s">
        <v>109</v>
      </c>
      <c r="D945" t="s">
        <v>4</v>
      </c>
      <c r="E945" t="s">
        <v>6</v>
      </c>
      <c r="F945" t="s">
        <v>16</v>
      </c>
      <c r="G945" t="s">
        <v>181</v>
      </c>
      <c r="H945" s="94">
        <v>0.02</v>
      </c>
      <c r="I945" t="s">
        <v>60</v>
      </c>
      <c r="J945" t="s">
        <v>63</v>
      </c>
    </row>
    <row r="946" spans="1:10" x14ac:dyDescent="0.25">
      <c r="A946" t="s">
        <v>131</v>
      </c>
      <c r="B946" t="s">
        <v>168</v>
      </c>
      <c r="C946" s="12" t="s">
        <v>109</v>
      </c>
      <c r="D946" t="s">
        <v>4</v>
      </c>
      <c r="E946" t="s">
        <v>6</v>
      </c>
      <c r="F946" t="s">
        <v>16</v>
      </c>
      <c r="G946" t="s">
        <v>181</v>
      </c>
      <c r="H946" s="94">
        <v>0.02</v>
      </c>
      <c r="I946" t="s">
        <v>60</v>
      </c>
      <c r="J946" t="s">
        <v>11</v>
      </c>
    </row>
    <row r="947" spans="1:10" x14ac:dyDescent="0.25">
      <c r="A947" t="s">
        <v>131</v>
      </c>
      <c r="B947" t="s">
        <v>168</v>
      </c>
      <c r="C947" s="12" t="s">
        <v>109</v>
      </c>
      <c r="D947" t="s">
        <v>4</v>
      </c>
      <c r="E947" t="s">
        <v>6</v>
      </c>
      <c r="F947" t="s">
        <v>16</v>
      </c>
      <c r="G947" t="s">
        <v>181</v>
      </c>
      <c r="H947" s="94">
        <v>0.05</v>
      </c>
      <c r="I947" t="s">
        <v>107</v>
      </c>
      <c r="J947" t="s">
        <v>13</v>
      </c>
    </row>
    <row r="948" spans="1:10" x14ac:dyDescent="0.25">
      <c r="A948" t="s">
        <v>131</v>
      </c>
      <c r="B948" t="s">
        <v>168</v>
      </c>
      <c r="C948" s="12" t="s">
        <v>109</v>
      </c>
      <c r="D948" t="s">
        <v>4</v>
      </c>
      <c r="E948" t="s">
        <v>6</v>
      </c>
      <c r="F948" t="s">
        <v>16</v>
      </c>
      <c r="G948" t="s">
        <v>181</v>
      </c>
      <c r="H948" s="94">
        <v>0.05</v>
      </c>
      <c r="I948" t="s">
        <v>107</v>
      </c>
      <c r="J948" t="s">
        <v>63</v>
      </c>
    </row>
    <row r="949" spans="1:10" x14ac:dyDescent="0.25">
      <c r="A949" t="s">
        <v>131</v>
      </c>
      <c r="B949" t="s">
        <v>168</v>
      </c>
      <c r="C949" s="12" t="s">
        <v>109</v>
      </c>
      <c r="D949" t="s">
        <v>4</v>
      </c>
      <c r="E949" t="s">
        <v>6</v>
      </c>
      <c r="F949" t="s">
        <v>16</v>
      </c>
      <c r="G949" t="s">
        <v>181</v>
      </c>
      <c r="H949" s="94">
        <v>0.05</v>
      </c>
      <c r="I949" t="s">
        <v>107</v>
      </c>
      <c r="J949" t="s">
        <v>11</v>
      </c>
    </row>
    <row r="950" spans="1:10" x14ac:dyDescent="0.25">
      <c r="A950" t="s">
        <v>131</v>
      </c>
      <c r="B950" t="s">
        <v>168</v>
      </c>
      <c r="C950" s="12" t="s">
        <v>109</v>
      </c>
      <c r="D950" t="s">
        <v>4</v>
      </c>
      <c r="E950" t="s">
        <v>6</v>
      </c>
      <c r="F950" t="s">
        <v>16</v>
      </c>
      <c r="G950" t="s">
        <v>181</v>
      </c>
      <c r="H950" s="94">
        <v>0.05</v>
      </c>
      <c r="I950" t="s">
        <v>62</v>
      </c>
      <c r="J950" t="s">
        <v>13</v>
      </c>
    </row>
    <row r="951" spans="1:10" x14ac:dyDescent="0.25">
      <c r="A951" t="s">
        <v>131</v>
      </c>
      <c r="B951" t="s">
        <v>168</v>
      </c>
      <c r="C951" s="12" t="s">
        <v>109</v>
      </c>
      <c r="D951" t="s">
        <v>4</v>
      </c>
      <c r="E951" t="s">
        <v>6</v>
      </c>
      <c r="F951" t="s">
        <v>16</v>
      </c>
      <c r="G951" t="s">
        <v>181</v>
      </c>
      <c r="H951" s="94">
        <v>0.05</v>
      </c>
      <c r="I951" t="s">
        <v>62</v>
      </c>
      <c r="J951" t="s">
        <v>63</v>
      </c>
    </row>
    <row r="952" spans="1:10" x14ac:dyDescent="0.25">
      <c r="A952" t="s">
        <v>131</v>
      </c>
      <c r="B952" t="s">
        <v>168</v>
      </c>
      <c r="C952" s="12" t="s">
        <v>109</v>
      </c>
      <c r="D952" t="s">
        <v>4</v>
      </c>
      <c r="E952" t="s">
        <v>6</v>
      </c>
      <c r="F952" t="s">
        <v>16</v>
      </c>
      <c r="G952" t="s">
        <v>181</v>
      </c>
      <c r="H952" s="94">
        <v>0.05</v>
      </c>
      <c r="I952" t="s">
        <v>62</v>
      </c>
      <c r="J952" t="s">
        <v>11</v>
      </c>
    </row>
    <row r="953" spans="1:10" x14ac:dyDescent="0.25">
      <c r="A953" t="s">
        <v>131</v>
      </c>
      <c r="B953" t="s">
        <v>168</v>
      </c>
      <c r="C953" s="12" t="s">
        <v>109</v>
      </c>
      <c r="D953" t="s">
        <v>4</v>
      </c>
      <c r="E953" t="s">
        <v>6</v>
      </c>
      <c r="F953" t="s">
        <v>16</v>
      </c>
      <c r="G953" t="s">
        <v>181</v>
      </c>
      <c r="H953" s="94">
        <v>0.05</v>
      </c>
      <c r="I953" t="s">
        <v>60</v>
      </c>
      <c r="J953" t="s">
        <v>13</v>
      </c>
    </row>
    <row r="954" spans="1:10" x14ac:dyDescent="0.25">
      <c r="A954" t="s">
        <v>131</v>
      </c>
      <c r="B954" t="s">
        <v>168</v>
      </c>
      <c r="C954" s="12" t="s">
        <v>109</v>
      </c>
      <c r="D954" t="s">
        <v>4</v>
      </c>
      <c r="E954" t="s">
        <v>6</v>
      </c>
      <c r="F954" t="s">
        <v>16</v>
      </c>
      <c r="G954" t="s">
        <v>181</v>
      </c>
      <c r="H954" s="94">
        <v>0.05</v>
      </c>
      <c r="I954" t="s">
        <v>60</v>
      </c>
      <c r="J954" t="s">
        <v>63</v>
      </c>
    </row>
    <row r="955" spans="1:10" x14ac:dyDescent="0.25">
      <c r="A955" t="s">
        <v>131</v>
      </c>
      <c r="B955" t="s">
        <v>168</v>
      </c>
      <c r="C955" s="12" t="s">
        <v>109</v>
      </c>
      <c r="D955" t="s">
        <v>4</v>
      </c>
      <c r="E955" t="s">
        <v>6</v>
      </c>
      <c r="F955" t="s">
        <v>16</v>
      </c>
      <c r="G955" t="s">
        <v>181</v>
      </c>
      <c r="H955" s="94">
        <v>0.05</v>
      </c>
      <c r="I955" t="s">
        <v>60</v>
      </c>
      <c r="J955" t="s">
        <v>11</v>
      </c>
    </row>
    <row r="956" spans="1:10" x14ac:dyDescent="0.25">
      <c r="A956" t="s">
        <v>131</v>
      </c>
      <c r="B956" t="s">
        <v>168</v>
      </c>
      <c r="C956" s="12" t="s">
        <v>109</v>
      </c>
      <c r="D956" t="s">
        <v>4</v>
      </c>
      <c r="E956" t="s">
        <v>6</v>
      </c>
      <c r="F956" t="s">
        <v>8</v>
      </c>
      <c r="G956" t="s">
        <v>181</v>
      </c>
      <c r="H956" s="94">
        <v>0.02</v>
      </c>
      <c r="I956" t="s">
        <v>107</v>
      </c>
      <c r="J956" t="s">
        <v>13</v>
      </c>
    </row>
    <row r="957" spans="1:10" x14ac:dyDescent="0.25">
      <c r="A957" t="s">
        <v>131</v>
      </c>
      <c r="B957" t="s">
        <v>168</v>
      </c>
      <c r="C957" s="12" t="s">
        <v>109</v>
      </c>
      <c r="D957" t="s">
        <v>4</v>
      </c>
      <c r="E957" t="s">
        <v>6</v>
      </c>
      <c r="F957" t="s">
        <v>8</v>
      </c>
      <c r="G957" t="s">
        <v>181</v>
      </c>
      <c r="H957" s="94">
        <v>0.02</v>
      </c>
      <c r="I957" t="s">
        <v>107</v>
      </c>
      <c r="J957" t="s">
        <v>63</v>
      </c>
    </row>
    <row r="958" spans="1:10" x14ac:dyDescent="0.25">
      <c r="A958" t="s">
        <v>131</v>
      </c>
      <c r="B958" t="s">
        <v>168</v>
      </c>
      <c r="C958" s="12" t="s">
        <v>109</v>
      </c>
      <c r="D958" t="s">
        <v>4</v>
      </c>
      <c r="E958" t="s">
        <v>6</v>
      </c>
      <c r="F958" t="s">
        <v>8</v>
      </c>
      <c r="G958" t="s">
        <v>181</v>
      </c>
      <c r="H958" s="94">
        <v>0.02</v>
      </c>
      <c r="I958" t="s">
        <v>107</v>
      </c>
      <c r="J958" t="s">
        <v>11</v>
      </c>
    </row>
    <row r="959" spans="1:10" x14ac:dyDescent="0.25">
      <c r="A959" t="s">
        <v>131</v>
      </c>
      <c r="B959" t="s">
        <v>168</v>
      </c>
      <c r="C959" s="12" t="s">
        <v>109</v>
      </c>
      <c r="D959" t="s">
        <v>4</v>
      </c>
      <c r="E959" t="s">
        <v>6</v>
      </c>
      <c r="F959" t="s">
        <v>8</v>
      </c>
      <c r="G959" t="s">
        <v>181</v>
      </c>
      <c r="H959" s="94">
        <v>0.02</v>
      </c>
      <c r="I959" t="s">
        <v>62</v>
      </c>
      <c r="J959" t="s">
        <v>13</v>
      </c>
    </row>
    <row r="960" spans="1:10" x14ac:dyDescent="0.25">
      <c r="A960" t="s">
        <v>131</v>
      </c>
      <c r="B960" t="s">
        <v>168</v>
      </c>
      <c r="C960" s="12" t="s">
        <v>109</v>
      </c>
      <c r="D960" t="s">
        <v>4</v>
      </c>
      <c r="E960" t="s">
        <v>6</v>
      </c>
      <c r="F960" t="s">
        <v>8</v>
      </c>
      <c r="G960" t="s">
        <v>181</v>
      </c>
      <c r="H960" s="94">
        <v>0.02</v>
      </c>
      <c r="I960" t="s">
        <v>62</v>
      </c>
      <c r="J960" t="s">
        <v>63</v>
      </c>
    </row>
    <row r="961" spans="1:10" x14ac:dyDescent="0.25">
      <c r="A961" t="s">
        <v>131</v>
      </c>
      <c r="B961" t="s">
        <v>168</v>
      </c>
      <c r="C961" s="12" t="s">
        <v>109</v>
      </c>
      <c r="D961" t="s">
        <v>4</v>
      </c>
      <c r="E961" t="s">
        <v>6</v>
      </c>
      <c r="F961" t="s">
        <v>8</v>
      </c>
      <c r="G961" t="s">
        <v>181</v>
      </c>
      <c r="H961" s="94">
        <v>0.02</v>
      </c>
      <c r="I961" t="s">
        <v>62</v>
      </c>
      <c r="J961" t="s">
        <v>11</v>
      </c>
    </row>
    <row r="962" spans="1:10" x14ac:dyDescent="0.25">
      <c r="A962" t="s">
        <v>131</v>
      </c>
      <c r="B962" t="s">
        <v>168</v>
      </c>
      <c r="C962" s="12" t="s">
        <v>109</v>
      </c>
      <c r="D962" t="s">
        <v>4</v>
      </c>
      <c r="E962" t="s">
        <v>6</v>
      </c>
      <c r="F962" t="s">
        <v>8</v>
      </c>
      <c r="G962" t="s">
        <v>181</v>
      </c>
      <c r="H962" s="94">
        <v>0.02</v>
      </c>
      <c r="I962" t="s">
        <v>60</v>
      </c>
      <c r="J962" t="s">
        <v>13</v>
      </c>
    </row>
    <row r="963" spans="1:10" x14ac:dyDescent="0.25">
      <c r="A963" t="s">
        <v>131</v>
      </c>
      <c r="B963" t="s">
        <v>168</v>
      </c>
      <c r="C963" s="12" t="s">
        <v>109</v>
      </c>
      <c r="D963" t="s">
        <v>4</v>
      </c>
      <c r="E963" t="s">
        <v>6</v>
      </c>
      <c r="F963" t="s">
        <v>8</v>
      </c>
      <c r="G963" t="s">
        <v>181</v>
      </c>
      <c r="H963" s="94">
        <v>0.02</v>
      </c>
      <c r="I963" t="s">
        <v>60</v>
      </c>
      <c r="J963" t="s">
        <v>63</v>
      </c>
    </row>
    <row r="964" spans="1:10" x14ac:dyDescent="0.25">
      <c r="A964" t="s">
        <v>131</v>
      </c>
      <c r="B964" t="s">
        <v>168</v>
      </c>
      <c r="C964" s="12" t="s">
        <v>109</v>
      </c>
      <c r="D964" t="s">
        <v>4</v>
      </c>
      <c r="E964" t="s">
        <v>6</v>
      </c>
      <c r="F964" t="s">
        <v>8</v>
      </c>
      <c r="G964" t="s">
        <v>181</v>
      </c>
      <c r="H964" s="94">
        <v>0.02</v>
      </c>
      <c r="I964" t="s">
        <v>60</v>
      </c>
      <c r="J964" t="s">
        <v>11</v>
      </c>
    </row>
    <row r="965" spans="1:10" x14ac:dyDescent="0.25">
      <c r="A965" t="s">
        <v>131</v>
      </c>
      <c r="B965" t="s">
        <v>168</v>
      </c>
      <c r="C965" s="12" t="s">
        <v>109</v>
      </c>
      <c r="D965" t="s">
        <v>4</v>
      </c>
      <c r="E965" t="s">
        <v>6</v>
      </c>
      <c r="F965" t="s">
        <v>8</v>
      </c>
      <c r="G965" t="s">
        <v>181</v>
      </c>
      <c r="H965" s="94">
        <v>0.05</v>
      </c>
      <c r="I965" t="s">
        <v>107</v>
      </c>
      <c r="J965" t="s">
        <v>13</v>
      </c>
    </row>
    <row r="966" spans="1:10" x14ac:dyDescent="0.25">
      <c r="A966" t="s">
        <v>131</v>
      </c>
      <c r="B966" t="s">
        <v>168</v>
      </c>
      <c r="C966" s="12" t="s">
        <v>109</v>
      </c>
      <c r="D966" t="s">
        <v>4</v>
      </c>
      <c r="E966" t="s">
        <v>6</v>
      </c>
      <c r="F966" t="s">
        <v>8</v>
      </c>
      <c r="G966" t="s">
        <v>181</v>
      </c>
      <c r="H966" s="94">
        <v>0.05</v>
      </c>
      <c r="I966" t="s">
        <v>107</v>
      </c>
      <c r="J966" t="s">
        <v>63</v>
      </c>
    </row>
    <row r="967" spans="1:10" x14ac:dyDescent="0.25">
      <c r="A967" t="s">
        <v>131</v>
      </c>
      <c r="B967" t="s">
        <v>168</v>
      </c>
      <c r="C967" s="12" t="s">
        <v>109</v>
      </c>
      <c r="D967" t="s">
        <v>4</v>
      </c>
      <c r="E967" t="s">
        <v>6</v>
      </c>
      <c r="F967" t="s">
        <v>8</v>
      </c>
      <c r="G967" t="s">
        <v>181</v>
      </c>
      <c r="H967" s="94">
        <v>0.05</v>
      </c>
      <c r="I967" t="s">
        <v>107</v>
      </c>
      <c r="J967" t="s">
        <v>11</v>
      </c>
    </row>
    <row r="968" spans="1:10" x14ac:dyDescent="0.25">
      <c r="A968" t="s">
        <v>131</v>
      </c>
      <c r="B968" t="s">
        <v>168</v>
      </c>
      <c r="C968" s="12" t="s">
        <v>109</v>
      </c>
      <c r="D968" t="s">
        <v>4</v>
      </c>
      <c r="E968" t="s">
        <v>6</v>
      </c>
      <c r="F968" t="s">
        <v>8</v>
      </c>
      <c r="G968" t="s">
        <v>181</v>
      </c>
      <c r="H968" s="94">
        <v>0.05</v>
      </c>
      <c r="I968" t="s">
        <v>62</v>
      </c>
      <c r="J968" t="s">
        <v>13</v>
      </c>
    </row>
    <row r="969" spans="1:10" x14ac:dyDescent="0.25">
      <c r="A969" t="s">
        <v>131</v>
      </c>
      <c r="B969" t="s">
        <v>168</v>
      </c>
      <c r="C969" s="12" t="s">
        <v>109</v>
      </c>
      <c r="D969" t="s">
        <v>4</v>
      </c>
      <c r="E969" t="s">
        <v>6</v>
      </c>
      <c r="F969" t="s">
        <v>8</v>
      </c>
      <c r="G969" t="s">
        <v>181</v>
      </c>
      <c r="H969" s="94">
        <v>0.05</v>
      </c>
      <c r="I969" t="s">
        <v>62</v>
      </c>
      <c r="J969" t="s">
        <v>63</v>
      </c>
    </row>
    <row r="970" spans="1:10" x14ac:dyDescent="0.25">
      <c r="A970" t="s">
        <v>131</v>
      </c>
      <c r="B970" t="s">
        <v>168</v>
      </c>
      <c r="C970" s="12" t="s">
        <v>109</v>
      </c>
      <c r="D970" t="s">
        <v>4</v>
      </c>
      <c r="E970" t="s">
        <v>6</v>
      </c>
      <c r="F970" t="s">
        <v>8</v>
      </c>
      <c r="G970" t="s">
        <v>181</v>
      </c>
      <c r="H970" s="94">
        <v>0.05</v>
      </c>
      <c r="I970" t="s">
        <v>62</v>
      </c>
      <c r="J970" t="s">
        <v>11</v>
      </c>
    </row>
    <row r="971" spans="1:10" x14ac:dyDescent="0.25">
      <c r="A971" t="s">
        <v>131</v>
      </c>
      <c r="B971" t="s">
        <v>168</v>
      </c>
      <c r="C971" s="12" t="s">
        <v>109</v>
      </c>
      <c r="D971" t="s">
        <v>4</v>
      </c>
      <c r="E971" t="s">
        <v>6</v>
      </c>
      <c r="F971" t="s">
        <v>8</v>
      </c>
      <c r="G971" t="s">
        <v>181</v>
      </c>
      <c r="H971" s="94">
        <v>0.05</v>
      </c>
      <c r="I971" t="s">
        <v>60</v>
      </c>
      <c r="J971" t="s">
        <v>13</v>
      </c>
    </row>
    <row r="972" spans="1:10" x14ac:dyDescent="0.25">
      <c r="A972" t="s">
        <v>131</v>
      </c>
      <c r="B972" t="s">
        <v>168</v>
      </c>
      <c r="C972" s="12" t="s">
        <v>109</v>
      </c>
      <c r="D972" t="s">
        <v>4</v>
      </c>
      <c r="E972" t="s">
        <v>6</v>
      </c>
      <c r="F972" t="s">
        <v>8</v>
      </c>
      <c r="G972" t="s">
        <v>181</v>
      </c>
      <c r="H972" s="94">
        <v>0.05</v>
      </c>
      <c r="I972" t="s">
        <v>60</v>
      </c>
      <c r="J972" t="s">
        <v>63</v>
      </c>
    </row>
    <row r="973" spans="1:10" x14ac:dyDescent="0.25">
      <c r="A973" t="s">
        <v>131</v>
      </c>
      <c r="B973" t="s">
        <v>168</v>
      </c>
      <c r="C973" s="12" t="s">
        <v>109</v>
      </c>
      <c r="D973" t="s">
        <v>4</v>
      </c>
      <c r="E973" t="s">
        <v>6</v>
      </c>
      <c r="F973" t="s">
        <v>8</v>
      </c>
      <c r="G973" t="s">
        <v>181</v>
      </c>
      <c r="H973" s="94">
        <v>0.05</v>
      </c>
      <c r="I973" t="s">
        <v>60</v>
      </c>
      <c r="J973" t="s">
        <v>11</v>
      </c>
    </row>
    <row r="974" spans="1:10" x14ac:dyDescent="0.25">
      <c r="A974" t="s">
        <v>132</v>
      </c>
      <c r="B974" t="s">
        <v>14</v>
      </c>
      <c r="C974" s="12" t="s">
        <v>109</v>
      </c>
      <c r="D974" t="s">
        <v>4</v>
      </c>
      <c r="E974" t="s">
        <v>12</v>
      </c>
      <c r="F974" t="s">
        <v>72</v>
      </c>
      <c r="G974" t="s">
        <v>166</v>
      </c>
      <c r="H974" s="94">
        <v>0.22500000000000001</v>
      </c>
      <c r="I974" t="s">
        <v>107</v>
      </c>
      <c r="J974" t="s">
        <v>13</v>
      </c>
    </row>
    <row r="975" spans="1:10" x14ac:dyDescent="0.25">
      <c r="A975" t="s">
        <v>132</v>
      </c>
      <c r="B975" t="s">
        <v>14</v>
      </c>
      <c r="C975" s="12" t="s">
        <v>109</v>
      </c>
      <c r="D975" t="s">
        <v>4</v>
      </c>
      <c r="E975" t="s">
        <v>12</v>
      </c>
      <c r="F975" t="s">
        <v>72</v>
      </c>
      <c r="G975" t="s">
        <v>166</v>
      </c>
      <c r="H975" s="94">
        <v>0.22500000000000001</v>
      </c>
      <c r="I975" t="s">
        <v>107</v>
      </c>
      <c r="J975" t="s">
        <v>63</v>
      </c>
    </row>
    <row r="976" spans="1:10" x14ac:dyDescent="0.25">
      <c r="A976" t="s">
        <v>132</v>
      </c>
      <c r="B976" t="s">
        <v>14</v>
      </c>
      <c r="C976" s="12" t="s">
        <v>109</v>
      </c>
      <c r="D976" t="s">
        <v>4</v>
      </c>
      <c r="E976" t="s">
        <v>12</v>
      </c>
      <c r="F976" t="s">
        <v>72</v>
      </c>
      <c r="G976" t="s">
        <v>166</v>
      </c>
      <c r="H976" s="94">
        <v>0.22500000000000001</v>
      </c>
      <c r="I976" t="s">
        <v>107</v>
      </c>
      <c r="J976" t="s">
        <v>11</v>
      </c>
    </row>
    <row r="977" spans="1:10" x14ac:dyDescent="0.25">
      <c r="A977" t="s">
        <v>132</v>
      </c>
      <c r="B977" t="s">
        <v>14</v>
      </c>
      <c r="C977" s="12" t="s">
        <v>109</v>
      </c>
      <c r="D977" t="s">
        <v>4</v>
      </c>
      <c r="E977" t="s">
        <v>12</v>
      </c>
      <c r="F977" t="s">
        <v>72</v>
      </c>
      <c r="G977" t="s">
        <v>166</v>
      </c>
      <c r="H977" s="94">
        <v>0.22500000000000001</v>
      </c>
      <c r="I977" t="s">
        <v>62</v>
      </c>
      <c r="J977" t="s">
        <v>13</v>
      </c>
    </row>
    <row r="978" spans="1:10" x14ac:dyDescent="0.25">
      <c r="A978" t="s">
        <v>132</v>
      </c>
      <c r="B978" t="s">
        <v>14</v>
      </c>
      <c r="C978" s="12" t="s">
        <v>109</v>
      </c>
      <c r="D978" t="s">
        <v>4</v>
      </c>
      <c r="E978" t="s">
        <v>12</v>
      </c>
      <c r="F978" t="s">
        <v>72</v>
      </c>
      <c r="G978" t="s">
        <v>166</v>
      </c>
      <c r="H978" s="94">
        <v>0.22500000000000001</v>
      </c>
      <c r="I978" t="s">
        <v>62</v>
      </c>
      <c r="J978" t="s">
        <v>63</v>
      </c>
    </row>
    <row r="979" spans="1:10" x14ac:dyDescent="0.25">
      <c r="A979" t="s">
        <v>132</v>
      </c>
      <c r="B979" t="s">
        <v>14</v>
      </c>
      <c r="C979" s="12" t="s">
        <v>109</v>
      </c>
      <c r="D979" t="s">
        <v>4</v>
      </c>
      <c r="E979" t="s">
        <v>12</v>
      </c>
      <c r="F979" t="s">
        <v>72</v>
      </c>
      <c r="G979" t="s">
        <v>166</v>
      </c>
      <c r="H979" s="94">
        <v>0.22500000000000001</v>
      </c>
      <c r="I979" t="s">
        <v>62</v>
      </c>
      <c r="J979" t="s">
        <v>11</v>
      </c>
    </row>
    <row r="980" spans="1:10" x14ac:dyDescent="0.25">
      <c r="A980" t="s">
        <v>132</v>
      </c>
      <c r="B980" t="s">
        <v>14</v>
      </c>
      <c r="C980" s="12" t="s">
        <v>109</v>
      </c>
      <c r="D980" t="s">
        <v>4</v>
      </c>
      <c r="E980" t="s">
        <v>12</v>
      </c>
      <c r="F980" t="s">
        <v>72</v>
      </c>
      <c r="G980" t="s">
        <v>166</v>
      </c>
      <c r="H980" s="94">
        <v>0.22500000000000001</v>
      </c>
      <c r="I980" t="s">
        <v>60</v>
      </c>
      <c r="J980" t="s">
        <v>13</v>
      </c>
    </row>
    <row r="981" spans="1:10" x14ac:dyDescent="0.25">
      <c r="A981" t="s">
        <v>132</v>
      </c>
      <c r="B981" t="s">
        <v>14</v>
      </c>
      <c r="C981" s="12" t="s">
        <v>109</v>
      </c>
      <c r="D981" t="s">
        <v>4</v>
      </c>
      <c r="E981" t="s">
        <v>12</v>
      </c>
      <c r="F981" t="s">
        <v>72</v>
      </c>
      <c r="G981" t="s">
        <v>166</v>
      </c>
      <c r="H981" s="94">
        <v>0.22500000000000001</v>
      </c>
      <c r="I981" t="s">
        <v>60</v>
      </c>
      <c r="J981" t="s">
        <v>63</v>
      </c>
    </row>
    <row r="982" spans="1:10" x14ac:dyDescent="0.25">
      <c r="A982" t="s">
        <v>132</v>
      </c>
      <c r="B982" t="s">
        <v>14</v>
      </c>
      <c r="C982" s="12" t="s">
        <v>109</v>
      </c>
      <c r="D982" t="s">
        <v>4</v>
      </c>
      <c r="E982" t="s">
        <v>12</v>
      </c>
      <c r="F982" t="s">
        <v>72</v>
      </c>
      <c r="G982" t="s">
        <v>166</v>
      </c>
      <c r="H982" s="94">
        <v>0.22500000000000001</v>
      </c>
      <c r="I982" t="s">
        <v>60</v>
      </c>
      <c r="J982" t="s">
        <v>11</v>
      </c>
    </row>
    <row r="983" spans="1:10" x14ac:dyDescent="0.25">
      <c r="A983" t="s">
        <v>132</v>
      </c>
      <c r="B983" t="s">
        <v>14</v>
      </c>
      <c r="C983" s="12" t="s">
        <v>109</v>
      </c>
      <c r="D983" t="s">
        <v>4</v>
      </c>
      <c r="E983" t="s">
        <v>12</v>
      </c>
      <c r="F983" t="s">
        <v>72</v>
      </c>
      <c r="G983" t="s">
        <v>166</v>
      </c>
      <c r="H983" s="94">
        <v>0.43</v>
      </c>
      <c r="I983" t="s">
        <v>107</v>
      </c>
      <c r="J983" t="s">
        <v>13</v>
      </c>
    </row>
    <row r="984" spans="1:10" x14ac:dyDescent="0.25">
      <c r="A984" t="s">
        <v>132</v>
      </c>
      <c r="B984" t="s">
        <v>14</v>
      </c>
      <c r="C984" s="12" t="s">
        <v>109</v>
      </c>
      <c r="D984" t="s">
        <v>4</v>
      </c>
      <c r="E984" t="s">
        <v>12</v>
      </c>
      <c r="F984" t="s">
        <v>72</v>
      </c>
      <c r="G984" t="s">
        <v>166</v>
      </c>
      <c r="H984" s="94">
        <v>0.43</v>
      </c>
      <c r="I984" t="s">
        <v>107</v>
      </c>
      <c r="J984" t="s">
        <v>63</v>
      </c>
    </row>
    <row r="985" spans="1:10" x14ac:dyDescent="0.25">
      <c r="A985" t="s">
        <v>132</v>
      </c>
      <c r="B985" t="s">
        <v>14</v>
      </c>
      <c r="C985" s="12" t="s">
        <v>109</v>
      </c>
      <c r="D985" t="s">
        <v>4</v>
      </c>
      <c r="E985" t="s">
        <v>12</v>
      </c>
      <c r="F985" t="s">
        <v>72</v>
      </c>
      <c r="G985" t="s">
        <v>166</v>
      </c>
      <c r="H985" s="94">
        <v>0.43</v>
      </c>
      <c r="I985" t="s">
        <v>107</v>
      </c>
      <c r="J985" t="s">
        <v>11</v>
      </c>
    </row>
    <row r="986" spans="1:10" x14ac:dyDescent="0.25">
      <c r="A986" t="s">
        <v>132</v>
      </c>
      <c r="B986" t="s">
        <v>14</v>
      </c>
      <c r="C986" s="12" t="s">
        <v>109</v>
      </c>
      <c r="D986" t="s">
        <v>4</v>
      </c>
      <c r="E986" t="s">
        <v>12</v>
      </c>
      <c r="F986" t="s">
        <v>72</v>
      </c>
      <c r="G986" t="s">
        <v>166</v>
      </c>
      <c r="H986" s="94">
        <v>0.43</v>
      </c>
      <c r="I986" t="s">
        <v>62</v>
      </c>
      <c r="J986" t="s">
        <v>13</v>
      </c>
    </row>
    <row r="987" spans="1:10" x14ac:dyDescent="0.25">
      <c r="A987" t="s">
        <v>132</v>
      </c>
      <c r="B987" t="s">
        <v>14</v>
      </c>
      <c r="C987" s="12" t="s">
        <v>109</v>
      </c>
      <c r="D987" t="s">
        <v>4</v>
      </c>
      <c r="E987" t="s">
        <v>12</v>
      </c>
      <c r="F987" t="s">
        <v>72</v>
      </c>
      <c r="G987" t="s">
        <v>166</v>
      </c>
      <c r="H987" s="94">
        <v>0.43</v>
      </c>
      <c r="I987" t="s">
        <v>62</v>
      </c>
      <c r="J987" t="s">
        <v>63</v>
      </c>
    </row>
    <row r="988" spans="1:10" x14ac:dyDescent="0.25">
      <c r="A988" t="s">
        <v>132</v>
      </c>
      <c r="B988" t="s">
        <v>14</v>
      </c>
      <c r="C988" s="12" t="s">
        <v>109</v>
      </c>
      <c r="D988" t="s">
        <v>4</v>
      </c>
      <c r="E988" t="s">
        <v>12</v>
      </c>
      <c r="F988" t="s">
        <v>72</v>
      </c>
      <c r="G988" t="s">
        <v>166</v>
      </c>
      <c r="H988" s="94">
        <v>0.43</v>
      </c>
      <c r="I988" t="s">
        <v>62</v>
      </c>
      <c r="J988" t="s">
        <v>11</v>
      </c>
    </row>
    <row r="989" spans="1:10" x14ac:dyDescent="0.25">
      <c r="A989" t="s">
        <v>132</v>
      </c>
      <c r="B989" t="s">
        <v>14</v>
      </c>
      <c r="C989" s="12" t="s">
        <v>109</v>
      </c>
      <c r="D989" t="s">
        <v>4</v>
      </c>
      <c r="E989" t="s">
        <v>12</v>
      </c>
      <c r="F989" t="s">
        <v>72</v>
      </c>
      <c r="G989" t="s">
        <v>166</v>
      </c>
      <c r="H989" s="94">
        <v>0.43</v>
      </c>
      <c r="I989" t="s">
        <v>60</v>
      </c>
      <c r="J989" t="s">
        <v>13</v>
      </c>
    </row>
    <row r="990" spans="1:10" x14ac:dyDescent="0.25">
      <c r="A990" t="s">
        <v>132</v>
      </c>
      <c r="B990" t="s">
        <v>14</v>
      </c>
      <c r="C990" s="12" t="s">
        <v>109</v>
      </c>
      <c r="D990" t="s">
        <v>4</v>
      </c>
      <c r="E990" t="s">
        <v>12</v>
      </c>
      <c r="F990" t="s">
        <v>72</v>
      </c>
      <c r="G990" t="s">
        <v>166</v>
      </c>
      <c r="H990" s="94">
        <v>0.43</v>
      </c>
      <c r="I990" t="s">
        <v>60</v>
      </c>
      <c r="J990" t="s">
        <v>63</v>
      </c>
    </row>
    <row r="991" spans="1:10" x14ac:dyDescent="0.25">
      <c r="A991" t="s">
        <v>132</v>
      </c>
      <c r="B991" t="s">
        <v>14</v>
      </c>
      <c r="C991" s="12" t="s">
        <v>109</v>
      </c>
      <c r="D991" t="s">
        <v>4</v>
      </c>
      <c r="E991" t="s">
        <v>12</v>
      </c>
      <c r="F991" t="s">
        <v>72</v>
      </c>
      <c r="G991" t="s">
        <v>166</v>
      </c>
      <c r="H991" s="94">
        <v>0.43</v>
      </c>
      <c r="I991" t="s">
        <v>60</v>
      </c>
      <c r="J991" t="s">
        <v>11</v>
      </c>
    </row>
    <row r="992" spans="1:10" x14ac:dyDescent="0.25">
      <c r="A992" t="s">
        <v>132</v>
      </c>
      <c r="B992" t="s">
        <v>14</v>
      </c>
      <c r="C992" s="12" t="s">
        <v>109</v>
      </c>
      <c r="D992" t="s">
        <v>4</v>
      </c>
      <c r="E992" t="s">
        <v>12</v>
      </c>
      <c r="F992" t="s">
        <v>16</v>
      </c>
      <c r="G992" t="s">
        <v>166</v>
      </c>
      <c r="H992" s="94">
        <v>0.22500000000000001</v>
      </c>
      <c r="I992" t="s">
        <v>107</v>
      </c>
      <c r="J992" t="s">
        <v>13</v>
      </c>
    </row>
    <row r="993" spans="1:10" x14ac:dyDescent="0.25">
      <c r="A993" t="s">
        <v>132</v>
      </c>
      <c r="B993" t="s">
        <v>14</v>
      </c>
      <c r="C993" s="12" t="s">
        <v>109</v>
      </c>
      <c r="D993" t="s">
        <v>4</v>
      </c>
      <c r="E993" t="s">
        <v>12</v>
      </c>
      <c r="F993" t="s">
        <v>16</v>
      </c>
      <c r="G993" t="s">
        <v>166</v>
      </c>
      <c r="H993" s="94">
        <v>0.22500000000000001</v>
      </c>
      <c r="I993" t="s">
        <v>107</v>
      </c>
      <c r="J993" t="s">
        <v>63</v>
      </c>
    </row>
    <row r="994" spans="1:10" x14ac:dyDescent="0.25">
      <c r="A994" t="s">
        <v>132</v>
      </c>
      <c r="B994" t="s">
        <v>14</v>
      </c>
      <c r="C994" s="12" t="s">
        <v>109</v>
      </c>
      <c r="D994" t="s">
        <v>4</v>
      </c>
      <c r="E994" t="s">
        <v>12</v>
      </c>
      <c r="F994" t="s">
        <v>16</v>
      </c>
      <c r="G994" t="s">
        <v>166</v>
      </c>
      <c r="H994" s="94">
        <v>0.22500000000000001</v>
      </c>
      <c r="I994" t="s">
        <v>107</v>
      </c>
      <c r="J994" t="s">
        <v>11</v>
      </c>
    </row>
    <row r="995" spans="1:10" x14ac:dyDescent="0.25">
      <c r="A995" t="s">
        <v>132</v>
      </c>
      <c r="B995" t="s">
        <v>14</v>
      </c>
      <c r="C995" s="12" t="s">
        <v>109</v>
      </c>
      <c r="D995" t="s">
        <v>4</v>
      </c>
      <c r="E995" t="s">
        <v>12</v>
      </c>
      <c r="F995" t="s">
        <v>16</v>
      </c>
      <c r="G995" t="s">
        <v>166</v>
      </c>
      <c r="H995" s="94">
        <v>0.22500000000000001</v>
      </c>
      <c r="I995" t="s">
        <v>62</v>
      </c>
      <c r="J995" t="s">
        <v>13</v>
      </c>
    </row>
    <row r="996" spans="1:10" x14ac:dyDescent="0.25">
      <c r="A996" t="s">
        <v>132</v>
      </c>
      <c r="B996" t="s">
        <v>14</v>
      </c>
      <c r="C996" s="12" t="s">
        <v>109</v>
      </c>
      <c r="D996" t="s">
        <v>4</v>
      </c>
      <c r="E996" t="s">
        <v>12</v>
      </c>
      <c r="F996" t="s">
        <v>16</v>
      </c>
      <c r="G996" t="s">
        <v>166</v>
      </c>
      <c r="H996" s="94">
        <v>0.22500000000000001</v>
      </c>
      <c r="I996" t="s">
        <v>62</v>
      </c>
      <c r="J996" t="s">
        <v>63</v>
      </c>
    </row>
    <row r="997" spans="1:10" x14ac:dyDescent="0.25">
      <c r="A997" t="s">
        <v>132</v>
      </c>
      <c r="B997" t="s">
        <v>14</v>
      </c>
      <c r="C997" s="12" t="s">
        <v>109</v>
      </c>
      <c r="D997" t="s">
        <v>4</v>
      </c>
      <c r="E997" t="s">
        <v>12</v>
      </c>
      <c r="F997" t="s">
        <v>16</v>
      </c>
      <c r="G997" t="s">
        <v>166</v>
      </c>
      <c r="H997" s="94">
        <v>0.22500000000000001</v>
      </c>
      <c r="I997" t="s">
        <v>62</v>
      </c>
      <c r="J997" t="s">
        <v>11</v>
      </c>
    </row>
    <row r="998" spans="1:10" x14ac:dyDescent="0.25">
      <c r="A998" t="s">
        <v>132</v>
      </c>
      <c r="B998" t="s">
        <v>14</v>
      </c>
      <c r="C998" s="12" t="s">
        <v>109</v>
      </c>
      <c r="D998" t="s">
        <v>4</v>
      </c>
      <c r="E998" t="s">
        <v>12</v>
      </c>
      <c r="F998" t="s">
        <v>16</v>
      </c>
      <c r="G998" t="s">
        <v>166</v>
      </c>
      <c r="H998" s="94">
        <v>0.22500000000000001</v>
      </c>
      <c r="I998" t="s">
        <v>60</v>
      </c>
      <c r="J998" t="s">
        <v>13</v>
      </c>
    </row>
    <row r="999" spans="1:10" x14ac:dyDescent="0.25">
      <c r="A999" t="s">
        <v>132</v>
      </c>
      <c r="B999" t="s">
        <v>14</v>
      </c>
      <c r="C999" s="12" t="s">
        <v>109</v>
      </c>
      <c r="D999" t="s">
        <v>4</v>
      </c>
      <c r="E999" t="s">
        <v>12</v>
      </c>
      <c r="F999" t="s">
        <v>16</v>
      </c>
      <c r="G999" t="s">
        <v>166</v>
      </c>
      <c r="H999" s="94">
        <v>0.22500000000000001</v>
      </c>
      <c r="I999" t="s">
        <v>60</v>
      </c>
      <c r="J999" t="s">
        <v>63</v>
      </c>
    </row>
    <row r="1000" spans="1:10" x14ac:dyDescent="0.25">
      <c r="A1000" t="s">
        <v>132</v>
      </c>
      <c r="B1000" t="s">
        <v>14</v>
      </c>
      <c r="C1000" s="12" t="s">
        <v>109</v>
      </c>
      <c r="D1000" t="s">
        <v>4</v>
      </c>
      <c r="E1000" t="s">
        <v>12</v>
      </c>
      <c r="F1000" t="s">
        <v>16</v>
      </c>
      <c r="G1000" t="s">
        <v>166</v>
      </c>
      <c r="H1000" s="94">
        <v>0.22500000000000001</v>
      </c>
      <c r="I1000" t="s">
        <v>60</v>
      </c>
      <c r="J1000" t="s">
        <v>11</v>
      </c>
    </row>
    <row r="1001" spans="1:10" x14ac:dyDescent="0.25">
      <c r="A1001" t="s">
        <v>132</v>
      </c>
      <c r="B1001" t="s">
        <v>14</v>
      </c>
      <c r="C1001" s="12" t="s">
        <v>109</v>
      </c>
      <c r="D1001" t="s">
        <v>4</v>
      </c>
      <c r="E1001" t="s">
        <v>12</v>
      </c>
      <c r="F1001" t="s">
        <v>16</v>
      </c>
      <c r="G1001" t="s">
        <v>166</v>
      </c>
      <c r="H1001" s="94">
        <v>0.43</v>
      </c>
      <c r="I1001" t="s">
        <v>107</v>
      </c>
      <c r="J1001" t="s">
        <v>13</v>
      </c>
    </row>
    <row r="1002" spans="1:10" x14ac:dyDescent="0.25">
      <c r="A1002" t="s">
        <v>132</v>
      </c>
      <c r="B1002" t="s">
        <v>14</v>
      </c>
      <c r="C1002" s="12" t="s">
        <v>109</v>
      </c>
      <c r="D1002" t="s">
        <v>4</v>
      </c>
      <c r="E1002" t="s">
        <v>12</v>
      </c>
      <c r="F1002" t="s">
        <v>16</v>
      </c>
      <c r="G1002" t="s">
        <v>166</v>
      </c>
      <c r="H1002" s="94">
        <v>0.43</v>
      </c>
      <c r="I1002" t="s">
        <v>107</v>
      </c>
      <c r="J1002" t="s">
        <v>63</v>
      </c>
    </row>
    <row r="1003" spans="1:10" x14ac:dyDescent="0.25">
      <c r="A1003" t="s">
        <v>132</v>
      </c>
      <c r="B1003" t="s">
        <v>14</v>
      </c>
      <c r="C1003" s="12" t="s">
        <v>109</v>
      </c>
      <c r="D1003" t="s">
        <v>4</v>
      </c>
      <c r="E1003" t="s">
        <v>12</v>
      </c>
      <c r="F1003" t="s">
        <v>16</v>
      </c>
      <c r="G1003" t="s">
        <v>166</v>
      </c>
      <c r="H1003" s="94">
        <v>0.43</v>
      </c>
      <c r="I1003" t="s">
        <v>107</v>
      </c>
      <c r="J1003" t="s">
        <v>11</v>
      </c>
    </row>
    <row r="1004" spans="1:10" x14ac:dyDescent="0.25">
      <c r="A1004" t="s">
        <v>132</v>
      </c>
      <c r="B1004" t="s">
        <v>14</v>
      </c>
      <c r="C1004" s="12" t="s">
        <v>109</v>
      </c>
      <c r="D1004" t="s">
        <v>4</v>
      </c>
      <c r="E1004" t="s">
        <v>12</v>
      </c>
      <c r="F1004" t="s">
        <v>16</v>
      </c>
      <c r="G1004" t="s">
        <v>166</v>
      </c>
      <c r="H1004" s="94">
        <v>0.43</v>
      </c>
      <c r="I1004" t="s">
        <v>62</v>
      </c>
      <c r="J1004" t="s">
        <v>13</v>
      </c>
    </row>
    <row r="1005" spans="1:10" x14ac:dyDescent="0.25">
      <c r="A1005" t="s">
        <v>132</v>
      </c>
      <c r="B1005" t="s">
        <v>14</v>
      </c>
      <c r="C1005" s="12" t="s">
        <v>109</v>
      </c>
      <c r="D1005" t="s">
        <v>4</v>
      </c>
      <c r="E1005" t="s">
        <v>12</v>
      </c>
      <c r="F1005" t="s">
        <v>16</v>
      </c>
      <c r="G1005" t="s">
        <v>166</v>
      </c>
      <c r="H1005" s="94">
        <v>0.43</v>
      </c>
      <c r="I1005" t="s">
        <v>62</v>
      </c>
      <c r="J1005" t="s">
        <v>63</v>
      </c>
    </row>
    <row r="1006" spans="1:10" x14ac:dyDescent="0.25">
      <c r="A1006" t="s">
        <v>132</v>
      </c>
      <c r="B1006" t="s">
        <v>14</v>
      </c>
      <c r="C1006" s="12" t="s">
        <v>109</v>
      </c>
      <c r="D1006" t="s">
        <v>4</v>
      </c>
      <c r="E1006" t="s">
        <v>12</v>
      </c>
      <c r="F1006" t="s">
        <v>16</v>
      </c>
      <c r="G1006" t="s">
        <v>166</v>
      </c>
      <c r="H1006" s="94">
        <v>0.43</v>
      </c>
      <c r="I1006" t="s">
        <v>62</v>
      </c>
      <c r="J1006" t="s">
        <v>11</v>
      </c>
    </row>
    <row r="1007" spans="1:10" x14ac:dyDescent="0.25">
      <c r="A1007" t="s">
        <v>132</v>
      </c>
      <c r="B1007" t="s">
        <v>14</v>
      </c>
      <c r="C1007" s="12" t="s">
        <v>109</v>
      </c>
      <c r="D1007" t="s">
        <v>4</v>
      </c>
      <c r="E1007" t="s">
        <v>12</v>
      </c>
      <c r="F1007" t="s">
        <v>16</v>
      </c>
      <c r="G1007" t="s">
        <v>166</v>
      </c>
      <c r="H1007" s="94">
        <v>0.43</v>
      </c>
      <c r="I1007" t="s">
        <v>60</v>
      </c>
      <c r="J1007" t="s">
        <v>13</v>
      </c>
    </row>
    <row r="1008" spans="1:10" x14ac:dyDescent="0.25">
      <c r="A1008" t="s">
        <v>132</v>
      </c>
      <c r="B1008" t="s">
        <v>14</v>
      </c>
      <c r="C1008" s="12" t="s">
        <v>109</v>
      </c>
      <c r="D1008" t="s">
        <v>4</v>
      </c>
      <c r="E1008" t="s">
        <v>12</v>
      </c>
      <c r="F1008" t="s">
        <v>16</v>
      </c>
      <c r="G1008" t="s">
        <v>166</v>
      </c>
      <c r="H1008" s="94">
        <v>0.43</v>
      </c>
      <c r="I1008" t="s">
        <v>60</v>
      </c>
      <c r="J1008" t="s">
        <v>63</v>
      </c>
    </row>
    <row r="1009" spans="1:10" x14ac:dyDescent="0.25">
      <c r="A1009" t="s">
        <v>132</v>
      </c>
      <c r="B1009" t="s">
        <v>14</v>
      </c>
      <c r="C1009" s="12" t="s">
        <v>109</v>
      </c>
      <c r="D1009" t="s">
        <v>4</v>
      </c>
      <c r="E1009" t="s">
        <v>12</v>
      </c>
      <c r="F1009" t="s">
        <v>16</v>
      </c>
      <c r="G1009" t="s">
        <v>166</v>
      </c>
      <c r="H1009" s="94">
        <v>0.43</v>
      </c>
      <c r="I1009" t="s">
        <v>60</v>
      </c>
      <c r="J1009" t="s">
        <v>11</v>
      </c>
    </row>
    <row r="1010" spans="1:10" x14ac:dyDescent="0.25">
      <c r="A1010" t="s">
        <v>132</v>
      </c>
      <c r="B1010" t="s">
        <v>14</v>
      </c>
      <c r="C1010" s="12" t="s">
        <v>109</v>
      </c>
      <c r="D1010" t="s">
        <v>4</v>
      </c>
      <c r="E1010" t="s">
        <v>12</v>
      </c>
      <c r="F1010" t="s">
        <v>8</v>
      </c>
      <c r="G1010" t="s">
        <v>166</v>
      </c>
      <c r="H1010" s="94">
        <v>0.22500000000000001</v>
      </c>
      <c r="I1010" t="s">
        <v>107</v>
      </c>
      <c r="J1010" t="s">
        <v>13</v>
      </c>
    </row>
    <row r="1011" spans="1:10" x14ac:dyDescent="0.25">
      <c r="A1011" t="s">
        <v>132</v>
      </c>
      <c r="B1011" t="s">
        <v>14</v>
      </c>
      <c r="C1011" s="12" t="s">
        <v>109</v>
      </c>
      <c r="D1011" t="s">
        <v>4</v>
      </c>
      <c r="E1011" t="s">
        <v>12</v>
      </c>
      <c r="F1011" t="s">
        <v>8</v>
      </c>
      <c r="G1011" t="s">
        <v>166</v>
      </c>
      <c r="H1011" s="94">
        <v>0.22500000000000001</v>
      </c>
      <c r="I1011" t="s">
        <v>107</v>
      </c>
      <c r="J1011" t="s">
        <v>63</v>
      </c>
    </row>
    <row r="1012" spans="1:10" x14ac:dyDescent="0.25">
      <c r="A1012" t="s">
        <v>132</v>
      </c>
      <c r="B1012" t="s">
        <v>14</v>
      </c>
      <c r="C1012" s="12" t="s">
        <v>109</v>
      </c>
      <c r="D1012" t="s">
        <v>4</v>
      </c>
      <c r="E1012" t="s">
        <v>12</v>
      </c>
      <c r="F1012" t="s">
        <v>8</v>
      </c>
      <c r="G1012" t="s">
        <v>166</v>
      </c>
      <c r="H1012" s="94">
        <v>0.22500000000000001</v>
      </c>
      <c r="I1012" t="s">
        <v>107</v>
      </c>
      <c r="J1012" t="s">
        <v>11</v>
      </c>
    </row>
    <row r="1013" spans="1:10" x14ac:dyDescent="0.25">
      <c r="A1013" t="s">
        <v>132</v>
      </c>
      <c r="B1013" t="s">
        <v>14</v>
      </c>
      <c r="C1013" s="12" t="s">
        <v>109</v>
      </c>
      <c r="D1013" t="s">
        <v>4</v>
      </c>
      <c r="E1013" t="s">
        <v>12</v>
      </c>
      <c r="F1013" t="s">
        <v>8</v>
      </c>
      <c r="G1013" t="s">
        <v>166</v>
      </c>
      <c r="H1013" s="94">
        <v>0.22500000000000001</v>
      </c>
      <c r="I1013" t="s">
        <v>62</v>
      </c>
      <c r="J1013" t="s">
        <v>13</v>
      </c>
    </row>
    <row r="1014" spans="1:10" x14ac:dyDescent="0.25">
      <c r="A1014" t="s">
        <v>132</v>
      </c>
      <c r="B1014" t="s">
        <v>14</v>
      </c>
      <c r="C1014" s="12" t="s">
        <v>109</v>
      </c>
      <c r="D1014" t="s">
        <v>4</v>
      </c>
      <c r="E1014" t="s">
        <v>12</v>
      </c>
      <c r="F1014" t="s">
        <v>8</v>
      </c>
      <c r="G1014" t="s">
        <v>166</v>
      </c>
      <c r="H1014" s="94">
        <v>0.22500000000000001</v>
      </c>
      <c r="I1014" t="s">
        <v>62</v>
      </c>
      <c r="J1014" t="s">
        <v>63</v>
      </c>
    </row>
    <row r="1015" spans="1:10" x14ac:dyDescent="0.25">
      <c r="A1015" t="s">
        <v>132</v>
      </c>
      <c r="B1015" t="s">
        <v>14</v>
      </c>
      <c r="C1015" s="12" t="s">
        <v>109</v>
      </c>
      <c r="D1015" t="s">
        <v>4</v>
      </c>
      <c r="E1015" t="s">
        <v>12</v>
      </c>
      <c r="F1015" t="s">
        <v>8</v>
      </c>
      <c r="G1015" t="s">
        <v>166</v>
      </c>
      <c r="H1015" s="94">
        <v>0.22500000000000001</v>
      </c>
      <c r="I1015" t="s">
        <v>62</v>
      </c>
      <c r="J1015" t="s">
        <v>11</v>
      </c>
    </row>
    <row r="1016" spans="1:10" x14ac:dyDescent="0.25">
      <c r="A1016" t="s">
        <v>132</v>
      </c>
      <c r="B1016" t="s">
        <v>14</v>
      </c>
      <c r="C1016" s="12" t="s">
        <v>109</v>
      </c>
      <c r="D1016" t="s">
        <v>4</v>
      </c>
      <c r="E1016" t="s">
        <v>12</v>
      </c>
      <c r="F1016" t="s">
        <v>8</v>
      </c>
      <c r="G1016" t="s">
        <v>166</v>
      </c>
      <c r="H1016" s="94">
        <v>0.22500000000000001</v>
      </c>
      <c r="I1016" t="s">
        <v>60</v>
      </c>
      <c r="J1016" t="s">
        <v>13</v>
      </c>
    </row>
    <row r="1017" spans="1:10" x14ac:dyDescent="0.25">
      <c r="A1017" t="s">
        <v>132</v>
      </c>
      <c r="B1017" t="s">
        <v>14</v>
      </c>
      <c r="C1017" s="12" t="s">
        <v>109</v>
      </c>
      <c r="D1017" t="s">
        <v>4</v>
      </c>
      <c r="E1017" t="s">
        <v>12</v>
      </c>
      <c r="F1017" t="s">
        <v>8</v>
      </c>
      <c r="G1017" t="s">
        <v>166</v>
      </c>
      <c r="H1017" s="94">
        <v>0.22500000000000001</v>
      </c>
      <c r="I1017" t="s">
        <v>60</v>
      </c>
      <c r="J1017" t="s">
        <v>63</v>
      </c>
    </row>
    <row r="1018" spans="1:10" x14ac:dyDescent="0.25">
      <c r="A1018" t="s">
        <v>132</v>
      </c>
      <c r="B1018" t="s">
        <v>14</v>
      </c>
      <c r="C1018" s="12" t="s">
        <v>109</v>
      </c>
      <c r="D1018" t="s">
        <v>4</v>
      </c>
      <c r="E1018" t="s">
        <v>12</v>
      </c>
      <c r="F1018" t="s">
        <v>8</v>
      </c>
      <c r="G1018" t="s">
        <v>166</v>
      </c>
      <c r="H1018" s="94">
        <v>0.22500000000000001</v>
      </c>
      <c r="I1018" t="s">
        <v>60</v>
      </c>
      <c r="J1018" t="s">
        <v>11</v>
      </c>
    </row>
    <row r="1019" spans="1:10" x14ac:dyDescent="0.25">
      <c r="A1019" t="s">
        <v>132</v>
      </c>
      <c r="B1019" t="s">
        <v>14</v>
      </c>
      <c r="C1019" s="12" t="s">
        <v>109</v>
      </c>
      <c r="D1019" t="s">
        <v>4</v>
      </c>
      <c r="E1019" t="s">
        <v>12</v>
      </c>
      <c r="F1019" t="s">
        <v>8</v>
      </c>
      <c r="G1019" t="s">
        <v>166</v>
      </c>
      <c r="H1019" s="94">
        <v>0.43</v>
      </c>
      <c r="I1019" t="s">
        <v>107</v>
      </c>
      <c r="J1019" t="s">
        <v>13</v>
      </c>
    </row>
    <row r="1020" spans="1:10" x14ac:dyDescent="0.25">
      <c r="A1020" t="s">
        <v>132</v>
      </c>
      <c r="B1020" t="s">
        <v>14</v>
      </c>
      <c r="C1020" s="12" t="s">
        <v>109</v>
      </c>
      <c r="D1020" t="s">
        <v>4</v>
      </c>
      <c r="E1020" t="s">
        <v>12</v>
      </c>
      <c r="F1020" t="s">
        <v>8</v>
      </c>
      <c r="G1020" t="s">
        <v>166</v>
      </c>
      <c r="H1020" s="94">
        <v>0.43</v>
      </c>
      <c r="I1020" t="s">
        <v>107</v>
      </c>
      <c r="J1020" t="s">
        <v>63</v>
      </c>
    </row>
    <row r="1021" spans="1:10" x14ac:dyDescent="0.25">
      <c r="A1021" t="s">
        <v>132</v>
      </c>
      <c r="B1021" t="s">
        <v>14</v>
      </c>
      <c r="C1021" s="12" t="s">
        <v>109</v>
      </c>
      <c r="D1021" t="s">
        <v>4</v>
      </c>
      <c r="E1021" t="s">
        <v>12</v>
      </c>
      <c r="F1021" t="s">
        <v>8</v>
      </c>
      <c r="G1021" t="s">
        <v>166</v>
      </c>
      <c r="H1021" s="94">
        <v>0.43</v>
      </c>
      <c r="I1021" t="s">
        <v>107</v>
      </c>
      <c r="J1021" t="s">
        <v>11</v>
      </c>
    </row>
    <row r="1022" spans="1:10" x14ac:dyDescent="0.25">
      <c r="A1022" t="s">
        <v>132</v>
      </c>
      <c r="B1022" t="s">
        <v>14</v>
      </c>
      <c r="C1022" s="12" t="s">
        <v>109</v>
      </c>
      <c r="D1022" t="s">
        <v>4</v>
      </c>
      <c r="E1022" t="s">
        <v>12</v>
      </c>
      <c r="F1022" t="s">
        <v>8</v>
      </c>
      <c r="G1022" t="s">
        <v>166</v>
      </c>
      <c r="H1022" s="94">
        <v>0.43</v>
      </c>
      <c r="I1022" t="s">
        <v>62</v>
      </c>
      <c r="J1022" t="s">
        <v>13</v>
      </c>
    </row>
    <row r="1023" spans="1:10" x14ac:dyDescent="0.25">
      <c r="A1023" t="s">
        <v>132</v>
      </c>
      <c r="B1023" t="s">
        <v>14</v>
      </c>
      <c r="C1023" s="12" t="s">
        <v>109</v>
      </c>
      <c r="D1023" t="s">
        <v>4</v>
      </c>
      <c r="E1023" t="s">
        <v>12</v>
      </c>
      <c r="F1023" t="s">
        <v>8</v>
      </c>
      <c r="G1023" t="s">
        <v>166</v>
      </c>
      <c r="H1023" s="94">
        <v>0.43</v>
      </c>
      <c r="I1023" t="s">
        <v>62</v>
      </c>
      <c r="J1023" t="s">
        <v>63</v>
      </c>
    </row>
    <row r="1024" spans="1:10" x14ac:dyDescent="0.25">
      <c r="A1024" t="s">
        <v>132</v>
      </c>
      <c r="B1024" t="s">
        <v>14</v>
      </c>
      <c r="C1024" s="12" t="s">
        <v>109</v>
      </c>
      <c r="D1024" t="s">
        <v>4</v>
      </c>
      <c r="E1024" t="s">
        <v>12</v>
      </c>
      <c r="F1024" t="s">
        <v>8</v>
      </c>
      <c r="G1024" t="s">
        <v>166</v>
      </c>
      <c r="H1024" s="94">
        <v>0.43</v>
      </c>
      <c r="I1024" t="s">
        <v>62</v>
      </c>
      <c r="J1024" t="s">
        <v>11</v>
      </c>
    </row>
    <row r="1025" spans="1:10" x14ac:dyDescent="0.25">
      <c r="A1025" t="s">
        <v>132</v>
      </c>
      <c r="B1025" t="s">
        <v>14</v>
      </c>
      <c r="C1025" s="12" t="s">
        <v>109</v>
      </c>
      <c r="D1025" t="s">
        <v>4</v>
      </c>
      <c r="E1025" t="s">
        <v>12</v>
      </c>
      <c r="F1025" t="s">
        <v>8</v>
      </c>
      <c r="G1025" t="s">
        <v>166</v>
      </c>
      <c r="H1025" s="94">
        <v>0.43</v>
      </c>
      <c r="I1025" t="s">
        <v>60</v>
      </c>
      <c r="J1025" t="s">
        <v>13</v>
      </c>
    </row>
    <row r="1026" spans="1:10" x14ac:dyDescent="0.25">
      <c r="A1026" t="s">
        <v>132</v>
      </c>
      <c r="B1026" t="s">
        <v>14</v>
      </c>
      <c r="C1026" s="12" t="s">
        <v>109</v>
      </c>
      <c r="D1026" t="s">
        <v>4</v>
      </c>
      <c r="E1026" t="s">
        <v>12</v>
      </c>
      <c r="F1026" t="s">
        <v>8</v>
      </c>
      <c r="G1026" t="s">
        <v>166</v>
      </c>
      <c r="H1026" s="94">
        <v>0.43</v>
      </c>
      <c r="I1026" t="s">
        <v>60</v>
      </c>
      <c r="J1026" t="s">
        <v>63</v>
      </c>
    </row>
    <row r="1027" spans="1:10" x14ac:dyDescent="0.25">
      <c r="A1027" t="s">
        <v>132</v>
      </c>
      <c r="B1027" t="s">
        <v>14</v>
      </c>
      <c r="C1027" s="12" t="s">
        <v>109</v>
      </c>
      <c r="D1027" t="s">
        <v>4</v>
      </c>
      <c r="E1027" t="s">
        <v>12</v>
      </c>
      <c r="F1027" t="s">
        <v>8</v>
      </c>
      <c r="G1027" t="s">
        <v>166</v>
      </c>
      <c r="H1027" s="94">
        <v>0.43</v>
      </c>
      <c r="I1027" t="s">
        <v>60</v>
      </c>
      <c r="J1027" t="s">
        <v>11</v>
      </c>
    </row>
    <row r="1028" spans="1:10" x14ac:dyDescent="0.25">
      <c r="A1028" t="s">
        <v>132</v>
      </c>
      <c r="B1028" t="s">
        <v>14</v>
      </c>
      <c r="C1028" s="12" t="s">
        <v>109</v>
      </c>
      <c r="D1028" t="s">
        <v>4</v>
      </c>
      <c r="E1028" t="s">
        <v>6</v>
      </c>
      <c r="F1028" t="s">
        <v>72</v>
      </c>
      <c r="G1028" t="s">
        <v>166</v>
      </c>
      <c r="H1028" s="94">
        <v>0.22500000000000001</v>
      </c>
      <c r="I1028" t="s">
        <v>107</v>
      </c>
      <c r="J1028" t="s">
        <v>13</v>
      </c>
    </row>
    <row r="1029" spans="1:10" x14ac:dyDescent="0.25">
      <c r="A1029" t="s">
        <v>132</v>
      </c>
      <c r="B1029" t="s">
        <v>14</v>
      </c>
      <c r="C1029" s="12" t="s">
        <v>109</v>
      </c>
      <c r="D1029" t="s">
        <v>4</v>
      </c>
      <c r="E1029" t="s">
        <v>6</v>
      </c>
      <c r="F1029" t="s">
        <v>72</v>
      </c>
      <c r="G1029" t="s">
        <v>166</v>
      </c>
      <c r="H1029" s="94">
        <v>0.22500000000000001</v>
      </c>
      <c r="I1029" t="s">
        <v>107</v>
      </c>
      <c r="J1029" t="s">
        <v>63</v>
      </c>
    </row>
    <row r="1030" spans="1:10" x14ac:dyDescent="0.25">
      <c r="A1030" t="s">
        <v>132</v>
      </c>
      <c r="B1030" t="s">
        <v>14</v>
      </c>
      <c r="C1030" s="12" t="s">
        <v>109</v>
      </c>
      <c r="D1030" t="s">
        <v>4</v>
      </c>
      <c r="E1030" t="s">
        <v>6</v>
      </c>
      <c r="F1030" t="s">
        <v>72</v>
      </c>
      <c r="G1030" t="s">
        <v>166</v>
      </c>
      <c r="H1030" s="94">
        <v>0.22500000000000001</v>
      </c>
      <c r="I1030" t="s">
        <v>107</v>
      </c>
      <c r="J1030" t="s">
        <v>11</v>
      </c>
    </row>
    <row r="1031" spans="1:10" x14ac:dyDescent="0.25">
      <c r="A1031" t="s">
        <v>132</v>
      </c>
      <c r="B1031" t="s">
        <v>14</v>
      </c>
      <c r="C1031" s="12" t="s">
        <v>109</v>
      </c>
      <c r="D1031" t="s">
        <v>4</v>
      </c>
      <c r="E1031" t="s">
        <v>6</v>
      </c>
      <c r="F1031" t="s">
        <v>72</v>
      </c>
      <c r="G1031" t="s">
        <v>166</v>
      </c>
      <c r="H1031" s="94">
        <v>0.22500000000000001</v>
      </c>
      <c r="I1031" t="s">
        <v>62</v>
      </c>
      <c r="J1031" t="s">
        <v>13</v>
      </c>
    </row>
    <row r="1032" spans="1:10" x14ac:dyDescent="0.25">
      <c r="A1032" t="s">
        <v>132</v>
      </c>
      <c r="B1032" t="s">
        <v>14</v>
      </c>
      <c r="C1032" s="12" t="s">
        <v>109</v>
      </c>
      <c r="D1032" t="s">
        <v>4</v>
      </c>
      <c r="E1032" t="s">
        <v>6</v>
      </c>
      <c r="F1032" t="s">
        <v>72</v>
      </c>
      <c r="G1032" t="s">
        <v>166</v>
      </c>
      <c r="H1032" s="94">
        <v>0.22500000000000001</v>
      </c>
      <c r="I1032" t="s">
        <v>62</v>
      </c>
      <c r="J1032" t="s">
        <v>63</v>
      </c>
    </row>
    <row r="1033" spans="1:10" x14ac:dyDescent="0.25">
      <c r="A1033" t="s">
        <v>132</v>
      </c>
      <c r="B1033" t="s">
        <v>14</v>
      </c>
      <c r="C1033" s="12" t="s">
        <v>109</v>
      </c>
      <c r="D1033" t="s">
        <v>4</v>
      </c>
      <c r="E1033" t="s">
        <v>6</v>
      </c>
      <c r="F1033" t="s">
        <v>72</v>
      </c>
      <c r="G1033" t="s">
        <v>166</v>
      </c>
      <c r="H1033" s="94">
        <v>0.22500000000000001</v>
      </c>
      <c r="I1033" t="s">
        <v>62</v>
      </c>
      <c r="J1033" t="s">
        <v>11</v>
      </c>
    </row>
    <row r="1034" spans="1:10" x14ac:dyDescent="0.25">
      <c r="A1034" t="s">
        <v>132</v>
      </c>
      <c r="B1034" t="s">
        <v>14</v>
      </c>
      <c r="C1034" s="12" t="s">
        <v>109</v>
      </c>
      <c r="D1034" t="s">
        <v>4</v>
      </c>
      <c r="E1034" t="s">
        <v>6</v>
      </c>
      <c r="F1034" t="s">
        <v>72</v>
      </c>
      <c r="G1034" t="s">
        <v>166</v>
      </c>
      <c r="H1034" s="94">
        <v>0.22500000000000001</v>
      </c>
      <c r="I1034" t="s">
        <v>60</v>
      </c>
      <c r="J1034" t="s">
        <v>13</v>
      </c>
    </row>
    <row r="1035" spans="1:10" x14ac:dyDescent="0.25">
      <c r="A1035" t="s">
        <v>132</v>
      </c>
      <c r="B1035" t="s">
        <v>14</v>
      </c>
      <c r="C1035" s="12" t="s">
        <v>109</v>
      </c>
      <c r="D1035" t="s">
        <v>4</v>
      </c>
      <c r="E1035" t="s">
        <v>6</v>
      </c>
      <c r="F1035" t="s">
        <v>72</v>
      </c>
      <c r="G1035" t="s">
        <v>166</v>
      </c>
      <c r="H1035" s="94">
        <v>0.22500000000000001</v>
      </c>
      <c r="I1035" t="s">
        <v>60</v>
      </c>
      <c r="J1035" t="s">
        <v>63</v>
      </c>
    </row>
    <row r="1036" spans="1:10" x14ac:dyDescent="0.25">
      <c r="A1036" t="s">
        <v>132</v>
      </c>
      <c r="B1036" t="s">
        <v>14</v>
      </c>
      <c r="C1036" s="12" t="s">
        <v>109</v>
      </c>
      <c r="D1036" t="s">
        <v>4</v>
      </c>
      <c r="E1036" t="s">
        <v>6</v>
      </c>
      <c r="F1036" t="s">
        <v>72</v>
      </c>
      <c r="G1036" t="s">
        <v>166</v>
      </c>
      <c r="H1036" s="94">
        <v>0.22500000000000001</v>
      </c>
      <c r="I1036" t="s">
        <v>60</v>
      </c>
      <c r="J1036" t="s">
        <v>11</v>
      </c>
    </row>
    <row r="1037" spans="1:10" x14ac:dyDescent="0.25">
      <c r="A1037" t="s">
        <v>132</v>
      </c>
      <c r="B1037" t="s">
        <v>14</v>
      </c>
      <c r="C1037" s="12" t="s">
        <v>109</v>
      </c>
      <c r="D1037" t="s">
        <v>4</v>
      </c>
      <c r="E1037" t="s">
        <v>6</v>
      </c>
      <c r="F1037" t="s">
        <v>72</v>
      </c>
      <c r="G1037" t="s">
        <v>166</v>
      </c>
      <c r="H1037" s="94">
        <v>0.43</v>
      </c>
      <c r="I1037" t="s">
        <v>107</v>
      </c>
      <c r="J1037" t="s">
        <v>13</v>
      </c>
    </row>
    <row r="1038" spans="1:10" x14ac:dyDescent="0.25">
      <c r="A1038" t="s">
        <v>132</v>
      </c>
      <c r="B1038" t="s">
        <v>14</v>
      </c>
      <c r="C1038" s="12" t="s">
        <v>109</v>
      </c>
      <c r="D1038" t="s">
        <v>4</v>
      </c>
      <c r="E1038" t="s">
        <v>6</v>
      </c>
      <c r="F1038" t="s">
        <v>72</v>
      </c>
      <c r="G1038" t="s">
        <v>166</v>
      </c>
      <c r="H1038" s="94">
        <v>0.43</v>
      </c>
      <c r="I1038" t="s">
        <v>107</v>
      </c>
      <c r="J1038" t="s">
        <v>63</v>
      </c>
    </row>
    <row r="1039" spans="1:10" x14ac:dyDescent="0.25">
      <c r="A1039" t="s">
        <v>132</v>
      </c>
      <c r="B1039" t="s">
        <v>14</v>
      </c>
      <c r="C1039" s="12" t="s">
        <v>109</v>
      </c>
      <c r="D1039" t="s">
        <v>4</v>
      </c>
      <c r="E1039" t="s">
        <v>6</v>
      </c>
      <c r="F1039" t="s">
        <v>72</v>
      </c>
      <c r="G1039" t="s">
        <v>166</v>
      </c>
      <c r="H1039" s="94">
        <v>0.43</v>
      </c>
      <c r="I1039" t="s">
        <v>107</v>
      </c>
      <c r="J1039" t="s">
        <v>11</v>
      </c>
    </row>
    <row r="1040" spans="1:10" x14ac:dyDescent="0.25">
      <c r="A1040" t="s">
        <v>132</v>
      </c>
      <c r="B1040" t="s">
        <v>14</v>
      </c>
      <c r="C1040" s="12" t="s">
        <v>109</v>
      </c>
      <c r="D1040" t="s">
        <v>4</v>
      </c>
      <c r="E1040" t="s">
        <v>6</v>
      </c>
      <c r="F1040" t="s">
        <v>72</v>
      </c>
      <c r="G1040" t="s">
        <v>166</v>
      </c>
      <c r="H1040" s="94">
        <v>0.43</v>
      </c>
      <c r="I1040" t="s">
        <v>62</v>
      </c>
      <c r="J1040" t="s">
        <v>13</v>
      </c>
    </row>
    <row r="1041" spans="1:10" x14ac:dyDescent="0.25">
      <c r="A1041" t="s">
        <v>132</v>
      </c>
      <c r="B1041" t="s">
        <v>14</v>
      </c>
      <c r="C1041" s="12" t="s">
        <v>109</v>
      </c>
      <c r="D1041" t="s">
        <v>4</v>
      </c>
      <c r="E1041" t="s">
        <v>6</v>
      </c>
      <c r="F1041" t="s">
        <v>72</v>
      </c>
      <c r="G1041" t="s">
        <v>166</v>
      </c>
      <c r="H1041" s="94">
        <v>0.43</v>
      </c>
      <c r="I1041" t="s">
        <v>62</v>
      </c>
      <c r="J1041" t="s">
        <v>63</v>
      </c>
    </row>
    <row r="1042" spans="1:10" x14ac:dyDescent="0.25">
      <c r="A1042" t="s">
        <v>132</v>
      </c>
      <c r="B1042" t="s">
        <v>14</v>
      </c>
      <c r="C1042" s="12" t="s">
        <v>109</v>
      </c>
      <c r="D1042" t="s">
        <v>4</v>
      </c>
      <c r="E1042" t="s">
        <v>6</v>
      </c>
      <c r="F1042" t="s">
        <v>72</v>
      </c>
      <c r="G1042" t="s">
        <v>166</v>
      </c>
      <c r="H1042" s="94">
        <v>0.43</v>
      </c>
      <c r="I1042" t="s">
        <v>62</v>
      </c>
      <c r="J1042" t="s">
        <v>11</v>
      </c>
    </row>
    <row r="1043" spans="1:10" x14ac:dyDescent="0.25">
      <c r="A1043" t="s">
        <v>132</v>
      </c>
      <c r="B1043" t="s">
        <v>14</v>
      </c>
      <c r="C1043" s="12" t="s">
        <v>109</v>
      </c>
      <c r="D1043" t="s">
        <v>4</v>
      </c>
      <c r="E1043" t="s">
        <v>6</v>
      </c>
      <c r="F1043" t="s">
        <v>72</v>
      </c>
      <c r="G1043" t="s">
        <v>166</v>
      </c>
      <c r="H1043" s="94">
        <v>0.43</v>
      </c>
      <c r="I1043" t="s">
        <v>60</v>
      </c>
      <c r="J1043" t="s">
        <v>13</v>
      </c>
    </row>
    <row r="1044" spans="1:10" x14ac:dyDescent="0.25">
      <c r="A1044" t="s">
        <v>132</v>
      </c>
      <c r="B1044" t="s">
        <v>14</v>
      </c>
      <c r="C1044" s="12" t="s">
        <v>109</v>
      </c>
      <c r="D1044" t="s">
        <v>4</v>
      </c>
      <c r="E1044" t="s">
        <v>6</v>
      </c>
      <c r="F1044" t="s">
        <v>72</v>
      </c>
      <c r="G1044" t="s">
        <v>166</v>
      </c>
      <c r="H1044" s="94">
        <v>0.43</v>
      </c>
      <c r="I1044" t="s">
        <v>60</v>
      </c>
      <c r="J1044" t="s">
        <v>63</v>
      </c>
    </row>
    <row r="1045" spans="1:10" x14ac:dyDescent="0.25">
      <c r="A1045" t="s">
        <v>132</v>
      </c>
      <c r="B1045" t="s">
        <v>14</v>
      </c>
      <c r="C1045" s="12" t="s">
        <v>109</v>
      </c>
      <c r="D1045" t="s">
        <v>4</v>
      </c>
      <c r="E1045" t="s">
        <v>6</v>
      </c>
      <c r="F1045" t="s">
        <v>72</v>
      </c>
      <c r="G1045" t="s">
        <v>166</v>
      </c>
      <c r="H1045" s="94">
        <v>0.43</v>
      </c>
      <c r="I1045" t="s">
        <v>60</v>
      </c>
      <c r="J1045" t="s">
        <v>11</v>
      </c>
    </row>
    <row r="1046" spans="1:10" x14ac:dyDescent="0.25">
      <c r="A1046" t="s">
        <v>132</v>
      </c>
      <c r="B1046" t="s">
        <v>14</v>
      </c>
      <c r="C1046" s="12" t="s">
        <v>109</v>
      </c>
      <c r="D1046" t="s">
        <v>4</v>
      </c>
      <c r="E1046" t="s">
        <v>6</v>
      </c>
      <c r="F1046" t="s">
        <v>16</v>
      </c>
      <c r="G1046" t="s">
        <v>166</v>
      </c>
      <c r="H1046" s="94">
        <v>0.22500000000000001</v>
      </c>
      <c r="I1046" t="s">
        <v>107</v>
      </c>
      <c r="J1046" t="s">
        <v>13</v>
      </c>
    </row>
    <row r="1047" spans="1:10" x14ac:dyDescent="0.25">
      <c r="A1047" t="s">
        <v>132</v>
      </c>
      <c r="B1047" t="s">
        <v>14</v>
      </c>
      <c r="C1047" s="12" t="s">
        <v>109</v>
      </c>
      <c r="D1047" t="s">
        <v>4</v>
      </c>
      <c r="E1047" t="s">
        <v>6</v>
      </c>
      <c r="F1047" t="s">
        <v>16</v>
      </c>
      <c r="G1047" t="s">
        <v>166</v>
      </c>
      <c r="H1047" s="94">
        <v>0.22500000000000001</v>
      </c>
      <c r="I1047" t="s">
        <v>107</v>
      </c>
      <c r="J1047" t="s">
        <v>63</v>
      </c>
    </row>
    <row r="1048" spans="1:10" x14ac:dyDescent="0.25">
      <c r="A1048" t="s">
        <v>132</v>
      </c>
      <c r="B1048" t="s">
        <v>14</v>
      </c>
      <c r="C1048" s="12" t="s">
        <v>109</v>
      </c>
      <c r="D1048" t="s">
        <v>4</v>
      </c>
      <c r="E1048" t="s">
        <v>6</v>
      </c>
      <c r="F1048" t="s">
        <v>16</v>
      </c>
      <c r="G1048" t="s">
        <v>166</v>
      </c>
      <c r="H1048" s="94">
        <v>0.22500000000000001</v>
      </c>
      <c r="I1048" t="s">
        <v>107</v>
      </c>
      <c r="J1048" t="s">
        <v>11</v>
      </c>
    </row>
    <row r="1049" spans="1:10" x14ac:dyDescent="0.25">
      <c r="A1049" t="s">
        <v>132</v>
      </c>
      <c r="B1049" t="s">
        <v>14</v>
      </c>
      <c r="C1049" s="12" t="s">
        <v>109</v>
      </c>
      <c r="D1049" t="s">
        <v>4</v>
      </c>
      <c r="E1049" t="s">
        <v>6</v>
      </c>
      <c r="F1049" t="s">
        <v>16</v>
      </c>
      <c r="G1049" t="s">
        <v>166</v>
      </c>
      <c r="H1049" s="94">
        <v>0.22500000000000001</v>
      </c>
      <c r="I1049" t="s">
        <v>62</v>
      </c>
      <c r="J1049" t="s">
        <v>13</v>
      </c>
    </row>
    <row r="1050" spans="1:10" x14ac:dyDescent="0.25">
      <c r="A1050" t="s">
        <v>132</v>
      </c>
      <c r="B1050" t="s">
        <v>14</v>
      </c>
      <c r="C1050" s="12" t="s">
        <v>109</v>
      </c>
      <c r="D1050" t="s">
        <v>4</v>
      </c>
      <c r="E1050" t="s">
        <v>6</v>
      </c>
      <c r="F1050" t="s">
        <v>16</v>
      </c>
      <c r="G1050" t="s">
        <v>166</v>
      </c>
      <c r="H1050" s="94">
        <v>0.22500000000000001</v>
      </c>
      <c r="I1050" t="s">
        <v>62</v>
      </c>
      <c r="J1050" t="s">
        <v>63</v>
      </c>
    </row>
    <row r="1051" spans="1:10" x14ac:dyDescent="0.25">
      <c r="A1051" t="s">
        <v>132</v>
      </c>
      <c r="B1051" t="s">
        <v>14</v>
      </c>
      <c r="C1051" s="12" t="s">
        <v>109</v>
      </c>
      <c r="D1051" t="s">
        <v>4</v>
      </c>
      <c r="E1051" t="s">
        <v>6</v>
      </c>
      <c r="F1051" t="s">
        <v>16</v>
      </c>
      <c r="G1051" t="s">
        <v>166</v>
      </c>
      <c r="H1051" s="94">
        <v>0.22500000000000001</v>
      </c>
      <c r="I1051" t="s">
        <v>62</v>
      </c>
      <c r="J1051" t="s">
        <v>11</v>
      </c>
    </row>
    <row r="1052" spans="1:10" x14ac:dyDescent="0.25">
      <c r="A1052" t="s">
        <v>132</v>
      </c>
      <c r="B1052" t="s">
        <v>14</v>
      </c>
      <c r="C1052" s="12" t="s">
        <v>109</v>
      </c>
      <c r="D1052" t="s">
        <v>4</v>
      </c>
      <c r="E1052" t="s">
        <v>6</v>
      </c>
      <c r="F1052" t="s">
        <v>16</v>
      </c>
      <c r="G1052" t="s">
        <v>166</v>
      </c>
      <c r="H1052" s="94">
        <v>0.22500000000000001</v>
      </c>
      <c r="I1052" t="s">
        <v>60</v>
      </c>
      <c r="J1052" t="s">
        <v>13</v>
      </c>
    </row>
    <row r="1053" spans="1:10" x14ac:dyDescent="0.25">
      <c r="A1053" t="s">
        <v>132</v>
      </c>
      <c r="B1053" t="s">
        <v>14</v>
      </c>
      <c r="C1053" s="12" t="s">
        <v>109</v>
      </c>
      <c r="D1053" t="s">
        <v>4</v>
      </c>
      <c r="E1053" t="s">
        <v>6</v>
      </c>
      <c r="F1053" t="s">
        <v>16</v>
      </c>
      <c r="G1053" t="s">
        <v>166</v>
      </c>
      <c r="H1053" s="94">
        <v>0.22500000000000001</v>
      </c>
      <c r="I1053" t="s">
        <v>60</v>
      </c>
      <c r="J1053" t="s">
        <v>63</v>
      </c>
    </row>
    <row r="1054" spans="1:10" x14ac:dyDescent="0.25">
      <c r="A1054" t="s">
        <v>132</v>
      </c>
      <c r="B1054" t="s">
        <v>14</v>
      </c>
      <c r="C1054" s="12" t="s">
        <v>109</v>
      </c>
      <c r="D1054" t="s">
        <v>4</v>
      </c>
      <c r="E1054" t="s">
        <v>6</v>
      </c>
      <c r="F1054" t="s">
        <v>16</v>
      </c>
      <c r="G1054" t="s">
        <v>166</v>
      </c>
      <c r="H1054" s="94">
        <v>0.22500000000000001</v>
      </c>
      <c r="I1054" t="s">
        <v>60</v>
      </c>
      <c r="J1054" t="s">
        <v>11</v>
      </c>
    </row>
    <row r="1055" spans="1:10" x14ac:dyDescent="0.25">
      <c r="A1055" t="s">
        <v>132</v>
      </c>
      <c r="B1055" t="s">
        <v>14</v>
      </c>
      <c r="C1055" s="12" t="s">
        <v>109</v>
      </c>
      <c r="D1055" t="s">
        <v>4</v>
      </c>
      <c r="E1055" t="s">
        <v>6</v>
      </c>
      <c r="F1055" t="s">
        <v>16</v>
      </c>
      <c r="G1055" t="s">
        <v>166</v>
      </c>
      <c r="H1055" s="94">
        <v>0.43</v>
      </c>
      <c r="I1055" t="s">
        <v>107</v>
      </c>
      <c r="J1055" t="s">
        <v>13</v>
      </c>
    </row>
    <row r="1056" spans="1:10" x14ac:dyDescent="0.25">
      <c r="A1056" t="s">
        <v>132</v>
      </c>
      <c r="B1056" t="s">
        <v>14</v>
      </c>
      <c r="C1056" s="12" t="s">
        <v>109</v>
      </c>
      <c r="D1056" t="s">
        <v>4</v>
      </c>
      <c r="E1056" t="s">
        <v>6</v>
      </c>
      <c r="F1056" t="s">
        <v>16</v>
      </c>
      <c r="G1056" t="s">
        <v>166</v>
      </c>
      <c r="H1056" s="94">
        <v>0.43</v>
      </c>
      <c r="I1056" t="s">
        <v>107</v>
      </c>
      <c r="J1056" t="s">
        <v>63</v>
      </c>
    </row>
    <row r="1057" spans="1:10" x14ac:dyDescent="0.25">
      <c r="A1057" t="s">
        <v>132</v>
      </c>
      <c r="B1057" t="s">
        <v>14</v>
      </c>
      <c r="C1057" s="12" t="s">
        <v>109</v>
      </c>
      <c r="D1057" t="s">
        <v>4</v>
      </c>
      <c r="E1057" t="s">
        <v>6</v>
      </c>
      <c r="F1057" t="s">
        <v>16</v>
      </c>
      <c r="G1057" t="s">
        <v>166</v>
      </c>
      <c r="H1057" s="94">
        <v>0.43</v>
      </c>
      <c r="I1057" t="s">
        <v>107</v>
      </c>
      <c r="J1057" t="s">
        <v>11</v>
      </c>
    </row>
    <row r="1058" spans="1:10" x14ac:dyDescent="0.25">
      <c r="A1058" t="s">
        <v>132</v>
      </c>
      <c r="B1058" t="s">
        <v>14</v>
      </c>
      <c r="C1058" s="12" t="s">
        <v>109</v>
      </c>
      <c r="D1058" t="s">
        <v>4</v>
      </c>
      <c r="E1058" t="s">
        <v>6</v>
      </c>
      <c r="F1058" t="s">
        <v>16</v>
      </c>
      <c r="G1058" t="s">
        <v>166</v>
      </c>
      <c r="H1058" s="94">
        <v>0.43</v>
      </c>
      <c r="I1058" t="s">
        <v>62</v>
      </c>
      <c r="J1058" t="s">
        <v>13</v>
      </c>
    </row>
    <row r="1059" spans="1:10" x14ac:dyDescent="0.25">
      <c r="A1059" t="s">
        <v>132</v>
      </c>
      <c r="B1059" t="s">
        <v>14</v>
      </c>
      <c r="C1059" s="12" t="s">
        <v>109</v>
      </c>
      <c r="D1059" t="s">
        <v>4</v>
      </c>
      <c r="E1059" t="s">
        <v>6</v>
      </c>
      <c r="F1059" t="s">
        <v>16</v>
      </c>
      <c r="G1059" t="s">
        <v>166</v>
      </c>
      <c r="H1059" s="94">
        <v>0.43</v>
      </c>
      <c r="I1059" t="s">
        <v>62</v>
      </c>
      <c r="J1059" t="s">
        <v>63</v>
      </c>
    </row>
    <row r="1060" spans="1:10" x14ac:dyDescent="0.25">
      <c r="A1060" t="s">
        <v>132</v>
      </c>
      <c r="B1060" t="s">
        <v>14</v>
      </c>
      <c r="C1060" s="12" t="s">
        <v>109</v>
      </c>
      <c r="D1060" t="s">
        <v>4</v>
      </c>
      <c r="E1060" t="s">
        <v>6</v>
      </c>
      <c r="F1060" t="s">
        <v>16</v>
      </c>
      <c r="G1060" t="s">
        <v>166</v>
      </c>
      <c r="H1060" s="94">
        <v>0.43</v>
      </c>
      <c r="I1060" t="s">
        <v>62</v>
      </c>
      <c r="J1060" t="s">
        <v>11</v>
      </c>
    </row>
    <row r="1061" spans="1:10" x14ac:dyDescent="0.25">
      <c r="A1061" t="s">
        <v>132</v>
      </c>
      <c r="B1061" t="s">
        <v>14</v>
      </c>
      <c r="C1061" s="12" t="s">
        <v>109</v>
      </c>
      <c r="D1061" t="s">
        <v>4</v>
      </c>
      <c r="E1061" t="s">
        <v>6</v>
      </c>
      <c r="F1061" t="s">
        <v>16</v>
      </c>
      <c r="G1061" t="s">
        <v>166</v>
      </c>
      <c r="H1061" s="94">
        <v>0.43</v>
      </c>
      <c r="I1061" t="s">
        <v>60</v>
      </c>
      <c r="J1061" t="s">
        <v>13</v>
      </c>
    </row>
    <row r="1062" spans="1:10" x14ac:dyDescent="0.25">
      <c r="A1062" t="s">
        <v>132</v>
      </c>
      <c r="B1062" t="s">
        <v>14</v>
      </c>
      <c r="C1062" s="12" t="s">
        <v>109</v>
      </c>
      <c r="D1062" t="s">
        <v>4</v>
      </c>
      <c r="E1062" t="s">
        <v>6</v>
      </c>
      <c r="F1062" t="s">
        <v>16</v>
      </c>
      <c r="G1062" t="s">
        <v>166</v>
      </c>
      <c r="H1062" s="94">
        <v>0.43</v>
      </c>
      <c r="I1062" t="s">
        <v>60</v>
      </c>
      <c r="J1062" t="s">
        <v>63</v>
      </c>
    </row>
    <row r="1063" spans="1:10" x14ac:dyDescent="0.25">
      <c r="A1063" t="s">
        <v>132</v>
      </c>
      <c r="B1063" t="s">
        <v>14</v>
      </c>
      <c r="C1063" s="12" t="s">
        <v>109</v>
      </c>
      <c r="D1063" t="s">
        <v>4</v>
      </c>
      <c r="E1063" t="s">
        <v>6</v>
      </c>
      <c r="F1063" t="s">
        <v>16</v>
      </c>
      <c r="G1063" t="s">
        <v>166</v>
      </c>
      <c r="H1063" s="94">
        <v>0.43</v>
      </c>
      <c r="I1063" t="s">
        <v>60</v>
      </c>
      <c r="J1063" t="s">
        <v>11</v>
      </c>
    </row>
    <row r="1064" spans="1:10" x14ac:dyDescent="0.25">
      <c r="A1064" t="s">
        <v>132</v>
      </c>
      <c r="B1064" t="s">
        <v>14</v>
      </c>
      <c r="C1064" s="12" t="s">
        <v>109</v>
      </c>
      <c r="D1064" t="s">
        <v>4</v>
      </c>
      <c r="E1064" t="s">
        <v>6</v>
      </c>
      <c r="F1064" t="s">
        <v>8</v>
      </c>
      <c r="G1064" t="s">
        <v>166</v>
      </c>
      <c r="H1064" s="94">
        <v>0.22500000000000001</v>
      </c>
      <c r="I1064" t="s">
        <v>107</v>
      </c>
      <c r="J1064" t="s">
        <v>13</v>
      </c>
    </row>
    <row r="1065" spans="1:10" x14ac:dyDescent="0.25">
      <c r="A1065" t="s">
        <v>132</v>
      </c>
      <c r="B1065" t="s">
        <v>14</v>
      </c>
      <c r="C1065" s="12" t="s">
        <v>109</v>
      </c>
      <c r="D1065" t="s">
        <v>4</v>
      </c>
      <c r="E1065" t="s">
        <v>6</v>
      </c>
      <c r="F1065" t="s">
        <v>8</v>
      </c>
      <c r="G1065" t="s">
        <v>166</v>
      </c>
      <c r="H1065" s="94">
        <v>0.22500000000000001</v>
      </c>
      <c r="I1065" t="s">
        <v>107</v>
      </c>
      <c r="J1065" t="s">
        <v>63</v>
      </c>
    </row>
    <row r="1066" spans="1:10" x14ac:dyDescent="0.25">
      <c r="A1066" t="s">
        <v>132</v>
      </c>
      <c r="B1066" t="s">
        <v>14</v>
      </c>
      <c r="C1066" s="12" t="s">
        <v>109</v>
      </c>
      <c r="D1066" t="s">
        <v>4</v>
      </c>
      <c r="E1066" t="s">
        <v>6</v>
      </c>
      <c r="F1066" t="s">
        <v>8</v>
      </c>
      <c r="G1066" t="s">
        <v>166</v>
      </c>
      <c r="H1066" s="94">
        <v>0.22500000000000001</v>
      </c>
      <c r="I1066" t="s">
        <v>107</v>
      </c>
      <c r="J1066" t="s">
        <v>11</v>
      </c>
    </row>
    <row r="1067" spans="1:10" x14ac:dyDescent="0.25">
      <c r="A1067" t="s">
        <v>132</v>
      </c>
      <c r="B1067" t="s">
        <v>14</v>
      </c>
      <c r="C1067" s="12" t="s">
        <v>109</v>
      </c>
      <c r="D1067" t="s">
        <v>4</v>
      </c>
      <c r="E1067" t="s">
        <v>6</v>
      </c>
      <c r="F1067" t="s">
        <v>8</v>
      </c>
      <c r="G1067" t="s">
        <v>166</v>
      </c>
      <c r="H1067" s="94">
        <v>0.22500000000000001</v>
      </c>
      <c r="I1067" t="s">
        <v>62</v>
      </c>
      <c r="J1067" t="s">
        <v>13</v>
      </c>
    </row>
    <row r="1068" spans="1:10" x14ac:dyDescent="0.25">
      <c r="A1068" t="s">
        <v>132</v>
      </c>
      <c r="B1068" t="s">
        <v>14</v>
      </c>
      <c r="C1068" s="12" t="s">
        <v>109</v>
      </c>
      <c r="D1068" t="s">
        <v>4</v>
      </c>
      <c r="E1068" t="s">
        <v>6</v>
      </c>
      <c r="F1068" t="s">
        <v>8</v>
      </c>
      <c r="G1068" t="s">
        <v>166</v>
      </c>
      <c r="H1068" s="94">
        <v>0.22500000000000001</v>
      </c>
      <c r="I1068" t="s">
        <v>62</v>
      </c>
      <c r="J1068" t="s">
        <v>63</v>
      </c>
    </row>
    <row r="1069" spans="1:10" x14ac:dyDescent="0.25">
      <c r="A1069" t="s">
        <v>132</v>
      </c>
      <c r="B1069" t="s">
        <v>14</v>
      </c>
      <c r="C1069" s="12" t="s">
        <v>109</v>
      </c>
      <c r="D1069" t="s">
        <v>4</v>
      </c>
      <c r="E1069" t="s">
        <v>6</v>
      </c>
      <c r="F1069" t="s">
        <v>8</v>
      </c>
      <c r="G1069" t="s">
        <v>166</v>
      </c>
      <c r="H1069" s="94">
        <v>0.22500000000000001</v>
      </c>
      <c r="I1069" t="s">
        <v>62</v>
      </c>
      <c r="J1069" t="s">
        <v>11</v>
      </c>
    </row>
    <row r="1070" spans="1:10" x14ac:dyDescent="0.25">
      <c r="A1070" t="s">
        <v>132</v>
      </c>
      <c r="B1070" t="s">
        <v>14</v>
      </c>
      <c r="C1070" s="12" t="s">
        <v>109</v>
      </c>
      <c r="D1070" t="s">
        <v>4</v>
      </c>
      <c r="E1070" t="s">
        <v>6</v>
      </c>
      <c r="F1070" t="s">
        <v>8</v>
      </c>
      <c r="G1070" t="s">
        <v>166</v>
      </c>
      <c r="H1070" s="94">
        <v>0.22500000000000001</v>
      </c>
      <c r="I1070" t="s">
        <v>60</v>
      </c>
      <c r="J1070" t="s">
        <v>13</v>
      </c>
    </row>
    <row r="1071" spans="1:10" x14ac:dyDescent="0.25">
      <c r="A1071" t="s">
        <v>132</v>
      </c>
      <c r="B1071" t="s">
        <v>14</v>
      </c>
      <c r="C1071" s="12" t="s">
        <v>109</v>
      </c>
      <c r="D1071" t="s">
        <v>4</v>
      </c>
      <c r="E1071" t="s">
        <v>6</v>
      </c>
      <c r="F1071" t="s">
        <v>8</v>
      </c>
      <c r="G1071" t="s">
        <v>166</v>
      </c>
      <c r="H1071" s="94">
        <v>0.22500000000000001</v>
      </c>
      <c r="I1071" t="s">
        <v>60</v>
      </c>
      <c r="J1071" t="s">
        <v>63</v>
      </c>
    </row>
    <row r="1072" spans="1:10" x14ac:dyDescent="0.25">
      <c r="A1072" t="s">
        <v>132</v>
      </c>
      <c r="B1072" t="s">
        <v>14</v>
      </c>
      <c r="C1072" s="12" t="s">
        <v>109</v>
      </c>
      <c r="D1072" t="s">
        <v>4</v>
      </c>
      <c r="E1072" t="s">
        <v>6</v>
      </c>
      <c r="F1072" t="s">
        <v>8</v>
      </c>
      <c r="G1072" t="s">
        <v>166</v>
      </c>
      <c r="H1072" s="94">
        <v>0.22500000000000001</v>
      </c>
      <c r="I1072" t="s">
        <v>60</v>
      </c>
      <c r="J1072" t="s">
        <v>11</v>
      </c>
    </row>
    <row r="1073" spans="1:10" x14ac:dyDescent="0.25">
      <c r="A1073" t="s">
        <v>132</v>
      </c>
      <c r="B1073" t="s">
        <v>14</v>
      </c>
      <c r="C1073" s="12" t="s">
        <v>109</v>
      </c>
      <c r="D1073" t="s">
        <v>4</v>
      </c>
      <c r="E1073" t="s">
        <v>6</v>
      </c>
      <c r="F1073" t="s">
        <v>8</v>
      </c>
      <c r="G1073" t="s">
        <v>166</v>
      </c>
      <c r="H1073" s="94">
        <v>0.43</v>
      </c>
      <c r="I1073" t="s">
        <v>107</v>
      </c>
      <c r="J1073" t="s">
        <v>13</v>
      </c>
    </row>
    <row r="1074" spans="1:10" x14ac:dyDescent="0.25">
      <c r="A1074" t="s">
        <v>132</v>
      </c>
      <c r="B1074" t="s">
        <v>14</v>
      </c>
      <c r="C1074" s="12" t="s">
        <v>109</v>
      </c>
      <c r="D1074" t="s">
        <v>4</v>
      </c>
      <c r="E1074" t="s">
        <v>6</v>
      </c>
      <c r="F1074" t="s">
        <v>8</v>
      </c>
      <c r="G1074" t="s">
        <v>166</v>
      </c>
      <c r="H1074" s="94">
        <v>0.43</v>
      </c>
      <c r="I1074" t="s">
        <v>107</v>
      </c>
      <c r="J1074" t="s">
        <v>63</v>
      </c>
    </row>
    <row r="1075" spans="1:10" x14ac:dyDescent="0.25">
      <c r="A1075" t="s">
        <v>132</v>
      </c>
      <c r="B1075" t="s">
        <v>14</v>
      </c>
      <c r="C1075" s="12" t="s">
        <v>109</v>
      </c>
      <c r="D1075" t="s">
        <v>4</v>
      </c>
      <c r="E1075" t="s">
        <v>6</v>
      </c>
      <c r="F1075" t="s">
        <v>8</v>
      </c>
      <c r="G1075" t="s">
        <v>166</v>
      </c>
      <c r="H1075" s="94">
        <v>0.43</v>
      </c>
      <c r="I1075" t="s">
        <v>107</v>
      </c>
      <c r="J1075" t="s">
        <v>11</v>
      </c>
    </row>
    <row r="1076" spans="1:10" x14ac:dyDescent="0.25">
      <c r="A1076" t="s">
        <v>132</v>
      </c>
      <c r="B1076" t="s">
        <v>14</v>
      </c>
      <c r="C1076" s="12" t="s">
        <v>109</v>
      </c>
      <c r="D1076" t="s">
        <v>4</v>
      </c>
      <c r="E1076" t="s">
        <v>6</v>
      </c>
      <c r="F1076" t="s">
        <v>8</v>
      </c>
      <c r="G1076" t="s">
        <v>166</v>
      </c>
      <c r="H1076" s="94">
        <v>0.43</v>
      </c>
      <c r="I1076" t="s">
        <v>62</v>
      </c>
      <c r="J1076" t="s">
        <v>13</v>
      </c>
    </row>
    <row r="1077" spans="1:10" x14ac:dyDescent="0.25">
      <c r="A1077" t="s">
        <v>132</v>
      </c>
      <c r="B1077" t="s">
        <v>14</v>
      </c>
      <c r="C1077" s="12" t="s">
        <v>109</v>
      </c>
      <c r="D1077" t="s">
        <v>4</v>
      </c>
      <c r="E1077" t="s">
        <v>6</v>
      </c>
      <c r="F1077" t="s">
        <v>8</v>
      </c>
      <c r="G1077" t="s">
        <v>166</v>
      </c>
      <c r="H1077" s="94">
        <v>0.43</v>
      </c>
      <c r="I1077" t="s">
        <v>62</v>
      </c>
      <c r="J1077" t="s">
        <v>63</v>
      </c>
    </row>
    <row r="1078" spans="1:10" x14ac:dyDescent="0.25">
      <c r="A1078" t="s">
        <v>132</v>
      </c>
      <c r="B1078" t="s">
        <v>14</v>
      </c>
      <c r="C1078" s="12" t="s">
        <v>109</v>
      </c>
      <c r="D1078" t="s">
        <v>4</v>
      </c>
      <c r="E1078" t="s">
        <v>6</v>
      </c>
      <c r="F1078" t="s">
        <v>8</v>
      </c>
      <c r="G1078" t="s">
        <v>166</v>
      </c>
      <c r="H1078" s="94">
        <v>0.43</v>
      </c>
      <c r="I1078" t="s">
        <v>62</v>
      </c>
      <c r="J1078" t="s">
        <v>11</v>
      </c>
    </row>
    <row r="1079" spans="1:10" x14ac:dyDescent="0.25">
      <c r="A1079" t="s">
        <v>132</v>
      </c>
      <c r="B1079" t="s">
        <v>14</v>
      </c>
      <c r="C1079" s="12" t="s">
        <v>109</v>
      </c>
      <c r="D1079" t="s">
        <v>4</v>
      </c>
      <c r="E1079" t="s">
        <v>6</v>
      </c>
      <c r="F1079" t="s">
        <v>8</v>
      </c>
      <c r="G1079" t="s">
        <v>166</v>
      </c>
      <c r="H1079" s="94">
        <v>0.43</v>
      </c>
      <c r="I1079" t="s">
        <v>60</v>
      </c>
      <c r="J1079" t="s">
        <v>13</v>
      </c>
    </row>
    <row r="1080" spans="1:10" x14ac:dyDescent="0.25">
      <c r="A1080" t="s">
        <v>132</v>
      </c>
      <c r="B1080" t="s">
        <v>14</v>
      </c>
      <c r="C1080" s="12" t="s">
        <v>109</v>
      </c>
      <c r="D1080" t="s">
        <v>4</v>
      </c>
      <c r="E1080" t="s">
        <v>6</v>
      </c>
      <c r="F1080" t="s">
        <v>8</v>
      </c>
      <c r="G1080" t="s">
        <v>166</v>
      </c>
      <c r="H1080" s="94">
        <v>0.43</v>
      </c>
      <c r="I1080" t="s">
        <v>60</v>
      </c>
      <c r="J1080" t="s">
        <v>63</v>
      </c>
    </row>
    <row r="1081" spans="1:10" x14ac:dyDescent="0.25">
      <c r="A1081" t="s">
        <v>132</v>
      </c>
      <c r="B1081" t="s">
        <v>14</v>
      </c>
      <c r="C1081" s="12" t="s">
        <v>109</v>
      </c>
      <c r="D1081" t="s">
        <v>4</v>
      </c>
      <c r="E1081" t="s">
        <v>6</v>
      </c>
      <c r="F1081" t="s">
        <v>8</v>
      </c>
      <c r="G1081" t="s">
        <v>166</v>
      </c>
      <c r="H1081" s="94">
        <v>0.43</v>
      </c>
      <c r="I1081" t="s">
        <v>60</v>
      </c>
      <c r="J1081" t="s">
        <v>11</v>
      </c>
    </row>
    <row r="1082" spans="1:10" x14ac:dyDescent="0.25">
      <c r="A1082" t="s">
        <v>132</v>
      </c>
      <c r="B1082" t="s">
        <v>167</v>
      </c>
      <c r="C1082" s="12" t="s">
        <v>109</v>
      </c>
      <c r="D1082" t="s">
        <v>4</v>
      </c>
      <c r="E1082" t="s">
        <v>12</v>
      </c>
      <c r="F1082" t="s">
        <v>72</v>
      </c>
      <c r="G1082" t="s">
        <v>166</v>
      </c>
      <c r="H1082" s="94">
        <v>0.22500000000000001</v>
      </c>
      <c r="I1082" t="s">
        <v>107</v>
      </c>
      <c r="J1082" t="s">
        <v>13</v>
      </c>
    </row>
    <row r="1083" spans="1:10" x14ac:dyDescent="0.25">
      <c r="A1083" t="s">
        <v>132</v>
      </c>
      <c r="B1083" t="s">
        <v>167</v>
      </c>
      <c r="C1083" s="12" t="s">
        <v>109</v>
      </c>
      <c r="D1083" t="s">
        <v>4</v>
      </c>
      <c r="E1083" t="s">
        <v>12</v>
      </c>
      <c r="F1083" t="s">
        <v>72</v>
      </c>
      <c r="G1083" t="s">
        <v>166</v>
      </c>
      <c r="H1083" s="94">
        <v>0.22500000000000001</v>
      </c>
      <c r="I1083" t="s">
        <v>107</v>
      </c>
      <c r="J1083" t="s">
        <v>63</v>
      </c>
    </row>
    <row r="1084" spans="1:10" x14ac:dyDescent="0.25">
      <c r="A1084" t="s">
        <v>132</v>
      </c>
      <c r="B1084" t="s">
        <v>167</v>
      </c>
      <c r="C1084" s="12" t="s">
        <v>109</v>
      </c>
      <c r="D1084" t="s">
        <v>4</v>
      </c>
      <c r="E1084" t="s">
        <v>12</v>
      </c>
      <c r="F1084" t="s">
        <v>72</v>
      </c>
      <c r="G1084" t="s">
        <v>166</v>
      </c>
      <c r="H1084" s="94">
        <v>0.22500000000000001</v>
      </c>
      <c r="I1084" t="s">
        <v>107</v>
      </c>
      <c r="J1084" t="s">
        <v>11</v>
      </c>
    </row>
    <row r="1085" spans="1:10" x14ac:dyDescent="0.25">
      <c r="A1085" t="s">
        <v>132</v>
      </c>
      <c r="B1085" t="s">
        <v>167</v>
      </c>
      <c r="C1085" s="12" t="s">
        <v>109</v>
      </c>
      <c r="D1085" t="s">
        <v>4</v>
      </c>
      <c r="E1085" t="s">
        <v>12</v>
      </c>
      <c r="F1085" t="s">
        <v>72</v>
      </c>
      <c r="G1085" t="s">
        <v>166</v>
      </c>
      <c r="H1085" s="94">
        <v>0.22500000000000001</v>
      </c>
      <c r="I1085" t="s">
        <v>62</v>
      </c>
      <c r="J1085" t="s">
        <v>13</v>
      </c>
    </row>
    <row r="1086" spans="1:10" x14ac:dyDescent="0.25">
      <c r="A1086" t="s">
        <v>132</v>
      </c>
      <c r="B1086" t="s">
        <v>167</v>
      </c>
      <c r="C1086" s="12" t="s">
        <v>109</v>
      </c>
      <c r="D1086" t="s">
        <v>4</v>
      </c>
      <c r="E1086" t="s">
        <v>12</v>
      </c>
      <c r="F1086" t="s">
        <v>72</v>
      </c>
      <c r="G1086" t="s">
        <v>166</v>
      </c>
      <c r="H1086" s="94">
        <v>0.22500000000000001</v>
      </c>
      <c r="I1086" t="s">
        <v>62</v>
      </c>
      <c r="J1086" t="s">
        <v>63</v>
      </c>
    </row>
    <row r="1087" spans="1:10" x14ac:dyDescent="0.25">
      <c r="A1087" t="s">
        <v>132</v>
      </c>
      <c r="B1087" t="s">
        <v>167</v>
      </c>
      <c r="C1087" s="12" t="s">
        <v>109</v>
      </c>
      <c r="D1087" t="s">
        <v>4</v>
      </c>
      <c r="E1087" t="s">
        <v>12</v>
      </c>
      <c r="F1087" t="s">
        <v>72</v>
      </c>
      <c r="G1087" t="s">
        <v>166</v>
      </c>
      <c r="H1087" s="94">
        <v>0.22500000000000001</v>
      </c>
      <c r="I1087" t="s">
        <v>62</v>
      </c>
      <c r="J1087" t="s">
        <v>11</v>
      </c>
    </row>
    <row r="1088" spans="1:10" x14ac:dyDescent="0.25">
      <c r="A1088" t="s">
        <v>132</v>
      </c>
      <c r="B1088" t="s">
        <v>167</v>
      </c>
      <c r="C1088" s="12" t="s">
        <v>109</v>
      </c>
      <c r="D1088" t="s">
        <v>4</v>
      </c>
      <c r="E1088" t="s">
        <v>12</v>
      </c>
      <c r="F1088" t="s">
        <v>72</v>
      </c>
      <c r="G1088" t="s">
        <v>166</v>
      </c>
      <c r="H1088" s="94">
        <v>0.22500000000000001</v>
      </c>
      <c r="I1088" t="s">
        <v>60</v>
      </c>
      <c r="J1088" t="s">
        <v>13</v>
      </c>
    </row>
    <row r="1089" spans="1:10" x14ac:dyDescent="0.25">
      <c r="A1089" t="s">
        <v>132</v>
      </c>
      <c r="B1089" t="s">
        <v>167</v>
      </c>
      <c r="C1089" s="12" t="s">
        <v>109</v>
      </c>
      <c r="D1089" t="s">
        <v>4</v>
      </c>
      <c r="E1089" t="s">
        <v>12</v>
      </c>
      <c r="F1089" t="s">
        <v>72</v>
      </c>
      <c r="G1089" t="s">
        <v>166</v>
      </c>
      <c r="H1089" s="94">
        <v>0.22500000000000001</v>
      </c>
      <c r="I1089" t="s">
        <v>60</v>
      </c>
      <c r="J1089" t="s">
        <v>63</v>
      </c>
    </row>
    <row r="1090" spans="1:10" x14ac:dyDescent="0.25">
      <c r="A1090" t="s">
        <v>132</v>
      </c>
      <c r="B1090" t="s">
        <v>167</v>
      </c>
      <c r="C1090" s="12" t="s">
        <v>109</v>
      </c>
      <c r="D1090" t="s">
        <v>4</v>
      </c>
      <c r="E1090" t="s">
        <v>12</v>
      </c>
      <c r="F1090" t="s">
        <v>72</v>
      </c>
      <c r="G1090" t="s">
        <v>166</v>
      </c>
      <c r="H1090" s="94">
        <v>0.22500000000000001</v>
      </c>
      <c r="I1090" t="s">
        <v>60</v>
      </c>
      <c r="J1090" t="s">
        <v>11</v>
      </c>
    </row>
    <row r="1091" spans="1:10" x14ac:dyDescent="0.25">
      <c r="A1091" t="s">
        <v>132</v>
      </c>
      <c r="B1091" t="s">
        <v>167</v>
      </c>
      <c r="C1091" s="12" t="s">
        <v>109</v>
      </c>
      <c r="D1091" t="s">
        <v>4</v>
      </c>
      <c r="E1091" t="s">
        <v>12</v>
      </c>
      <c r="F1091" t="s">
        <v>72</v>
      </c>
      <c r="G1091" t="s">
        <v>166</v>
      </c>
      <c r="H1091" s="94">
        <v>0.43</v>
      </c>
      <c r="I1091" t="s">
        <v>107</v>
      </c>
      <c r="J1091" t="s">
        <v>13</v>
      </c>
    </row>
    <row r="1092" spans="1:10" x14ac:dyDescent="0.25">
      <c r="A1092" t="s">
        <v>132</v>
      </c>
      <c r="B1092" t="s">
        <v>167</v>
      </c>
      <c r="C1092" s="12" t="s">
        <v>109</v>
      </c>
      <c r="D1092" t="s">
        <v>4</v>
      </c>
      <c r="E1092" t="s">
        <v>12</v>
      </c>
      <c r="F1092" t="s">
        <v>72</v>
      </c>
      <c r="G1092" t="s">
        <v>166</v>
      </c>
      <c r="H1092" s="94">
        <v>0.43</v>
      </c>
      <c r="I1092" t="s">
        <v>107</v>
      </c>
      <c r="J1092" t="s">
        <v>63</v>
      </c>
    </row>
    <row r="1093" spans="1:10" x14ac:dyDescent="0.25">
      <c r="A1093" t="s">
        <v>132</v>
      </c>
      <c r="B1093" t="s">
        <v>167</v>
      </c>
      <c r="C1093" s="12" t="s">
        <v>109</v>
      </c>
      <c r="D1093" t="s">
        <v>4</v>
      </c>
      <c r="E1093" t="s">
        <v>12</v>
      </c>
      <c r="F1093" t="s">
        <v>72</v>
      </c>
      <c r="G1093" t="s">
        <v>166</v>
      </c>
      <c r="H1093" s="94">
        <v>0.43</v>
      </c>
      <c r="I1093" t="s">
        <v>107</v>
      </c>
      <c r="J1093" t="s">
        <v>11</v>
      </c>
    </row>
    <row r="1094" spans="1:10" x14ac:dyDescent="0.25">
      <c r="A1094" t="s">
        <v>132</v>
      </c>
      <c r="B1094" t="s">
        <v>167</v>
      </c>
      <c r="C1094" s="12" t="s">
        <v>109</v>
      </c>
      <c r="D1094" t="s">
        <v>4</v>
      </c>
      <c r="E1094" t="s">
        <v>12</v>
      </c>
      <c r="F1094" t="s">
        <v>72</v>
      </c>
      <c r="G1094" t="s">
        <v>166</v>
      </c>
      <c r="H1094" s="94">
        <v>0.43</v>
      </c>
      <c r="I1094" t="s">
        <v>62</v>
      </c>
      <c r="J1094" t="s">
        <v>13</v>
      </c>
    </row>
    <row r="1095" spans="1:10" x14ac:dyDescent="0.25">
      <c r="A1095" t="s">
        <v>132</v>
      </c>
      <c r="B1095" t="s">
        <v>167</v>
      </c>
      <c r="C1095" s="12" t="s">
        <v>109</v>
      </c>
      <c r="D1095" t="s">
        <v>4</v>
      </c>
      <c r="E1095" t="s">
        <v>12</v>
      </c>
      <c r="F1095" t="s">
        <v>72</v>
      </c>
      <c r="G1095" t="s">
        <v>166</v>
      </c>
      <c r="H1095" s="94">
        <v>0.43</v>
      </c>
      <c r="I1095" t="s">
        <v>62</v>
      </c>
      <c r="J1095" t="s">
        <v>63</v>
      </c>
    </row>
    <row r="1096" spans="1:10" x14ac:dyDescent="0.25">
      <c r="A1096" t="s">
        <v>132</v>
      </c>
      <c r="B1096" t="s">
        <v>167</v>
      </c>
      <c r="C1096" s="12" t="s">
        <v>109</v>
      </c>
      <c r="D1096" t="s">
        <v>4</v>
      </c>
      <c r="E1096" t="s">
        <v>12</v>
      </c>
      <c r="F1096" t="s">
        <v>72</v>
      </c>
      <c r="G1096" t="s">
        <v>166</v>
      </c>
      <c r="H1096" s="94">
        <v>0.43</v>
      </c>
      <c r="I1096" t="s">
        <v>62</v>
      </c>
      <c r="J1096" t="s">
        <v>11</v>
      </c>
    </row>
    <row r="1097" spans="1:10" x14ac:dyDescent="0.25">
      <c r="A1097" t="s">
        <v>132</v>
      </c>
      <c r="B1097" t="s">
        <v>167</v>
      </c>
      <c r="C1097" s="12" t="s">
        <v>109</v>
      </c>
      <c r="D1097" t="s">
        <v>4</v>
      </c>
      <c r="E1097" t="s">
        <v>12</v>
      </c>
      <c r="F1097" t="s">
        <v>72</v>
      </c>
      <c r="G1097" t="s">
        <v>166</v>
      </c>
      <c r="H1097" s="94">
        <v>0.43</v>
      </c>
      <c r="I1097" t="s">
        <v>60</v>
      </c>
      <c r="J1097" t="s">
        <v>13</v>
      </c>
    </row>
    <row r="1098" spans="1:10" x14ac:dyDescent="0.25">
      <c r="A1098" t="s">
        <v>132</v>
      </c>
      <c r="B1098" t="s">
        <v>167</v>
      </c>
      <c r="C1098" s="12" t="s">
        <v>109</v>
      </c>
      <c r="D1098" t="s">
        <v>4</v>
      </c>
      <c r="E1098" t="s">
        <v>12</v>
      </c>
      <c r="F1098" t="s">
        <v>72</v>
      </c>
      <c r="G1098" t="s">
        <v>166</v>
      </c>
      <c r="H1098" s="94">
        <v>0.43</v>
      </c>
      <c r="I1098" t="s">
        <v>60</v>
      </c>
      <c r="J1098" t="s">
        <v>63</v>
      </c>
    </row>
    <row r="1099" spans="1:10" x14ac:dyDescent="0.25">
      <c r="A1099" t="s">
        <v>132</v>
      </c>
      <c r="B1099" t="s">
        <v>167</v>
      </c>
      <c r="C1099" s="12" t="s">
        <v>109</v>
      </c>
      <c r="D1099" t="s">
        <v>4</v>
      </c>
      <c r="E1099" t="s">
        <v>12</v>
      </c>
      <c r="F1099" t="s">
        <v>72</v>
      </c>
      <c r="G1099" t="s">
        <v>166</v>
      </c>
      <c r="H1099" s="94">
        <v>0.43</v>
      </c>
      <c r="I1099" t="s">
        <v>60</v>
      </c>
      <c r="J1099" t="s">
        <v>11</v>
      </c>
    </row>
    <row r="1100" spans="1:10" x14ac:dyDescent="0.25">
      <c r="A1100" t="s">
        <v>132</v>
      </c>
      <c r="B1100" t="s">
        <v>167</v>
      </c>
      <c r="C1100" s="12" t="s">
        <v>109</v>
      </c>
      <c r="D1100" t="s">
        <v>4</v>
      </c>
      <c r="E1100" t="s">
        <v>12</v>
      </c>
      <c r="F1100" t="s">
        <v>16</v>
      </c>
      <c r="G1100" t="s">
        <v>166</v>
      </c>
      <c r="H1100" s="94">
        <v>0.22500000000000001</v>
      </c>
      <c r="I1100" t="s">
        <v>107</v>
      </c>
      <c r="J1100" t="s">
        <v>13</v>
      </c>
    </row>
    <row r="1101" spans="1:10" x14ac:dyDescent="0.25">
      <c r="A1101" t="s">
        <v>132</v>
      </c>
      <c r="B1101" t="s">
        <v>167</v>
      </c>
      <c r="C1101" s="12" t="s">
        <v>109</v>
      </c>
      <c r="D1101" t="s">
        <v>4</v>
      </c>
      <c r="E1101" t="s">
        <v>12</v>
      </c>
      <c r="F1101" t="s">
        <v>16</v>
      </c>
      <c r="G1101" t="s">
        <v>166</v>
      </c>
      <c r="H1101" s="94">
        <v>0.22500000000000001</v>
      </c>
      <c r="I1101" t="s">
        <v>107</v>
      </c>
      <c r="J1101" t="s">
        <v>63</v>
      </c>
    </row>
    <row r="1102" spans="1:10" x14ac:dyDescent="0.25">
      <c r="A1102" t="s">
        <v>132</v>
      </c>
      <c r="B1102" t="s">
        <v>167</v>
      </c>
      <c r="C1102" s="12" t="s">
        <v>109</v>
      </c>
      <c r="D1102" t="s">
        <v>4</v>
      </c>
      <c r="E1102" t="s">
        <v>12</v>
      </c>
      <c r="F1102" t="s">
        <v>16</v>
      </c>
      <c r="G1102" t="s">
        <v>166</v>
      </c>
      <c r="H1102" s="94">
        <v>0.22500000000000001</v>
      </c>
      <c r="I1102" t="s">
        <v>107</v>
      </c>
      <c r="J1102" t="s">
        <v>11</v>
      </c>
    </row>
    <row r="1103" spans="1:10" x14ac:dyDescent="0.25">
      <c r="A1103" t="s">
        <v>132</v>
      </c>
      <c r="B1103" t="s">
        <v>167</v>
      </c>
      <c r="C1103" s="12" t="s">
        <v>109</v>
      </c>
      <c r="D1103" t="s">
        <v>4</v>
      </c>
      <c r="E1103" t="s">
        <v>12</v>
      </c>
      <c r="F1103" t="s">
        <v>16</v>
      </c>
      <c r="G1103" t="s">
        <v>166</v>
      </c>
      <c r="H1103" s="94">
        <v>0.22500000000000001</v>
      </c>
      <c r="I1103" t="s">
        <v>62</v>
      </c>
      <c r="J1103" t="s">
        <v>13</v>
      </c>
    </row>
    <row r="1104" spans="1:10" x14ac:dyDescent="0.25">
      <c r="A1104" t="s">
        <v>132</v>
      </c>
      <c r="B1104" t="s">
        <v>167</v>
      </c>
      <c r="C1104" s="12" t="s">
        <v>109</v>
      </c>
      <c r="D1104" t="s">
        <v>4</v>
      </c>
      <c r="E1104" t="s">
        <v>12</v>
      </c>
      <c r="F1104" t="s">
        <v>16</v>
      </c>
      <c r="G1104" t="s">
        <v>166</v>
      </c>
      <c r="H1104" s="94">
        <v>0.22500000000000001</v>
      </c>
      <c r="I1104" t="s">
        <v>62</v>
      </c>
      <c r="J1104" t="s">
        <v>63</v>
      </c>
    </row>
    <row r="1105" spans="1:10" x14ac:dyDescent="0.25">
      <c r="A1105" t="s">
        <v>132</v>
      </c>
      <c r="B1105" t="s">
        <v>167</v>
      </c>
      <c r="C1105" s="12" t="s">
        <v>109</v>
      </c>
      <c r="D1105" t="s">
        <v>4</v>
      </c>
      <c r="E1105" t="s">
        <v>12</v>
      </c>
      <c r="F1105" t="s">
        <v>16</v>
      </c>
      <c r="G1105" t="s">
        <v>166</v>
      </c>
      <c r="H1105" s="94">
        <v>0.22500000000000001</v>
      </c>
      <c r="I1105" t="s">
        <v>62</v>
      </c>
      <c r="J1105" t="s">
        <v>11</v>
      </c>
    </row>
    <row r="1106" spans="1:10" x14ac:dyDescent="0.25">
      <c r="A1106" t="s">
        <v>132</v>
      </c>
      <c r="B1106" t="s">
        <v>167</v>
      </c>
      <c r="C1106" s="12" t="s">
        <v>109</v>
      </c>
      <c r="D1106" t="s">
        <v>4</v>
      </c>
      <c r="E1106" t="s">
        <v>12</v>
      </c>
      <c r="F1106" t="s">
        <v>16</v>
      </c>
      <c r="G1106" t="s">
        <v>166</v>
      </c>
      <c r="H1106" s="94">
        <v>0.22500000000000001</v>
      </c>
      <c r="I1106" t="s">
        <v>60</v>
      </c>
      <c r="J1106" t="s">
        <v>13</v>
      </c>
    </row>
    <row r="1107" spans="1:10" x14ac:dyDescent="0.25">
      <c r="A1107" t="s">
        <v>132</v>
      </c>
      <c r="B1107" t="s">
        <v>167</v>
      </c>
      <c r="C1107" s="12" t="s">
        <v>109</v>
      </c>
      <c r="D1107" t="s">
        <v>4</v>
      </c>
      <c r="E1107" t="s">
        <v>12</v>
      </c>
      <c r="F1107" t="s">
        <v>16</v>
      </c>
      <c r="G1107" t="s">
        <v>166</v>
      </c>
      <c r="H1107" s="94">
        <v>0.22500000000000001</v>
      </c>
      <c r="I1107" t="s">
        <v>60</v>
      </c>
      <c r="J1107" t="s">
        <v>63</v>
      </c>
    </row>
    <row r="1108" spans="1:10" x14ac:dyDescent="0.25">
      <c r="A1108" t="s">
        <v>132</v>
      </c>
      <c r="B1108" t="s">
        <v>167</v>
      </c>
      <c r="C1108" s="12" t="s">
        <v>109</v>
      </c>
      <c r="D1108" t="s">
        <v>4</v>
      </c>
      <c r="E1108" t="s">
        <v>12</v>
      </c>
      <c r="F1108" t="s">
        <v>16</v>
      </c>
      <c r="G1108" t="s">
        <v>166</v>
      </c>
      <c r="H1108" s="94">
        <v>0.22500000000000001</v>
      </c>
      <c r="I1108" t="s">
        <v>60</v>
      </c>
      <c r="J1108" t="s">
        <v>11</v>
      </c>
    </row>
    <row r="1109" spans="1:10" x14ac:dyDescent="0.25">
      <c r="A1109" t="s">
        <v>132</v>
      </c>
      <c r="B1109" t="s">
        <v>167</v>
      </c>
      <c r="C1109" s="12" t="s">
        <v>109</v>
      </c>
      <c r="D1109" t="s">
        <v>4</v>
      </c>
      <c r="E1109" t="s">
        <v>12</v>
      </c>
      <c r="F1109" t="s">
        <v>16</v>
      </c>
      <c r="G1109" t="s">
        <v>166</v>
      </c>
      <c r="H1109" s="94">
        <v>0.43</v>
      </c>
      <c r="I1109" t="s">
        <v>107</v>
      </c>
      <c r="J1109" t="s">
        <v>13</v>
      </c>
    </row>
    <row r="1110" spans="1:10" x14ac:dyDescent="0.25">
      <c r="A1110" t="s">
        <v>132</v>
      </c>
      <c r="B1110" t="s">
        <v>167</v>
      </c>
      <c r="C1110" s="12" t="s">
        <v>109</v>
      </c>
      <c r="D1110" t="s">
        <v>4</v>
      </c>
      <c r="E1110" t="s">
        <v>12</v>
      </c>
      <c r="F1110" t="s">
        <v>16</v>
      </c>
      <c r="G1110" t="s">
        <v>166</v>
      </c>
      <c r="H1110" s="94">
        <v>0.43</v>
      </c>
      <c r="I1110" t="s">
        <v>107</v>
      </c>
      <c r="J1110" t="s">
        <v>63</v>
      </c>
    </row>
    <row r="1111" spans="1:10" x14ac:dyDescent="0.25">
      <c r="A1111" t="s">
        <v>132</v>
      </c>
      <c r="B1111" t="s">
        <v>167</v>
      </c>
      <c r="C1111" s="12" t="s">
        <v>109</v>
      </c>
      <c r="D1111" t="s">
        <v>4</v>
      </c>
      <c r="E1111" t="s">
        <v>12</v>
      </c>
      <c r="F1111" t="s">
        <v>16</v>
      </c>
      <c r="G1111" t="s">
        <v>166</v>
      </c>
      <c r="H1111" s="94">
        <v>0.43</v>
      </c>
      <c r="I1111" t="s">
        <v>107</v>
      </c>
      <c r="J1111" t="s">
        <v>11</v>
      </c>
    </row>
    <row r="1112" spans="1:10" x14ac:dyDescent="0.25">
      <c r="A1112" t="s">
        <v>132</v>
      </c>
      <c r="B1112" t="s">
        <v>167</v>
      </c>
      <c r="C1112" s="12" t="s">
        <v>109</v>
      </c>
      <c r="D1112" t="s">
        <v>4</v>
      </c>
      <c r="E1112" t="s">
        <v>12</v>
      </c>
      <c r="F1112" t="s">
        <v>16</v>
      </c>
      <c r="G1112" t="s">
        <v>166</v>
      </c>
      <c r="H1112" s="94">
        <v>0.43</v>
      </c>
      <c r="I1112" t="s">
        <v>62</v>
      </c>
      <c r="J1112" t="s">
        <v>13</v>
      </c>
    </row>
    <row r="1113" spans="1:10" x14ac:dyDescent="0.25">
      <c r="A1113" t="s">
        <v>132</v>
      </c>
      <c r="B1113" t="s">
        <v>167</v>
      </c>
      <c r="C1113" s="12" t="s">
        <v>109</v>
      </c>
      <c r="D1113" t="s">
        <v>4</v>
      </c>
      <c r="E1113" t="s">
        <v>12</v>
      </c>
      <c r="F1113" t="s">
        <v>16</v>
      </c>
      <c r="G1113" t="s">
        <v>166</v>
      </c>
      <c r="H1113" s="94">
        <v>0.43</v>
      </c>
      <c r="I1113" t="s">
        <v>62</v>
      </c>
      <c r="J1113" t="s">
        <v>63</v>
      </c>
    </row>
    <row r="1114" spans="1:10" x14ac:dyDescent="0.25">
      <c r="A1114" t="s">
        <v>132</v>
      </c>
      <c r="B1114" t="s">
        <v>167</v>
      </c>
      <c r="C1114" s="12" t="s">
        <v>109</v>
      </c>
      <c r="D1114" t="s">
        <v>4</v>
      </c>
      <c r="E1114" t="s">
        <v>12</v>
      </c>
      <c r="F1114" t="s">
        <v>16</v>
      </c>
      <c r="G1114" t="s">
        <v>166</v>
      </c>
      <c r="H1114" s="94">
        <v>0.43</v>
      </c>
      <c r="I1114" t="s">
        <v>62</v>
      </c>
      <c r="J1114" t="s">
        <v>11</v>
      </c>
    </row>
    <row r="1115" spans="1:10" x14ac:dyDescent="0.25">
      <c r="A1115" t="s">
        <v>132</v>
      </c>
      <c r="B1115" t="s">
        <v>167</v>
      </c>
      <c r="C1115" s="12" t="s">
        <v>109</v>
      </c>
      <c r="D1115" t="s">
        <v>4</v>
      </c>
      <c r="E1115" t="s">
        <v>12</v>
      </c>
      <c r="F1115" t="s">
        <v>16</v>
      </c>
      <c r="G1115" t="s">
        <v>166</v>
      </c>
      <c r="H1115" s="94">
        <v>0.43</v>
      </c>
      <c r="I1115" t="s">
        <v>60</v>
      </c>
      <c r="J1115" t="s">
        <v>13</v>
      </c>
    </row>
    <row r="1116" spans="1:10" x14ac:dyDescent="0.25">
      <c r="A1116" t="s">
        <v>132</v>
      </c>
      <c r="B1116" t="s">
        <v>167</v>
      </c>
      <c r="C1116" s="12" t="s">
        <v>109</v>
      </c>
      <c r="D1116" t="s">
        <v>4</v>
      </c>
      <c r="E1116" t="s">
        <v>12</v>
      </c>
      <c r="F1116" t="s">
        <v>16</v>
      </c>
      <c r="G1116" t="s">
        <v>166</v>
      </c>
      <c r="H1116" s="94">
        <v>0.43</v>
      </c>
      <c r="I1116" t="s">
        <v>60</v>
      </c>
      <c r="J1116" t="s">
        <v>63</v>
      </c>
    </row>
    <row r="1117" spans="1:10" x14ac:dyDescent="0.25">
      <c r="A1117" t="s">
        <v>132</v>
      </c>
      <c r="B1117" t="s">
        <v>167</v>
      </c>
      <c r="C1117" s="12" t="s">
        <v>109</v>
      </c>
      <c r="D1117" t="s">
        <v>4</v>
      </c>
      <c r="E1117" t="s">
        <v>12</v>
      </c>
      <c r="F1117" t="s">
        <v>16</v>
      </c>
      <c r="G1117" t="s">
        <v>166</v>
      </c>
      <c r="H1117" s="94">
        <v>0.43</v>
      </c>
      <c r="I1117" t="s">
        <v>60</v>
      </c>
      <c r="J1117" t="s">
        <v>11</v>
      </c>
    </row>
    <row r="1118" spans="1:10" x14ac:dyDescent="0.25">
      <c r="A1118" t="s">
        <v>132</v>
      </c>
      <c r="B1118" t="s">
        <v>167</v>
      </c>
      <c r="C1118" s="12" t="s">
        <v>109</v>
      </c>
      <c r="D1118" t="s">
        <v>4</v>
      </c>
      <c r="E1118" t="s">
        <v>12</v>
      </c>
      <c r="F1118" t="s">
        <v>8</v>
      </c>
      <c r="G1118" t="s">
        <v>166</v>
      </c>
      <c r="H1118" s="94">
        <v>0.22500000000000001</v>
      </c>
      <c r="I1118" t="s">
        <v>107</v>
      </c>
      <c r="J1118" t="s">
        <v>13</v>
      </c>
    </row>
    <row r="1119" spans="1:10" x14ac:dyDescent="0.25">
      <c r="A1119" t="s">
        <v>132</v>
      </c>
      <c r="B1119" t="s">
        <v>167</v>
      </c>
      <c r="C1119" s="12" t="s">
        <v>109</v>
      </c>
      <c r="D1119" t="s">
        <v>4</v>
      </c>
      <c r="E1119" t="s">
        <v>12</v>
      </c>
      <c r="F1119" t="s">
        <v>8</v>
      </c>
      <c r="G1119" t="s">
        <v>166</v>
      </c>
      <c r="H1119" s="94">
        <v>0.22500000000000001</v>
      </c>
      <c r="I1119" t="s">
        <v>107</v>
      </c>
      <c r="J1119" t="s">
        <v>63</v>
      </c>
    </row>
    <row r="1120" spans="1:10" x14ac:dyDescent="0.25">
      <c r="A1120" t="s">
        <v>132</v>
      </c>
      <c r="B1120" t="s">
        <v>167</v>
      </c>
      <c r="C1120" s="12" t="s">
        <v>109</v>
      </c>
      <c r="D1120" t="s">
        <v>4</v>
      </c>
      <c r="E1120" t="s">
        <v>12</v>
      </c>
      <c r="F1120" t="s">
        <v>8</v>
      </c>
      <c r="G1120" t="s">
        <v>166</v>
      </c>
      <c r="H1120" s="94">
        <v>0.22500000000000001</v>
      </c>
      <c r="I1120" t="s">
        <v>107</v>
      </c>
      <c r="J1120" t="s">
        <v>11</v>
      </c>
    </row>
    <row r="1121" spans="1:10" x14ac:dyDescent="0.25">
      <c r="A1121" t="s">
        <v>132</v>
      </c>
      <c r="B1121" t="s">
        <v>167</v>
      </c>
      <c r="C1121" s="12" t="s">
        <v>109</v>
      </c>
      <c r="D1121" t="s">
        <v>4</v>
      </c>
      <c r="E1121" t="s">
        <v>12</v>
      </c>
      <c r="F1121" t="s">
        <v>8</v>
      </c>
      <c r="G1121" t="s">
        <v>166</v>
      </c>
      <c r="H1121" s="94">
        <v>0.22500000000000001</v>
      </c>
      <c r="I1121" t="s">
        <v>62</v>
      </c>
      <c r="J1121" t="s">
        <v>13</v>
      </c>
    </row>
    <row r="1122" spans="1:10" x14ac:dyDescent="0.25">
      <c r="A1122" t="s">
        <v>132</v>
      </c>
      <c r="B1122" t="s">
        <v>167</v>
      </c>
      <c r="C1122" s="12" t="s">
        <v>109</v>
      </c>
      <c r="D1122" t="s">
        <v>4</v>
      </c>
      <c r="E1122" t="s">
        <v>12</v>
      </c>
      <c r="F1122" t="s">
        <v>8</v>
      </c>
      <c r="G1122" t="s">
        <v>166</v>
      </c>
      <c r="H1122" s="94">
        <v>0.22500000000000001</v>
      </c>
      <c r="I1122" t="s">
        <v>62</v>
      </c>
      <c r="J1122" t="s">
        <v>63</v>
      </c>
    </row>
    <row r="1123" spans="1:10" x14ac:dyDescent="0.25">
      <c r="A1123" t="s">
        <v>132</v>
      </c>
      <c r="B1123" t="s">
        <v>167</v>
      </c>
      <c r="C1123" s="12" t="s">
        <v>109</v>
      </c>
      <c r="D1123" t="s">
        <v>4</v>
      </c>
      <c r="E1123" t="s">
        <v>12</v>
      </c>
      <c r="F1123" t="s">
        <v>8</v>
      </c>
      <c r="G1123" t="s">
        <v>166</v>
      </c>
      <c r="H1123" s="94">
        <v>0.22500000000000001</v>
      </c>
      <c r="I1123" t="s">
        <v>62</v>
      </c>
      <c r="J1123" t="s">
        <v>11</v>
      </c>
    </row>
    <row r="1124" spans="1:10" x14ac:dyDescent="0.25">
      <c r="A1124" t="s">
        <v>132</v>
      </c>
      <c r="B1124" t="s">
        <v>167</v>
      </c>
      <c r="C1124" s="12" t="s">
        <v>109</v>
      </c>
      <c r="D1124" t="s">
        <v>4</v>
      </c>
      <c r="E1124" t="s">
        <v>12</v>
      </c>
      <c r="F1124" t="s">
        <v>8</v>
      </c>
      <c r="G1124" t="s">
        <v>166</v>
      </c>
      <c r="H1124" s="94">
        <v>0.22500000000000001</v>
      </c>
      <c r="I1124" t="s">
        <v>60</v>
      </c>
      <c r="J1124" t="s">
        <v>13</v>
      </c>
    </row>
    <row r="1125" spans="1:10" x14ac:dyDescent="0.25">
      <c r="A1125" t="s">
        <v>132</v>
      </c>
      <c r="B1125" t="s">
        <v>167</v>
      </c>
      <c r="C1125" s="12" t="s">
        <v>109</v>
      </c>
      <c r="D1125" t="s">
        <v>4</v>
      </c>
      <c r="E1125" t="s">
        <v>12</v>
      </c>
      <c r="F1125" t="s">
        <v>8</v>
      </c>
      <c r="G1125" t="s">
        <v>166</v>
      </c>
      <c r="H1125" s="94">
        <v>0.22500000000000001</v>
      </c>
      <c r="I1125" t="s">
        <v>60</v>
      </c>
      <c r="J1125" t="s">
        <v>63</v>
      </c>
    </row>
    <row r="1126" spans="1:10" x14ac:dyDescent="0.25">
      <c r="A1126" t="s">
        <v>132</v>
      </c>
      <c r="B1126" t="s">
        <v>167</v>
      </c>
      <c r="C1126" s="12" t="s">
        <v>109</v>
      </c>
      <c r="D1126" t="s">
        <v>4</v>
      </c>
      <c r="E1126" t="s">
        <v>12</v>
      </c>
      <c r="F1126" t="s">
        <v>8</v>
      </c>
      <c r="G1126" t="s">
        <v>166</v>
      </c>
      <c r="H1126" s="94">
        <v>0.22500000000000001</v>
      </c>
      <c r="I1126" t="s">
        <v>60</v>
      </c>
      <c r="J1126" t="s">
        <v>11</v>
      </c>
    </row>
    <row r="1127" spans="1:10" x14ac:dyDescent="0.25">
      <c r="A1127" t="s">
        <v>132</v>
      </c>
      <c r="B1127" t="s">
        <v>167</v>
      </c>
      <c r="C1127" s="12" t="s">
        <v>109</v>
      </c>
      <c r="D1127" t="s">
        <v>4</v>
      </c>
      <c r="E1127" t="s">
        <v>12</v>
      </c>
      <c r="F1127" t="s">
        <v>8</v>
      </c>
      <c r="G1127" t="s">
        <v>166</v>
      </c>
      <c r="H1127" s="94">
        <v>0.43</v>
      </c>
      <c r="I1127" t="s">
        <v>107</v>
      </c>
      <c r="J1127" t="s">
        <v>13</v>
      </c>
    </row>
    <row r="1128" spans="1:10" x14ac:dyDescent="0.25">
      <c r="A1128" t="s">
        <v>132</v>
      </c>
      <c r="B1128" t="s">
        <v>167</v>
      </c>
      <c r="C1128" s="12" t="s">
        <v>109</v>
      </c>
      <c r="D1128" t="s">
        <v>4</v>
      </c>
      <c r="E1128" t="s">
        <v>12</v>
      </c>
      <c r="F1128" t="s">
        <v>8</v>
      </c>
      <c r="G1128" t="s">
        <v>166</v>
      </c>
      <c r="H1128" s="94">
        <v>0.43</v>
      </c>
      <c r="I1128" t="s">
        <v>107</v>
      </c>
      <c r="J1128" t="s">
        <v>63</v>
      </c>
    </row>
    <row r="1129" spans="1:10" x14ac:dyDescent="0.25">
      <c r="A1129" t="s">
        <v>132</v>
      </c>
      <c r="B1129" t="s">
        <v>167</v>
      </c>
      <c r="C1129" s="12" t="s">
        <v>109</v>
      </c>
      <c r="D1129" t="s">
        <v>4</v>
      </c>
      <c r="E1129" t="s">
        <v>12</v>
      </c>
      <c r="F1129" t="s">
        <v>8</v>
      </c>
      <c r="G1129" t="s">
        <v>166</v>
      </c>
      <c r="H1129" s="94">
        <v>0.43</v>
      </c>
      <c r="I1129" t="s">
        <v>107</v>
      </c>
      <c r="J1129" t="s">
        <v>11</v>
      </c>
    </row>
    <row r="1130" spans="1:10" x14ac:dyDescent="0.25">
      <c r="A1130" t="s">
        <v>132</v>
      </c>
      <c r="B1130" t="s">
        <v>167</v>
      </c>
      <c r="C1130" s="12" t="s">
        <v>109</v>
      </c>
      <c r="D1130" t="s">
        <v>4</v>
      </c>
      <c r="E1130" t="s">
        <v>12</v>
      </c>
      <c r="F1130" t="s">
        <v>8</v>
      </c>
      <c r="G1130" t="s">
        <v>166</v>
      </c>
      <c r="H1130" s="94">
        <v>0.43</v>
      </c>
      <c r="I1130" t="s">
        <v>62</v>
      </c>
      <c r="J1130" t="s">
        <v>13</v>
      </c>
    </row>
    <row r="1131" spans="1:10" x14ac:dyDescent="0.25">
      <c r="A1131" t="s">
        <v>132</v>
      </c>
      <c r="B1131" t="s">
        <v>167</v>
      </c>
      <c r="C1131" s="12" t="s">
        <v>109</v>
      </c>
      <c r="D1131" t="s">
        <v>4</v>
      </c>
      <c r="E1131" t="s">
        <v>12</v>
      </c>
      <c r="F1131" t="s">
        <v>8</v>
      </c>
      <c r="G1131" t="s">
        <v>166</v>
      </c>
      <c r="H1131" s="94">
        <v>0.43</v>
      </c>
      <c r="I1131" t="s">
        <v>62</v>
      </c>
      <c r="J1131" t="s">
        <v>63</v>
      </c>
    </row>
    <row r="1132" spans="1:10" x14ac:dyDescent="0.25">
      <c r="A1132" t="s">
        <v>132</v>
      </c>
      <c r="B1132" t="s">
        <v>167</v>
      </c>
      <c r="C1132" s="12" t="s">
        <v>109</v>
      </c>
      <c r="D1132" t="s">
        <v>4</v>
      </c>
      <c r="E1132" t="s">
        <v>12</v>
      </c>
      <c r="F1132" t="s">
        <v>8</v>
      </c>
      <c r="G1132" t="s">
        <v>166</v>
      </c>
      <c r="H1132" s="94">
        <v>0.43</v>
      </c>
      <c r="I1132" t="s">
        <v>62</v>
      </c>
      <c r="J1132" t="s">
        <v>11</v>
      </c>
    </row>
    <row r="1133" spans="1:10" x14ac:dyDescent="0.25">
      <c r="A1133" t="s">
        <v>132</v>
      </c>
      <c r="B1133" t="s">
        <v>167</v>
      </c>
      <c r="C1133" s="12" t="s">
        <v>109</v>
      </c>
      <c r="D1133" t="s">
        <v>4</v>
      </c>
      <c r="E1133" t="s">
        <v>12</v>
      </c>
      <c r="F1133" t="s">
        <v>8</v>
      </c>
      <c r="G1133" t="s">
        <v>166</v>
      </c>
      <c r="H1133" s="94">
        <v>0.43</v>
      </c>
      <c r="I1133" t="s">
        <v>60</v>
      </c>
      <c r="J1133" t="s">
        <v>13</v>
      </c>
    </row>
    <row r="1134" spans="1:10" x14ac:dyDescent="0.25">
      <c r="A1134" t="s">
        <v>132</v>
      </c>
      <c r="B1134" t="s">
        <v>167</v>
      </c>
      <c r="C1134" s="12" t="s">
        <v>109</v>
      </c>
      <c r="D1134" t="s">
        <v>4</v>
      </c>
      <c r="E1134" t="s">
        <v>12</v>
      </c>
      <c r="F1134" t="s">
        <v>8</v>
      </c>
      <c r="G1134" t="s">
        <v>166</v>
      </c>
      <c r="H1134" s="94">
        <v>0.43</v>
      </c>
      <c r="I1134" t="s">
        <v>60</v>
      </c>
      <c r="J1134" t="s">
        <v>63</v>
      </c>
    </row>
    <row r="1135" spans="1:10" x14ac:dyDescent="0.25">
      <c r="A1135" t="s">
        <v>132</v>
      </c>
      <c r="B1135" t="s">
        <v>167</v>
      </c>
      <c r="C1135" s="12" t="s">
        <v>109</v>
      </c>
      <c r="D1135" t="s">
        <v>4</v>
      </c>
      <c r="E1135" t="s">
        <v>12</v>
      </c>
      <c r="F1135" t="s">
        <v>8</v>
      </c>
      <c r="G1135" t="s">
        <v>166</v>
      </c>
      <c r="H1135" s="94">
        <v>0.43</v>
      </c>
      <c r="I1135" t="s">
        <v>60</v>
      </c>
      <c r="J1135" t="s">
        <v>11</v>
      </c>
    </row>
    <row r="1136" spans="1:10" x14ac:dyDescent="0.25">
      <c r="A1136" t="s">
        <v>132</v>
      </c>
      <c r="B1136" t="s">
        <v>167</v>
      </c>
      <c r="C1136" s="12" t="s">
        <v>109</v>
      </c>
      <c r="D1136" t="s">
        <v>4</v>
      </c>
      <c r="E1136" t="s">
        <v>6</v>
      </c>
      <c r="F1136" t="s">
        <v>72</v>
      </c>
      <c r="G1136" t="s">
        <v>166</v>
      </c>
      <c r="H1136" s="94">
        <v>0.22500000000000001</v>
      </c>
      <c r="I1136" t="s">
        <v>107</v>
      </c>
      <c r="J1136" t="s">
        <v>13</v>
      </c>
    </row>
    <row r="1137" spans="1:10" x14ac:dyDescent="0.25">
      <c r="A1137" t="s">
        <v>132</v>
      </c>
      <c r="B1137" t="s">
        <v>167</v>
      </c>
      <c r="C1137" s="12" t="s">
        <v>109</v>
      </c>
      <c r="D1137" t="s">
        <v>4</v>
      </c>
      <c r="E1137" t="s">
        <v>6</v>
      </c>
      <c r="F1137" t="s">
        <v>72</v>
      </c>
      <c r="G1137" t="s">
        <v>166</v>
      </c>
      <c r="H1137" s="94">
        <v>0.22500000000000001</v>
      </c>
      <c r="I1137" t="s">
        <v>107</v>
      </c>
      <c r="J1137" t="s">
        <v>63</v>
      </c>
    </row>
    <row r="1138" spans="1:10" x14ac:dyDescent="0.25">
      <c r="A1138" t="s">
        <v>132</v>
      </c>
      <c r="B1138" t="s">
        <v>167</v>
      </c>
      <c r="C1138" s="12" t="s">
        <v>109</v>
      </c>
      <c r="D1138" t="s">
        <v>4</v>
      </c>
      <c r="E1138" t="s">
        <v>6</v>
      </c>
      <c r="F1138" t="s">
        <v>72</v>
      </c>
      <c r="G1138" t="s">
        <v>166</v>
      </c>
      <c r="H1138" s="94">
        <v>0.22500000000000001</v>
      </c>
      <c r="I1138" t="s">
        <v>107</v>
      </c>
      <c r="J1138" t="s">
        <v>11</v>
      </c>
    </row>
    <row r="1139" spans="1:10" x14ac:dyDescent="0.25">
      <c r="A1139" t="s">
        <v>132</v>
      </c>
      <c r="B1139" t="s">
        <v>167</v>
      </c>
      <c r="C1139" s="12" t="s">
        <v>109</v>
      </c>
      <c r="D1139" t="s">
        <v>4</v>
      </c>
      <c r="E1139" t="s">
        <v>6</v>
      </c>
      <c r="F1139" t="s">
        <v>72</v>
      </c>
      <c r="G1139" t="s">
        <v>166</v>
      </c>
      <c r="H1139" s="94">
        <v>0.22500000000000001</v>
      </c>
      <c r="I1139" t="s">
        <v>62</v>
      </c>
      <c r="J1139" t="s">
        <v>13</v>
      </c>
    </row>
    <row r="1140" spans="1:10" x14ac:dyDescent="0.25">
      <c r="A1140" t="s">
        <v>132</v>
      </c>
      <c r="B1140" t="s">
        <v>167</v>
      </c>
      <c r="C1140" s="12" t="s">
        <v>109</v>
      </c>
      <c r="D1140" t="s">
        <v>4</v>
      </c>
      <c r="E1140" t="s">
        <v>6</v>
      </c>
      <c r="F1140" t="s">
        <v>72</v>
      </c>
      <c r="G1140" t="s">
        <v>166</v>
      </c>
      <c r="H1140" s="94">
        <v>0.22500000000000001</v>
      </c>
      <c r="I1140" t="s">
        <v>62</v>
      </c>
      <c r="J1140" t="s">
        <v>63</v>
      </c>
    </row>
    <row r="1141" spans="1:10" x14ac:dyDescent="0.25">
      <c r="A1141" t="s">
        <v>132</v>
      </c>
      <c r="B1141" t="s">
        <v>167</v>
      </c>
      <c r="C1141" s="12" t="s">
        <v>109</v>
      </c>
      <c r="D1141" t="s">
        <v>4</v>
      </c>
      <c r="E1141" t="s">
        <v>6</v>
      </c>
      <c r="F1141" t="s">
        <v>72</v>
      </c>
      <c r="G1141" t="s">
        <v>166</v>
      </c>
      <c r="H1141" s="94">
        <v>0.22500000000000001</v>
      </c>
      <c r="I1141" t="s">
        <v>62</v>
      </c>
      <c r="J1141" t="s">
        <v>11</v>
      </c>
    </row>
    <row r="1142" spans="1:10" x14ac:dyDescent="0.25">
      <c r="A1142" t="s">
        <v>132</v>
      </c>
      <c r="B1142" t="s">
        <v>167</v>
      </c>
      <c r="C1142" s="12" t="s">
        <v>109</v>
      </c>
      <c r="D1142" t="s">
        <v>4</v>
      </c>
      <c r="E1142" t="s">
        <v>6</v>
      </c>
      <c r="F1142" t="s">
        <v>72</v>
      </c>
      <c r="G1142" t="s">
        <v>166</v>
      </c>
      <c r="H1142" s="94">
        <v>0.22500000000000001</v>
      </c>
      <c r="I1142" t="s">
        <v>60</v>
      </c>
      <c r="J1142" t="s">
        <v>13</v>
      </c>
    </row>
    <row r="1143" spans="1:10" x14ac:dyDescent="0.25">
      <c r="A1143" t="s">
        <v>132</v>
      </c>
      <c r="B1143" t="s">
        <v>167</v>
      </c>
      <c r="C1143" s="12" t="s">
        <v>109</v>
      </c>
      <c r="D1143" t="s">
        <v>4</v>
      </c>
      <c r="E1143" t="s">
        <v>6</v>
      </c>
      <c r="F1143" t="s">
        <v>72</v>
      </c>
      <c r="G1143" t="s">
        <v>166</v>
      </c>
      <c r="H1143" s="94">
        <v>0.22500000000000001</v>
      </c>
      <c r="I1143" t="s">
        <v>60</v>
      </c>
      <c r="J1143" t="s">
        <v>63</v>
      </c>
    </row>
    <row r="1144" spans="1:10" x14ac:dyDescent="0.25">
      <c r="A1144" t="s">
        <v>132</v>
      </c>
      <c r="B1144" t="s">
        <v>167</v>
      </c>
      <c r="C1144" s="12" t="s">
        <v>109</v>
      </c>
      <c r="D1144" t="s">
        <v>4</v>
      </c>
      <c r="E1144" t="s">
        <v>6</v>
      </c>
      <c r="F1144" t="s">
        <v>72</v>
      </c>
      <c r="G1144" t="s">
        <v>166</v>
      </c>
      <c r="H1144" s="94">
        <v>0.22500000000000001</v>
      </c>
      <c r="I1144" t="s">
        <v>60</v>
      </c>
      <c r="J1144" t="s">
        <v>11</v>
      </c>
    </row>
    <row r="1145" spans="1:10" x14ac:dyDescent="0.25">
      <c r="A1145" t="s">
        <v>132</v>
      </c>
      <c r="B1145" t="s">
        <v>167</v>
      </c>
      <c r="C1145" s="12" t="s">
        <v>109</v>
      </c>
      <c r="D1145" t="s">
        <v>4</v>
      </c>
      <c r="E1145" t="s">
        <v>6</v>
      </c>
      <c r="F1145" t="s">
        <v>72</v>
      </c>
      <c r="G1145" t="s">
        <v>166</v>
      </c>
      <c r="H1145" s="94">
        <v>0.43</v>
      </c>
      <c r="I1145" t="s">
        <v>107</v>
      </c>
      <c r="J1145" t="s">
        <v>13</v>
      </c>
    </row>
    <row r="1146" spans="1:10" x14ac:dyDescent="0.25">
      <c r="A1146" t="s">
        <v>132</v>
      </c>
      <c r="B1146" t="s">
        <v>167</v>
      </c>
      <c r="C1146" s="12" t="s">
        <v>109</v>
      </c>
      <c r="D1146" t="s">
        <v>4</v>
      </c>
      <c r="E1146" t="s">
        <v>6</v>
      </c>
      <c r="F1146" t="s">
        <v>72</v>
      </c>
      <c r="G1146" t="s">
        <v>166</v>
      </c>
      <c r="H1146" s="94">
        <v>0.43</v>
      </c>
      <c r="I1146" t="s">
        <v>107</v>
      </c>
      <c r="J1146" t="s">
        <v>63</v>
      </c>
    </row>
    <row r="1147" spans="1:10" x14ac:dyDescent="0.25">
      <c r="A1147" t="s">
        <v>132</v>
      </c>
      <c r="B1147" t="s">
        <v>167</v>
      </c>
      <c r="C1147" s="12" t="s">
        <v>109</v>
      </c>
      <c r="D1147" t="s">
        <v>4</v>
      </c>
      <c r="E1147" t="s">
        <v>6</v>
      </c>
      <c r="F1147" t="s">
        <v>72</v>
      </c>
      <c r="G1147" t="s">
        <v>166</v>
      </c>
      <c r="H1147" s="94">
        <v>0.43</v>
      </c>
      <c r="I1147" t="s">
        <v>107</v>
      </c>
      <c r="J1147" t="s">
        <v>11</v>
      </c>
    </row>
    <row r="1148" spans="1:10" x14ac:dyDescent="0.25">
      <c r="A1148" t="s">
        <v>132</v>
      </c>
      <c r="B1148" t="s">
        <v>167</v>
      </c>
      <c r="C1148" s="12" t="s">
        <v>109</v>
      </c>
      <c r="D1148" t="s">
        <v>4</v>
      </c>
      <c r="E1148" t="s">
        <v>6</v>
      </c>
      <c r="F1148" t="s">
        <v>72</v>
      </c>
      <c r="G1148" t="s">
        <v>166</v>
      </c>
      <c r="H1148" s="94">
        <v>0.43</v>
      </c>
      <c r="I1148" t="s">
        <v>62</v>
      </c>
      <c r="J1148" t="s">
        <v>13</v>
      </c>
    </row>
    <row r="1149" spans="1:10" x14ac:dyDescent="0.25">
      <c r="A1149" t="s">
        <v>132</v>
      </c>
      <c r="B1149" t="s">
        <v>167</v>
      </c>
      <c r="C1149" s="12" t="s">
        <v>109</v>
      </c>
      <c r="D1149" t="s">
        <v>4</v>
      </c>
      <c r="E1149" t="s">
        <v>6</v>
      </c>
      <c r="F1149" t="s">
        <v>72</v>
      </c>
      <c r="G1149" t="s">
        <v>166</v>
      </c>
      <c r="H1149" s="94">
        <v>0.43</v>
      </c>
      <c r="I1149" t="s">
        <v>62</v>
      </c>
      <c r="J1149" t="s">
        <v>63</v>
      </c>
    </row>
    <row r="1150" spans="1:10" x14ac:dyDescent="0.25">
      <c r="A1150" t="s">
        <v>132</v>
      </c>
      <c r="B1150" t="s">
        <v>167</v>
      </c>
      <c r="C1150" s="12" t="s">
        <v>109</v>
      </c>
      <c r="D1150" t="s">
        <v>4</v>
      </c>
      <c r="E1150" t="s">
        <v>6</v>
      </c>
      <c r="F1150" t="s">
        <v>72</v>
      </c>
      <c r="G1150" t="s">
        <v>166</v>
      </c>
      <c r="H1150" s="94">
        <v>0.43</v>
      </c>
      <c r="I1150" t="s">
        <v>62</v>
      </c>
      <c r="J1150" t="s">
        <v>11</v>
      </c>
    </row>
    <row r="1151" spans="1:10" x14ac:dyDescent="0.25">
      <c r="A1151" t="s">
        <v>132</v>
      </c>
      <c r="B1151" t="s">
        <v>167</v>
      </c>
      <c r="C1151" s="12" t="s">
        <v>109</v>
      </c>
      <c r="D1151" t="s">
        <v>4</v>
      </c>
      <c r="E1151" t="s">
        <v>6</v>
      </c>
      <c r="F1151" t="s">
        <v>72</v>
      </c>
      <c r="G1151" t="s">
        <v>166</v>
      </c>
      <c r="H1151" s="94">
        <v>0.43</v>
      </c>
      <c r="I1151" t="s">
        <v>60</v>
      </c>
      <c r="J1151" t="s">
        <v>13</v>
      </c>
    </row>
    <row r="1152" spans="1:10" x14ac:dyDescent="0.25">
      <c r="A1152" t="s">
        <v>132</v>
      </c>
      <c r="B1152" t="s">
        <v>167</v>
      </c>
      <c r="C1152" s="12" t="s">
        <v>109</v>
      </c>
      <c r="D1152" t="s">
        <v>4</v>
      </c>
      <c r="E1152" t="s">
        <v>6</v>
      </c>
      <c r="F1152" t="s">
        <v>72</v>
      </c>
      <c r="G1152" t="s">
        <v>166</v>
      </c>
      <c r="H1152" s="94">
        <v>0.43</v>
      </c>
      <c r="I1152" t="s">
        <v>60</v>
      </c>
      <c r="J1152" t="s">
        <v>63</v>
      </c>
    </row>
    <row r="1153" spans="1:10" x14ac:dyDescent="0.25">
      <c r="A1153" t="s">
        <v>132</v>
      </c>
      <c r="B1153" t="s">
        <v>167</v>
      </c>
      <c r="C1153" s="12" t="s">
        <v>109</v>
      </c>
      <c r="D1153" t="s">
        <v>4</v>
      </c>
      <c r="E1153" t="s">
        <v>6</v>
      </c>
      <c r="F1153" t="s">
        <v>72</v>
      </c>
      <c r="G1153" t="s">
        <v>166</v>
      </c>
      <c r="H1153" s="94">
        <v>0.43</v>
      </c>
      <c r="I1153" t="s">
        <v>60</v>
      </c>
      <c r="J1153" t="s">
        <v>11</v>
      </c>
    </row>
    <row r="1154" spans="1:10" x14ac:dyDescent="0.25">
      <c r="A1154" t="s">
        <v>132</v>
      </c>
      <c r="B1154" t="s">
        <v>167</v>
      </c>
      <c r="C1154" s="12" t="s">
        <v>109</v>
      </c>
      <c r="D1154" t="s">
        <v>4</v>
      </c>
      <c r="E1154" t="s">
        <v>6</v>
      </c>
      <c r="F1154" t="s">
        <v>16</v>
      </c>
      <c r="G1154" t="s">
        <v>166</v>
      </c>
      <c r="H1154" s="94">
        <v>0.22500000000000001</v>
      </c>
      <c r="I1154" t="s">
        <v>107</v>
      </c>
      <c r="J1154" t="s">
        <v>13</v>
      </c>
    </row>
    <row r="1155" spans="1:10" x14ac:dyDescent="0.25">
      <c r="A1155" t="s">
        <v>132</v>
      </c>
      <c r="B1155" t="s">
        <v>167</v>
      </c>
      <c r="C1155" s="12" t="s">
        <v>109</v>
      </c>
      <c r="D1155" t="s">
        <v>4</v>
      </c>
      <c r="E1155" t="s">
        <v>6</v>
      </c>
      <c r="F1155" t="s">
        <v>16</v>
      </c>
      <c r="G1155" t="s">
        <v>166</v>
      </c>
      <c r="H1155" s="94">
        <v>0.22500000000000001</v>
      </c>
      <c r="I1155" t="s">
        <v>107</v>
      </c>
      <c r="J1155" t="s">
        <v>63</v>
      </c>
    </row>
    <row r="1156" spans="1:10" x14ac:dyDescent="0.25">
      <c r="A1156" t="s">
        <v>132</v>
      </c>
      <c r="B1156" t="s">
        <v>167</v>
      </c>
      <c r="C1156" s="12" t="s">
        <v>109</v>
      </c>
      <c r="D1156" t="s">
        <v>4</v>
      </c>
      <c r="E1156" t="s">
        <v>6</v>
      </c>
      <c r="F1156" t="s">
        <v>16</v>
      </c>
      <c r="G1156" t="s">
        <v>166</v>
      </c>
      <c r="H1156" s="94">
        <v>0.22500000000000001</v>
      </c>
      <c r="I1156" t="s">
        <v>107</v>
      </c>
      <c r="J1156" t="s">
        <v>11</v>
      </c>
    </row>
    <row r="1157" spans="1:10" x14ac:dyDescent="0.25">
      <c r="A1157" t="s">
        <v>132</v>
      </c>
      <c r="B1157" t="s">
        <v>167</v>
      </c>
      <c r="C1157" s="12" t="s">
        <v>109</v>
      </c>
      <c r="D1157" t="s">
        <v>4</v>
      </c>
      <c r="E1157" t="s">
        <v>6</v>
      </c>
      <c r="F1157" t="s">
        <v>16</v>
      </c>
      <c r="G1157" t="s">
        <v>166</v>
      </c>
      <c r="H1157" s="94">
        <v>0.22500000000000001</v>
      </c>
      <c r="I1157" t="s">
        <v>62</v>
      </c>
      <c r="J1157" t="s">
        <v>13</v>
      </c>
    </row>
    <row r="1158" spans="1:10" x14ac:dyDescent="0.25">
      <c r="A1158" t="s">
        <v>132</v>
      </c>
      <c r="B1158" t="s">
        <v>167</v>
      </c>
      <c r="C1158" s="12" t="s">
        <v>109</v>
      </c>
      <c r="D1158" t="s">
        <v>4</v>
      </c>
      <c r="E1158" t="s">
        <v>6</v>
      </c>
      <c r="F1158" t="s">
        <v>16</v>
      </c>
      <c r="G1158" t="s">
        <v>166</v>
      </c>
      <c r="H1158" s="94">
        <v>0.22500000000000001</v>
      </c>
      <c r="I1158" t="s">
        <v>62</v>
      </c>
      <c r="J1158" t="s">
        <v>63</v>
      </c>
    </row>
    <row r="1159" spans="1:10" x14ac:dyDescent="0.25">
      <c r="A1159" t="s">
        <v>132</v>
      </c>
      <c r="B1159" t="s">
        <v>167</v>
      </c>
      <c r="C1159" s="12" t="s">
        <v>109</v>
      </c>
      <c r="D1159" t="s">
        <v>4</v>
      </c>
      <c r="E1159" t="s">
        <v>6</v>
      </c>
      <c r="F1159" t="s">
        <v>16</v>
      </c>
      <c r="G1159" t="s">
        <v>166</v>
      </c>
      <c r="H1159" s="94">
        <v>0.22500000000000001</v>
      </c>
      <c r="I1159" t="s">
        <v>62</v>
      </c>
      <c r="J1159" t="s">
        <v>11</v>
      </c>
    </row>
    <row r="1160" spans="1:10" x14ac:dyDescent="0.25">
      <c r="A1160" t="s">
        <v>132</v>
      </c>
      <c r="B1160" t="s">
        <v>167</v>
      </c>
      <c r="C1160" s="12" t="s">
        <v>109</v>
      </c>
      <c r="D1160" t="s">
        <v>4</v>
      </c>
      <c r="E1160" t="s">
        <v>6</v>
      </c>
      <c r="F1160" t="s">
        <v>16</v>
      </c>
      <c r="G1160" t="s">
        <v>166</v>
      </c>
      <c r="H1160" s="94">
        <v>0.22500000000000001</v>
      </c>
      <c r="I1160" t="s">
        <v>60</v>
      </c>
      <c r="J1160" t="s">
        <v>13</v>
      </c>
    </row>
    <row r="1161" spans="1:10" x14ac:dyDescent="0.25">
      <c r="A1161" t="s">
        <v>132</v>
      </c>
      <c r="B1161" t="s">
        <v>167</v>
      </c>
      <c r="C1161" s="12" t="s">
        <v>109</v>
      </c>
      <c r="D1161" t="s">
        <v>4</v>
      </c>
      <c r="E1161" t="s">
        <v>6</v>
      </c>
      <c r="F1161" t="s">
        <v>16</v>
      </c>
      <c r="G1161" t="s">
        <v>166</v>
      </c>
      <c r="H1161" s="94">
        <v>0.22500000000000001</v>
      </c>
      <c r="I1161" t="s">
        <v>60</v>
      </c>
      <c r="J1161" t="s">
        <v>63</v>
      </c>
    </row>
    <row r="1162" spans="1:10" x14ac:dyDescent="0.25">
      <c r="A1162" t="s">
        <v>132</v>
      </c>
      <c r="B1162" t="s">
        <v>167</v>
      </c>
      <c r="C1162" s="12" t="s">
        <v>109</v>
      </c>
      <c r="D1162" t="s">
        <v>4</v>
      </c>
      <c r="E1162" t="s">
        <v>6</v>
      </c>
      <c r="F1162" t="s">
        <v>16</v>
      </c>
      <c r="G1162" t="s">
        <v>166</v>
      </c>
      <c r="H1162" s="94">
        <v>0.22500000000000001</v>
      </c>
      <c r="I1162" t="s">
        <v>60</v>
      </c>
      <c r="J1162" t="s">
        <v>11</v>
      </c>
    </row>
    <row r="1163" spans="1:10" x14ac:dyDescent="0.25">
      <c r="A1163" t="s">
        <v>132</v>
      </c>
      <c r="B1163" t="s">
        <v>167</v>
      </c>
      <c r="C1163" s="12" t="s">
        <v>109</v>
      </c>
      <c r="D1163" t="s">
        <v>4</v>
      </c>
      <c r="E1163" t="s">
        <v>6</v>
      </c>
      <c r="F1163" t="s">
        <v>16</v>
      </c>
      <c r="G1163" t="s">
        <v>166</v>
      </c>
      <c r="H1163" s="94">
        <v>0.43</v>
      </c>
      <c r="I1163" t="s">
        <v>107</v>
      </c>
      <c r="J1163" t="s">
        <v>13</v>
      </c>
    </row>
    <row r="1164" spans="1:10" x14ac:dyDescent="0.25">
      <c r="A1164" t="s">
        <v>132</v>
      </c>
      <c r="B1164" t="s">
        <v>167</v>
      </c>
      <c r="C1164" s="12" t="s">
        <v>109</v>
      </c>
      <c r="D1164" t="s">
        <v>4</v>
      </c>
      <c r="E1164" t="s">
        <v>6</v>
      </c>
      <c r="F1164" t="s">
        <v>16</v>
      </c>
      <c r="G1164" t="s">
        <v>166</v>
      </c>
      <c r="H1164" s="94">
        <v>0.43</v>
      </c>
      <c r="I1164" t="s">
        <v>107</v>
      </c>
      <c r="J1164" t="s">
        <v>63</v>
      </c>
    </row>
    <row r="1165" spans="1:10" x14ac:dyDescent="0.25">
      <c r="A1165" t="s">
        <v>132</v>
      </c>
      <c r="B1165" t="s">
        <v>167</v>
      </c>
      <c r="C1165" s="12" t="s">
        <v>109</v>
      </c>
      <c r="D1165" t="s">
        <v>4</v>
      </c>
      <c r="E1165" t="s">
        <v>6</v>
      </c>
      <c r="F1165" t="s">
        <v>16</v>
      </c>
      <c r="G1165" t="s">
        <v>166</v>
      </c>
      <c r="H1165" s="94">
        <v>0.43</v>
      </c>
      <c r="I1165" t="s">
        <v>107</v>
      </c>
      <c r="J1165" t="s">
        <v>11</v>
      </c>
    </row>
    <row r="1166" spans="1:10" x14ac:dyDescent="0.25">
      <c r="A1166" t="s">
        <v>132</v>
      </c>
      <c r="B1166" t="s">
        <v>167</v>
      </c>
      <c r="C1166" s="12" t="s">
        <v>109</v>
      </c>
      <c r="D1166" t="s">
        <v>4</v>
      </c>
      <c r="E1166" t="s">
        <v>6</v>
      </c>
      <c r="F1166" t="s">
        <v>16</v>
      </c>
      <c r="G1166" t="s">
        <v>166</v>
      </c>
      <c r="H1166" s="94">
        <v>0.43</v>
      </c>
      <c r="I1166" t="s">
        <v>62</v>
      </c>
      <c r="J1166" t="s">
        <v>13</v>
      </c>
    </row>
    <row r="1167" spans="1:10" x14ac:dyDescent="0.25">
      <c r="A1167" t="s">
        <v>132</v>
      </c>
      <c r="B1167" t="s">
        <v>167</v>
      </c>
      <c r="C1167" s="12" t="s">
        <v>109</v>
      </c>
      <c r="D1167" t="s">
        <v>4</v>
      </c>
      <c r="E1167" t="s">
        <v>6</v>
      </c>
      <c r="F1167" t="s">
        <v>16</v>
      </c>
      <c r="G1167" t="s">
        <v>166</v>
      </c>
      <c r="H1167" s="94">
        <v>0.43</v>
      </c>
      <c r="I1167" t="s">
        <v>62</v>
      </c>
      <c r="J1167" t="s">
        <v>63</v>
      </c>
    </row>
    <row r="1168" spans="1:10" x14ac:dyDescent="0.25">
      <c r="A1168" t="s">
        <v>132</v>
      </c>
      <c r="B1168" t="s">
        <v>167</v>
      </c>
      <c r="C1168" s="12" t="s">
        <v>109</v>
      </c>
      <c r="D1168" t="s">
        <v>4</v>
      </c>
      <c r="E1168" t="s">
        <v>6</v>
      </c>
      <c r="F1168" t="s">
        <v>16</v>
      </c>
      <c r="G1168" t="s">
        <v>166</v>
      </c>
      <c r="H1168" s="94">
        <v>0.43</v>
      </c>
      <c r="I1168" t="s">
        <v>62</v>
      </c>
      <c r="J1168" t="s">
        <v>11</v>
      </c>
    </row>
    <row r="1169" spans="1:10" x14ac:dyDescent="0.25">
      <c r="A1169" t="s">
        <v>132</v>
      </c>
      <c r="B1169" t="s">
        <v>167</v>
      </c>
      <c r="C1169" s="12" t="s">
        <v>109</v>
      </c>
      <c r="D1169" t="s">
        <v>4</v>
      </c>
      <c r="E1169" t="s">
        <v>6</v>
      </c>
      <c r="F1169" t="s">
        <v>16</v>
      </c>
      <c r="G1169" t="s">
        <v>166</v>
      </c>
      <c r="H1169" s="94">
        <v>0.43</v>
      </c>
      <c r="I1169" t="s">
        <v>60</v>
      </c>
      <c r="J1169" t="s">
        <v>13</v>
      </c>
    </row>
    <row r="1170" spans="1:10" x14ac:dyDescent="0.25">
      <c r="A1170" t="s">
        <v>132</v>
      </c>
      <c r="B1170" t="s">
        <v>167</v>
      </c>
      <c r="C1170" s="12" t="s">
        <v>109</v>
      </c>
      <c r="D1170" t="s">
        <v>4</v>
      </c>
      <c r="E1170" t="s">
        <v>6</v>
      </c>
      <c r="F1170" t="s">
        <v>16</v>
      </c>
      <c r="G1170" t="s">
        <v>166</v>
      </c>
      <c r="H1170" s="94">
        <v>0.43</v>
      </c>
      <c r="I1170" t="s">
        <v>60</v>
      </c>
      <c r="J1170" t="s">
        <v>63</v>
      </c>
    </row>
    <row r="1171" spans="1:10" x14ac:dyDescent="0.25">
      <c r="A1171" t="s">
        <v>132</v>
      </c>
      <c r="B1171" t="s">
        <v>167</v>
      </c>
      <c r="C1171" s="12" t="s">
        <v>109</v>
      </c>
      <c r="D1171" t="s">
        <v>4</v>
      </c>
      <c r="E1171" t="s">
        <v>6</v>
      </c>
      <c r="F1171" t="s">
        <v>16</v>
      </c>
      <c r="G1171" t="s">
        <v>166</v>
      </c>
      <c r="H1171" s="94">
        <v>0.43</v>
      </c>
      <c r="I1171" t="s">
        <v>60</v>
      </c>
      <c r="J1171" t="s">
        <v>11</v>
      </c>
    </row>
    <row r="1172" spans="1:10" x14ac:dyDescent="0.25">
      <c r="A1172" t="s">
        <v>132</v>
      </c>
      <c r="B1172" t="s">
        <v>167</v>
      </c>
      <c r="C1172" s="12" t="s">
        <v>109</v>
      </c>
      <c r="D1172" t="s">
        <v>4</v>
      </c>
      <c r="E1172" t="s">
        <v>6</v>
      </c>
      <c r="F1172" t="s">
        <v>8</v>
      </c>
      <c r="G1172" t="s">
        <v>166</v>
      </c>
      <c r="H1172" s="94">
        <v>0.22500000000000001</v>
      </c>
      <c r="I1172" t="s">
        <v>107</v>
      </c>
      <c r="J1172" t="s">
        <v>13</v>
      </c>
    </row>
    <row r="1173" spans="1:10" x14ac:dyDescent="0.25">
      <c r="A1173" t="s">
        <v>132</v>
      </c>
      <c r="B1173" t="s">
        <v>167</v>
      </c>
      <c r="C1173" s="12" t="s">
        <v>109</v>
      </c>
      <c r="D1173" t="s">
        <v>4</v>
      </c>
      <c r="E1173" t="s">
        <v>6</v>
      </c>
      <c r="F1173" t="s">
        <v>8</v>
      </c>
      <c r="G1173" t="s">
        <v>166</v>
      </c>
      <c r="H1173" s="94">
        <v>0.22500000000000001</v>
      </c>
      <c r="I1173" t="s">
        <v>107</v>
      </c>
      <c r="J1173" t="s">
        <v>63</v>
      </c>
    </row>
    <row r="1174" spans="1:10" x14ac:dyDescent="0.25">
      <c r="A1174" t="s">
        <v>132</v>
      </c>
      <c r="B1174" t="s">
        <v>167</v>
      </c>
      <c r="C1174" s="12" t="s">
        <v>109</v>
      </c>
      <c r="D1174" t="s">
        <v>4</v>
      </c>
      <c r="E1174" t="s">
        <v>6</v>
      </c>
      <c r="F1174" t="s">
        <v>8</v>
      </c>
      <c r="G1174" t="s">
        <v>166</v>
      </c>
      <c r="H1174" s="94">
        <v>0.22500000000000001</v>
      </c>
      <c r="I1174" t="s">
        <v>107</v>
      </c>
      <c r="J1174" t="s">
        <v>11</v>
      </c>
    </row>
    <row r="1175" spans="1:10" x14ac:dyDescent="0.25">
      <c r="A1175" t="s">
        <v>132</v>
      </c>
      <c r="B1175" t="s">
        <v>167</v>
      </c>
      <c r="C1175" s="12" t="s">
        <v>109</v>
      </c>
      <c r="D1175" t="s">
        <v>4</v>
      </c>
      <c r="E1175" t="s">
        <v>6</v>
      </c>
      <c r="F1175" t="s">
        <v>8</v>
      </c>
      <c r="G1175" t="s">
        <v>166</v>
      </c>
      <c r="H1175" s="94">
        <v>0.22500000000000001</v>
      </c>
      <c r="I1175" t="s">
        <v>62</v>
      </c>
      <c r="J1175" t="s">
        <v>13</v>
      </c>
    </row>
    <row r="1176" spans="1:10" x14ac:dyDescent="0.25">
      <c r="A1176" t="s">
        <v>132</v>
      </c>
      <c r="B1176" t="s">
        <v>167</v>
      </c>
      <c r="C1176" s="12" t="s">
        <v>109</v>
      </c>
      <c r="D1176" t="s">
        <v>4</v>
      </c>
      <c r="E1176" t="s">
        <v>6</v>
      </c>
      <c r="F1176" t="s">
        <v>8</v>
      </c>
      <c r="G1176" t="s">
        <v>166</v>
      </c>
      <c r="H1176" s="94">
        <v>0.22500000000000001</v>
      </c>
      <c r="I1176" t="s">
        <v>62</v>
      </c>
      <c r="J1176" t="s">
        <v>63</v>
      </c>
    </row>
    <row r="1177" spans="1:10" x14ac:dyDescent="0.25">
      <c r="A1177" t="s">
        <v>132</v>
      </c>
      <c r="B1177" t="s">
        <v>167</v>
      </c>
      <c r="C1177" s="12" t="s">
        <v>109</v>
      </c>
      <c r="D1177" t="s">
        <v>4</v>
      </c>
      <c r="E1177" t="s">
        <v>6</v>
      </c>
      <c r="F1177" t="s">
        <v>8</v>
      </c>
      <c r="G1177" t="s">
        <v>166</v>
      </c>
      <c r="H1177" s="94">
        <v>0.22500000000000001</v>
      </c>
      <c r="I1177" t="s">
        <v>62</v>
      </c>
      <c r="J1177" t="s">
        <v>11</v>
      </c>
    </row>
    <row r="1178" spans="1:10" x14ac:dyDescent="0.25">
      <c r="A1178" t="s">
        <v>132</v>
      </c>
      <c r="B1178" t="s">
        <v>167</v>
      </c>
      <c r="C1178" s="12" t="s">
        <v>109</v>
      </c>
      <c r="D1178" t="s">
        <v>4</v>
      </c>
      <c r="E1178" t="s">
        <v>6</v>
      </c>
      <c r="F1178" t="s">
        <v>8</v>
      </c>
      <c r="G1178" t="s">
        <v>166</v>
      </c>
      <c r="H1178" s="94">
        <v>0.22500000000000001</v>
      </c>
      <c r="I1178" t="s">
        <v>60</v>
      </c>
      <c r="J1178" t="s">
        <v>13</v>
      </c>
    </row>
    <row r="1179" spans="1:10" x14ac:dyDescent="0.25">
      <c r="A1179" t="s">
        <v>132</v>
      </c>
      <c r="B1179" t="s">
        <v>167</v>
      </c>
      <c r="C1179" s="12" t="s">
        <v>109</v>
      </c>
      <c r="D1179" t="s">
        <v>4</v>
      </c>
      <c r="E1179" t="s">
        <v>6</v>
      </c>
      <c r="F1179" t="s">
        <v>8</v>
      </c>
      <c r="G1179" t="s">
        <v>166</v>
      </c>
      <c r="H1179" s="94">
        <v>0.22500000000000001</v>
      </c>
      <c r="I1179" t="s">
        <v>60</v>
      </c>
      <c r="J1179" t="s">
        <v>63</v>
      </c>
    </row>
    <row r="1180" spans="1:10" x14ac:dyDescent="0.25">
      <c r="A1180" t="s">
        <v>132</v>
      </c>
      <c r="B1180" t="s">
        <v>167</v>
      </c>
      <c r="C1180" s="12" t="s">
        <v>109</v>
      </c>
      <c r="D1180" t="s">
        <v>4</v>
      </c>
      <c r="E1180" t="s">
        <v>6</v>
      </c>
      <c r="F1180" t="s">
        <v>8</v>
      </c>
      <c r="G1180" t="s">
        <v>166</v>
      </c>
      <c r="H1180" s="94">
        <v>0.22500000000000001</v>
      </c>
      <c r="I1180" t="s">
        <v>60</v>
      </c>
      <c r="J1180" t="s">
        <v>11</v>
      </c>
    </row>
    <row r="1181" spans="1:10" x14ac:dyDescent="0.25">
      <c r="A1181" t="s">
        <v>132</v>
      </c>
      <c r="B1181" t="s">
        <v>167</v>
      </c>
      <c r="C1181" s="12" t="s">
        <v>109</v>
      </c>
      <c r="D1181" t="s">
        <v>4</v>
      </c>
      <c r="E1181" t="s">
        <v>6</v>
      </c>
      <c r="F1181" t="s">
        <v>8</v>
      </c>
      <c r="G1181" t="s">
        <v>166</v>
      </c>
      <c r="H1181" s="94">
        <v>0.43</v>
      </c>
      <c r="I1181" t="s">
        <v>107</v>
      </c>
      <c r="J1181" t="s">
        <v>13</v>
      </c>
    </row>
    <row r="1182" spans="1:10" x14ac:dyDescent="0.25">
      <c r="A1182" t="s">
        <v>132</v>
      </c>
      <c r="B1182" t="s">
        <v>167</v>
      </c>
      <c r="C1182" s="12" t="s">
        <v>109</v>
      </c>
      <c r="D1182" t="s">
        <v>4</v>
      </c>
      <c r="E1182" t="s">
        <v>6</v>
      </c>
      <c r="F1182" t="s">
        <v>8</v>
      </c>
      <c r="G1182" t="s">
        <v>166</v>
      </c>
      <c r="H1182" s="94">
        <v>0.43</v>
      </c>
      <c r="I1182" t="s">
        <v>107</v>
      </c>
      <c r="J1182" t="s">
        <v>63</v>
      </c>
    </row>
    <row r="1183" spans="1:10" x14ac:dyDescent="0.25">
      <c r="A1183" t="s">
        <v>132</v>
      </c>
      <c r="B1183" t="s">
        <v>167</v>
      </c>
      <c r="C1183" s="12" t="s">
        <v>109</v>
      </c>
      <c r="D1183" t="s">
        <v>4</v>
      </c>
      <c r="E1183" t="s">
        <v>6</v>
      </c>
      <c r="F1183" t="s">
        <v>8</v>
      </c>
      <c r="G1183" t="s">
        <v>166</v>
      </c>
      <c r="H1183" s="94">
        <v>0.43</v>
      </c>
      <c r="I1183" t="s">
        <v>107</v>
      </c>
      <c r="J1183" t="s">
        <v>11</v>
      </c>
    </row>
    <row r="1184" spans="1:10" x14ac:dyDescent="0.25">
      <c r="A1184" t="s">
        <v>132</v>
      </c>
      <c r="B1184" t="s">
        <v>167</v>
      </c>
      <c r="C1184" s="12" t="s">
        <v>109</v>
      </c>
      <c r="D1184" t="s">
        <v>4</v>
      </c>
      <c r="E1184" t="s">
        <v>6</v>
      </c>
      <c r="F1184" t="s">
        <v>8</v>
      </c>
      <c r="G1184" t="s">
        <v>166</v>
      </c>
      <c r="H1184" s="94">
        <v>0.43</v>
      </c>
      <c r="I1184" t="s">
        <v>62</v>
      </c>
      <c r="J1184" t="s">
        <v>13</v>
      </c>
    </row>
    <row r="1185" spans="1:10" x14ac:dyDescent="0.25">
      <c r="A1185" t="s">
        <v>132</v>
      </c>
      <c r="B1185" t="s">
        <v>167</v>
      </c>
      <c r="C1185" s="12" t="s">
        <v>109</v>
      </c>
      <c r="D1185" t="s">
        <v>4</v>
      </c>
      <c r="E1185" t="s">
        <v>6</v>
      </c>
      <c r="F1185" t="s">
        <v>8</v>
      </c>
      <c r="G1185" t="s">
        <v>166</v>
      </c>
      <c r="H1185" s="94">
        <v>0.43</v>
      </c>
      <c r="I1185" t="s">
        <v>62</v>
      </c>
      <c r="J1185" t="s">
        <v>63</v>
      </c>
    </row>
    <row r="1186" spans="1:10" x14ac:dyDescent="0.25">
      <c r="A1186" t="s">
        <v>132</v>
      </c>
      <c r="B1186" t="s">
        <v>167</v>
      </c>
      <c r="C1186" s="12" t="s">
        <v>109</v>
      </c>
      <c r="D1186" t="s">
        <v>4</v>
      </c>
      <c r="E1186" t="s">
        <v>6</v>
      </c>
      <c r="F1186" t="s">
        <v>8</v>
      </c>
      <c r="G1186" t="s">
        <v>166</v>
      </c>
      <c r="H1186" s="94">
        <v>0.43</v>
      </c>
      <c r="I1186" t="s">
        <v>62</v>
      </c>
      <c r="J1186" t="s">
        <v>11</v>
      </c>
    </row>
    <row r="1187" spans="1:10" x14ac:dyDescent="0.25">
      <c r="A1187" t="s">
        <v>132</v>
      </c>
      <c r="B1187" t="s">
        <v>167</v>
      </c>
      <c r="C1187" s="12" t="s">
        <v>109</v>
      </c>
      <c r="D1187" t="s">
        <v>4</v>
      </c>
      <c r="E1187" t="s">
        <v>6</v>
      </c>
      <c r="F1187" t="s">
        <v>8</v>
      </c>
      <c r="G1187" t="s">
        <v>166</v>
      </c>
      <c r="H1187" s="94">
        <v>0.43</v>
      </c>
      <c r="I1187" t="s">
        <v>60</v>
      </c>
      <c r="J1187" t="s">
        <v>13</v>
      </c>
    </row>
    <row r="1188" spans="1:10" x14ac:dyDescent="0.25">
      <c r="A1188" t="s">
        <v>132</v>
      </c>
      <c r="B1188" t="s">
        <v>167</v>
      </c>
      <c r="C1188" s="12" t="s">
        <v>109</v>
      </c>
      <c r="D1188" t="s">
        <v>4</v>
      </c>
      <c r="E1188" t="s">
        <v>6</v>
      </c>
      <c r="F1188" t="s">
        <v>8</v>
      </c>
      <c r="G1188" t="s">
        <v>166</v>
      </c>
      <c r="H1188" s="94">
        <v>0.43</v>
      </c>
      <c r="I1188" t="s">
        <v>60</v>
      </c>
      <c r="J1188" t="s">
        <v>63</v>
      </c>
    </row>
    <row r="1189" spans="1:10" x14ac:dyDescent="0.25">
      <c r="A1189" t="s">
        <v>132</v>
      </c>
      <c r="B1189" t="s">
        <v>167</v>
      </c>
      <c r="C1189" s="12" t="s">
        <v>109</v>
      </c>
      <c r="D1189" t="s">
        <v>4</v>
      </c>
      <c r="E1189" t="s">
        <v>6</v>
      </c>
      <c r="F1189" t="s">
        <v>8</v>
      </c>
      <c r="G1189" t="s">
        <v>166</v>
      </c>
      <c r="H1189" s="94">
        <v>0.43</v>
      </c>
      <c r="I1189" t="s">
        <v>60</v>
      </c>
      <c r="J1189" t="s">
        <v>11</v>
      </c>
    </row>
    <row r="1190" spans="1:10" x14ac:dyDescent="0.25">
      <c r="A1190" t="s">
        <v>132</v>
      </c>
      <c r="B1190" t="s">
        <v>168</v>
      </c>
      <c r="C1190" s="12" t="s">
        <v>109</v>
      </c>
      <c r="D1190" t="s">
        <v>4</v>
      </c>
      <c r="E1190" t="s">
        <v>12</v>
      </c>
      <c r="F1190" t="s">
        <v>72</v>
      </c>
      <c r="G1190" t="s">
        <v>166</v>
      </c>
      <c r="H1190" s="94">
        <v>0.22500000000000001</v>
      </c>
      <c r="I1190" t="s">
        <v>107</v>
      </c>
      <c r="J1190" t="s">
        <v>13</v>
      </c>
    </row>
    <row r="1191" spans="1:10" x14ac:dyDescent="0.25">
      <c r="A1191" t="s">
        <v>132</v>
      </c>
      <c r="B1191" t="s">
        <v>168</v>
      </c>
      <c r="C1191" s="12" t="s">
        <v>109</v>
      </c>
      <c r="D1191" t="s">
        <v>4</v>
      </c>
      <c r="E1191" t="s">
        <v>12</v>
      </c>
      <c r="F1191" t="s">
        <v>72</v>
      </c>
      <c r="G1191" t="s">
        <v>166</v>
      </c>
      <c r="H1191" s="94">
        <v>0.22500000000000001</v>
      </c>
      <c r="I1191" t="s">
        <v>107</v>
      </c>
      <c r="J1191" t="s">
        <v>63</v>
      </c>
    </row>
    <row r="1192" spans="1:10" x14ac:dyDescent="0.25">
      <c r="A1192" t="s">
        <v>132</v>
      </c>
      <c r="B1192" t="s">
        <v>168</v>
      </c>
      <c r="C1192" s="12" t="s">
        <v>109</v>
      </c>
      <c r="D1192" t="s">
        <v>4</v>
      </c>
      <c r="E1192" t="s">
        <v>12</v>
      </c>
      <c r="F1192" t="s">
        <v>72</v>
      </c>
      <c r="G1192" t="s">
        <v>166</v>
      </c>
      <c r="H1192" s="94">
        <v>0.22500000000000001</v>
      </c>
      <c r="I1192" t="s">
        <v>107</v>
      </c>
      <c r="J1192" t="s">
        <v>11</v>
      </c>
    </row>
    <row r="1193" spans="1:10" x14ac:dyDescent="0.25">
      <c r="A1193" t="s">
        <v>132</v>
      </c>
      <c r="B1193" t="s">
        <v>168</v>
      </c>
      <c r="C1193" s="12" t="s">
        <v>109</v>
      </c>
      <c r="D1193" t="s">
        <v>4</v>
      </c>
      <c r="E1193" t="s">
        <v>12</v>
      </c>
      <c r="F1193" t="s">
        <v>72</v>
      </c>
      <c r="G1193" t="s">
        <v>166</v>
      </c>
      <c r="H1193" s="94">
        <v>0.22500000000000001</v>
      </c>
      <c r="I1193" t="s">
        <v>62</v>
      </c>
      <c r="J1193" t="s">
        <v>13</v>
      </c>
    </row>
    <row r="1194" spans="1:10" x14ac:dyDescent="0.25">
      <c r="A1194" t="s">
        <v>132</v>
      </c>
      <c r="B1194" t="s">
        <v>168</v>
      </c>
      <c r="C1194" s="12" t="s">
        <v>109</v>
      </c>
      <c r="D1194" t="s">
        <v>4</v>
      </c>
      <c r="E1194" t="s">
        <v>12</v>
      </c>
      <c r="F1194" t="s">
        <v>72</v>
      </c>
      <c r="G1194" t="s">
        <v>166</v>
      </c>
      <c r="H1194" s="94">
        <v>0.22500000000000001</v>
      </c>
      <c r="I1194" t="s">
        <v>62</v>
      </c>
      <c r="J1194" t="s">
        <v>63</v>
      </c>
    </row>
    <row r="1195" spans="1:10" x14ac:dyDescent="0.25">
      <c r="A1195" t="s">
        <v>132</v>
      </c>
      <c r="B1195" t="s">
        <v>168</v>
      </c>
      <c r="C1195" s="12" t="s">
        <v>109</v>
      </c>
      <c r="D1195" t="s">
        <v>4</v>
      </c>
      <c r="E1195" t="s">
        <v>12</v>
      </c>
      <c r="F1195" t="s">
        <v>72</v>
      </c>
      <c r="G1195" t="s">
        <v>166</v>
      </c>
      <c r="H1195" s="94">
        <v>0.22500000000000001</v>
      </c>
      <c r="I1195" t="s">
        <v>62</v>
      </c>
      <c r="J1195" t="s">
        <v>11</v>
      </c>
    </row>
    <row r="1196" spans="1:10" x14ac:dyDescent="0.25">
      <c r="A1196" t="s">
        <v>132</v>
      </c>
      <c r="B1196" t="s">
        <v>168</v>
      </c>
      <c r="C1196" s="12" t="s">
        <v>109</v>
      </c>
      <c r="D1196" t="s">
        <v>4</v>
      </c>
      <c r="E1196" t="s">
        <v>12</v>
      </c>
      <c r="F1196" t="s">
        <v>72</v>
      </c>
      <c r="G1196" t="s">
        <v>166</v>
      </c>
      <c r="H1196" s="94">
        <v>0.22500000000000001</v>
      </c>
      <c r="I1196" t="s">
        <v>60</v>
      </c>
      <c r="J1196" t="s">
        <v>13</v>
      </c>
    </row>
    <row r="1197" spans="1:10" x14ac:dyDescent="0.25">
      <c r="A1197" t="s">
        <v>132</v>
      </c>
      <c r="B1197" t="s">
        <v>168</v>
      </c>
      <c r="C1197" s="12" t="s">
        <v>109</v>
      </c>
      <c r="D1197" t="s">
        <v>4</v>
      </c>
      <c r="E1197" t="s">
        <v>12</v>
      </c>
      <c r="F1197" t="s">
        <v>72</v>
      </c>
      <c r="G1197" t="s">
        <v>166</v>
      </c>
      <c r="H1197" s="94">
        <v>0.22500000000000001</v>
      </c>
      <c r="I1197" t="s">
        <v>60</v>
      </c>
      <c r="J1197" t="s">
        <v>63</v>
      </c>
    </row>
    <row r="1198" spans="1:10" x14ac:dyDescent="0.25">
      <c r="A1198" t="s">
        <v>132</v>
      </c>
      <c r="B1198" t="s">
        <v>168</v>
      </c>
      <c r="C1198" s="12" t="s">
        <v>109</v>
      </c>
      <c r="D1198" t="s">
        <v>4</v>
      </c>
      <c r="E1198" t="s">
        <v>12</v>
      </c>
      <c r="F1198" t="s">
        <v>72</v>
      </c>
      <c r="G1198" t="s">
        <v>166</v>
      </c>
      <c r="H1198" s="94">
        <v>0.22500000000000001</v>
      </c>
      <c r="I1198" t="s">
        <v>60</v>
      </c>
      <c r="J1198" t="s">
        <v>11</v>
      </c>
    </row>
    <row r="1199" spans="1:10" x14ac:dyDescent="0.25">
      <c r="A1199" t="s">
        <v>132</v>
      </c>
      <c r="B1199" t="s">
        <v>168</v>
      </c>
      <c r="C1199" s="12" t="s">
        <v>109</v>
      </c>
      <c r="D1199" t="s">
        <v>4</v>
      </c>
      <c r="E1199" t="s">
        <v>12</v>
      </c>
      <c r="F1199" t="s">
        <v>72</v>
      </c>
      <c r="G1199" t="s">
        <v>166</v>
      </c>
      <c r="H1199" s="94">
        <v>0.43</v>
      </c>
      <c r="I1199" t="s">
        <v>107</v>
      </c>
      <c r="J1199" t="s">
        <v>13</v>
      </c>
    </row>
    <row r="1200" spans="1:10" x14ac:dyDescent="0.25">
      <c r="A1200" t="s">
        <v>132</v>
      </c>
      <c r="B1200" t="s">
        <v>168</v>
      </c>
      <c r="C1200" s="12" t="s">
        <v>109</v>
      </c>
      <c r="D1200" t="s">
        <v>4</v>
      </c>
      <c r="E1200" t="s">
        <v>12</v>
      </c>
      <c r="F1200" t="s">
        <v>72</v>
      </c>
      <c r="G1200" t="s">
        <v>166</v>
      </c>
      <c r="H1200" s="94">
        <v>0.43</v>
      </c>
      <c r="I1200" t="s">
        <v>107</v>
      </c>
      <c r="J1200" t="s">
        <v>63</v>
      </c>
    </row>
    <row r="1201" spans="1:10" x14ac:dyDescent="0.25">
      <c r="A1201" t="s">
        <v>132</v>
      </c>
      <c r="B1201" t="s">
        <v>168</v>
      </c>
      <c r="C1201" s="12" t="s">
        <v>109</v>
      </c>
      <c r="D1201" t="s">
        <v>4</v>
      </c>
      <c r="E1201" t="s">
        <v>12</v>
      </c>
      <c r="F1201" t="s">
        <v>72</v>
      </c>
      <c r="G1201" t="s">
        <v>166</v>
      </c>
      <c r="H1201" s="94">
        <v>0.43</v>
      </c>
      <c r="I1201" t="s">
        <v>107</v>
      </c>
      <c r="J1201" t="s">
        <v>11</v>
      </c>
    </row>
    <row r="1202" spans="1:10" x14ac:dyDescent="0.25">
      <c r="A1202" t="s">
        <v>132</v>
      </c>
      <c r="B1202" t="s">
        <v>168</v>
      </c>
      <c r="C1202" s="12" t="s">
        <v>109</v>
      </c>
      <c r="D1202" t="s">
        <v>4</v>
      </c>
      <c r="E1202" t="s">
        <v>12</v>
      </c>
      <c r="F1202" t="s">
        <v>72</v>
      </c>
      <c r="G1202" t="s">
        <v>166</v>
      </c>
      <c r="H1202" s="94">
        <v>0.43</v>
      </c>
      <c r="I1202" t="s">
        <v>62</v>
      </c>
      <c r="J1202" t="s">
        <v>13</v>
      </c>
    </row>
    <row r="1203" spans="1:10" x14ac:dyDescent="0.25">
      <c r="A1203" t="s">
        <v>132</v>
      </c>
      <c r="B1203" t="s">
        <v>168</v>
      </c>
      <c r="C1203" s="12" t="s">
        <v>109</v>
      </c>
      <c r="D1203" t="s">
        <v>4</v>
      </c>
      <c r="E1203" t="s">
        <v>12</v>
      </c>
      <c r="F1203" t="s">
        <v>72</v>
      </c>
      <c r="G1203" t="s">
        <v>166</v>
      </c>
      <c r="H1203" s="94">
        <v>0.43</v>
      </c>
      <c r="I1203" t="s">
        <v>62</v>
      </c>
      <c r="J1203" t="s">
        <v>63</v>
      </c>
    </row>
    <row r="1204" spans="1:10" x14ac:dyDescent="0.25">
      <c r="A1204" t="s">
        <v>132</v>
      </c>
      <c r="B1204" t="s">
        <v>168</v>
      </c>
      <c r="C1204" s="12" t="s">
        <v>109</v>
      </c>
      <c r="D1204" t="s">
        <v>4</v>
      </c>
      <c r="E1204" t="s">
        <v>12</v>
      </c>
      <c r="F1204" t="s">
        <v>72</v>
      </c>
      <c r="G1204" t="s">
        <v>166</v>
      </c>
      <c r="H1204" s="94">
        <v>0.43</v>
      </c>
      <c r="I1204" t="s">
        <v>62</v>
      </c>
      <c r="J1204" t="s">
        <v>11</v>
      </c>
    </row>
    <row r="1205" spans="1:10" x14ac:dyDescent="0.25">
      <c r="A1205" t="s">
        <v>132</v>
      </c>
      <c r="B1205" t="s">
        <v>168</v>
      </c>
      <c r="C1205" s="12" t="s">
        <v>109</v>
      </c>
      <c r="D1205" t="s">
        <v>4</v>
      </c>
      <c r="E1205" t="s">
        <v>12</v>
      </c>
      <c r="F1205" t="s">
        <v>72</v>
      </c>
      <c r="G1205" t="s">
        <v>166</v>
      </c>
      <c r="H1205" s="94">
        <v>0.43</v>
      </c>
      <c r="I1205" t="s">
        <v>60</v>
      </c>
      <c r="J1205" t="s">
        <v>13</v>
      </c>
    </row>
    <row r="1206" spans="1:10" x14ac:dyDescent="0.25">
      <c r="A1206" t="s">
        <v>132</v>
      </c>
      <c r="B1206" t="s">
        <v>168</v>
      </c>
      <c r="C1206" s="12" t="s">
        <v>109</v>
      </c>
      <c r="D1206" t="s">
        <v>4</v>
      </c>
      <c r="E1206" t="s">
        <v>12</v>
      </c>
      <c r="F1206" t="s">
        <v>72</v>
      </c>
      <c r="G1206" t="s">
        <v>166</v>
      </c>
      <c r="H1206" s="94">
        <v>0.43</v>
      </c>
      <c r="I1206" t="s">
        <v>60</v>
      </c>
      <c r="J1206" t="s">
        <v>63</v>
      </c>
    </row>
    <row r="1207" spans="1:10" x14ac:dyDescent="0.25">
      <c r="A1207" t="s">
        <v>132</v>
      </c>
      <c r="B1207" t="s">
        <v>168</v>
      </c>
      <c r="C1207" s="12" t="s">
        <v>109</v>
      </c>
      <c r="D1207" t="s">
        <v>4</v>
      </c>
      <c r="E1207" t="s">
        <v>12</v>
      </c>
      <c r="F1207" t="s">
        <v>72</v>
      </c>
      <c r="G1207" t="s">
        <v>166</v>
      </c>
      <c r="H1207" s="94">
        <v>0.43</v>
      </c>
      <c r="I1207" t="s">
        <v>60</v>
      </c>
      <c r="J1207" t="s">
        <v>11</v>
      </c>
    </row>
    <row r="1208" spans="1:10" x14ac:dyDescent="0.25">
      <c r="A1208" t="s">
        <v>132</v>
      </c>
      <c r="B1208" t="s">
        <v>168</v>
      </c>
      <c r="C1208" s="12" t="s">
        <v>109</v>
      </c>
      <c r="D1208" t="s">
        <v>4</v>
      </c>
      <c r="E1208" t="s">
        <v>12</v>
      </c>
      <c r="F1208" t="s">
        <v>16</v>
      </c>
      <c r="G1208" t="s">
        <v>166</v>
      </c>
      <c r="H1208" s="94">
        <v>0.22500000000000001</v>
      </c>
      <c r="I1208" t="s">
        <v>107</v>
      </c>
      <c r="J1208" t="s">
        <v>13</v>
      </c>
    </row>
    <row r="1209" spans="1:10" x14ac:dyDescent="0.25">
      <c r="A1209" t="s">
        <v>132</v>
      </c>
      <c r="B1209" t="s">
        <v>168</v>
      </c>
      <c r="C1209" s="12" t="s">
        <v>109</v>
      </c>
      <c r="D1209" t="s">
        <v>4</v>
      </c>
      <c r="E1209" t="s">
        <v>12</v>
      </c>
      <c r="F1209" t="s">
        <v>16</v>
      </c>
      <c r="G1209" t="s">
        <v>166</v>
      </c>
      <c r="H1209" s="94">
        <v>0.22500000000000001</v>
      </c>
      <c r="I1209" t="s">
        <v>107</v>
      </c>
      <c r="J1209" t="s">
        <v>63</v>
      </c>
    </row>
    <row r="1210" spans="1:10" x14ac:dyDescent="0.25">
      <c r="A1210" t="s">
        <v>132</v>
      </c>
      <c r="B1210" t="s">
        <v>168</v>
      </c>
      <c r="C1210" s="12" t="s">
        <v>109</v>
      </c>
      <c r="D1210" t="s">
        <v>4</v>
      </c>
      <c r="E1210" t="s">
        <v>12</v>
      </c>
      <c r="F1210" t="s">
        <v>16</v>
      </c>
      <c r="G1210" t="s">
        <v>166</v>
      </c>
      <c r="H1210" s="94">
        <v>0.22500000000000001</v>
      </c>
      <c r="I1210" t="s">
        <v>107</v>
      </c>
      <c r="J1210" t="s">
        <v>11</v>
      </c>
    </row>
    <row r="1211" spans="1:10" x14ac:dyDescent="0.25">
      <c r="A1211" t="s">
        <v>132</v>
      </c>
      <c r="B1211" t="s">
        <v>168</v>
      </c>
      <c r="C1211" s="12" t="s">
        <v>109</v>
      </c>
      <c r="D1211" t="s">
        <v>4</v>
      </c>
      <c r="E1211" t="s">
        <v>12</v>
      </c>
      <c r="F1211" t="s">
        <v>16</v>
      </c>
      <c r="G1211" t="s">
        <v>166</v>
      </c>
      <c r="H1211" s="94">
        <v>0.22500000000000001</v>
      </c>
      <c r="I1211" t="s">
        <v>62</v>
      </c>
      <c r="J1211" t="s">
        <v>13</v>
      </c>
    </row>
    <row r="1212" spans="1:10" x14ac:dyDescent="0.25">
      <c r="A1212" t="s">
        <v>132</v>
      </c>
      <c r="B1212" t="s">
        <v>168</v>
      </c>
      <c r="C1212" s="12" t="s">
        <v>109</v>
      </c>
      <c r="D1212" t="s">
        <v>4</v>
      </c>
      <c r="E1212" t="s">
        <v>12</v>
      </c>
      <c r="F1212" t="s">
        <v>16</v>
      </c>
      <c r="G1212" t="s">
        <v>166</v>
      </c>
      <c r="H1212" s="94">
        <v>0.22500000000000001</v>
      </c>
      <c r="I1212" t="s">
        <v>62</v>
      </c>
      <c r="J1212" t="s">
        <v>63</v>
      </c>
    </row>
    <row r="1213" spans="1:10" x14ac:dyDescent="0.25">
      <c r="A1213" t="s">
        <v>132</v>
      </c>
      <c r="B1213" t="s">
        <v>168</v>
      </c>
      <c r="C1213" s="12" t="s">
        <v>109</v>
      </c>
      <c r="D1213" t="s">
        <v>4</v>
      </c>
      <c r="E1213" t="s">
        <v>12</v>
      </c>
      <c r="F1213" t="s">
        <v>16</v>
      </c>
      <c r="G1213" t="s">
        <v>166</v>
      </c>
      <c r="H1213" s="94">
        <v>0.22500000000000001</v>
      </c>
      <c r="I1213" t="s">
        <v>62</v>
      </c>
      <c r="J1213" t="s">
        <v>11</v>
      </c>
    </row>
    <row r="1214" spans="1:10" x14ac:dyDescent="0.25">
      <c r="A1214" t="s">
        <v>132</v>
      </c>
      <c r="B1214" t="s">
        <v>168</v>
      </c>
      <c r="C1214" s="12" t="s">
        <v>109</v>
      </c>
      <c r="D1214" t="s">
        <v>4</v>
      </c>
      <c r="E1214" t="s">
        <v>12</v>
      </c>
      <c r="F1214" t="s">
        <v>16</v>
      </c>
      <c r="G1214" t="s">
        <v>166</v>
      </c>
      <c r="H1214" s="94">
        <v>0.22500000000000001</v>
      </c>
      <c r="I1214" t="s">
        <v>60</v>
      </c>
      <c r="J1214" t="s">
        <v>13</v>
      </c>
    </row>
    <row r="1215" spans="1:10" x14ac:dyDescent="0.25">
      <c r="A1215" t="s">
        <v>132</v>
      </c>
      <c r="B1215" t="s">
        <v>168</v>
      </c>
      <c r="C1215" s="12" t="s">
        <v>109</v>
      </c>
      <c r="D1215" t="s">
        <v>4</v>
      </c>
      <c r="E1215" t="s">
        <v>12</v>
      </c>
      <c r="F1215" t="s">
        <v>16</v>
      </c>
      <c r="G1215" t="s">
        <v>166</v>
      </c>
      <c r="H1215" s="94">
        <v>0.22500000000000001</v>
      </c>
      <c r="I1215" t="s">
        <v>60</v>
      </c>
      <c r="J1215" t="s">
        <v>63</v>
      </c>
    </row>
    <row r="1216" spans="1:10" x14ac:dyDescent="0.25">
      <c r="A1216" t="s">
        <v>132</v>
      </c>
      <c r="B1216" t="s">
        <v>168</v>
      </c>
      <c r="C1216" s="12" t="s">
        <v>109</v>
      </c>
      <c r="D1216" t="s">
        <v>4</v>
      </c>
      <c r="E1216" t="s">
        <v>12</v>
      </c>
      <c r="F1216" t="s">
        <v>16</v>
      </c>
      <c r="G1216" t="s">
        <v>166</v>
      </c>
      <c r="H1216" s="94">
        <v>0.22500000000000001</v>
      </c>
      <c r="I1216" t="s">
        <v>60</v>
      </c>
      <c r="J1216" t="s">
        <v>11</v>
      </c>
    </row>
    <row r="1217" spans="1:10" x14ac:dyDescent="0.25">
      <c r="A1217" t="s">
        <v>132</v>
      </c>
      <c r="B1217" t="s">
        <v>168</v>
      </c>
      <c r="C1217" s="12" t="s">
        <v>109</v>
      </c>
      <c r="D1217" t="s">
        <v>4</v>
      </c>
      <c r="E1217" t="s">
        <v>12</v>
      </c>
      <c r="F1217" t="s">
        <v>16</v>
      </c>
      <c r="G1217" t="s">
        <v>166</v>
      </c>
      <c r="H1217" s="94">
        <v>0.43</v>
      </c>
      <c r="I1217" t="s">
        <v>107</v>
      </c>
      <c r="J1217" t="s">
        <v>13</v>
      </c>
    </row>
    <row r="1218" spans="1:10" x14ac:dyDescent="0.25">
      <c r="A1218" t="s">
        <v>132</v>
      </c>
      <c r="B1218" t="s">
        <v>168</v>
      </c>
      <c r="C1218" s="12" t="s">
        <v>109</v>
      </c>
      <c r="D1218" t="s">
        <v>4</v>
      </c>
      <c r="E1218" t="s">
        <v>12</v>
      </c>
      <c r="F1218" t="s">
        <v>16</v>
      </c>
      <c r="G1218" t="s">
        <v>166</v>
      </c>
      <c r="H1218" s="94">
        <v>0.43</v>
      </c>
      <c r="I1218" t="s">
        <v>107</v>
      </c>
      <c r="J1218" t="s">
        <v>63</v>
      </c>
    </row>
    <row r="1219" spans="1:10" x14ac:dyDescent="0.25">
      <c r="A1219" t="s">
        <v>132</v>
      </c>
      <c r="B1219" t="s">
        <v>168</v>
      </c>
      <c r="C1219" s="12" t="s">
        <v>109</v>
      </c>
      <c r="D1219" t="s">
        <v>4</v>
      </c>
      <c r="E1219" t="s">
        <v>12</v>
      </c>
      <c r="F1219" t="s">
        <v>16</v>
      </c>
      <c r="G1219" t="s">
        <v>166</v>
      </c>
      <c r="H1219" s="94">
        <v>0.43</v>
      </c>
      <c r="I1219" t="s">
        <v>107</v>
      </c>
      <c r="J1219" t="s">
        <v>11</v>
      </c>
    </row>
    <row r="1220" spans="1:10" x14ac:dyDescent="0.25">
      <c r="A1220" t="s">
        <v>132</v>
      </c>
      <c r="B1220" t="s">
        <v>168</v>
      </c>
      <c r="C1220" s="12" t="s">
        <v>109</v>
      </c>
      <c r="D1220" t="s">
        <v>4</v>
      </c>
      <c r="E1220" t="s">
        <v>12</v>
      </c>
      <c r="F1220" t="s">
        <v>16</v>
      </c>
      <c r="G1220" t="s">
        <v>166</v>
      </c>
      <c r="H1220" s="94">
        <v>0.43</v>
      </c>
      <c r="I1220" t="s">
        <v>62</v>
      </c>
      <c r="J1220" t="s">
        <v>13</v>
      </c>
    </row>
    <row r="1221" spans="1:10" x14ac:dyDescent="0.25">
      <c r="A1221" t="s">
        <v>132</v>
      </c>
      <c r="B1221" t="s">
        <v>168</v>
      </c>
      <c r="C1221" s="12" t="s">
        <v>109</v>
      </c>
      <c r="D1221" t="s">
        <v>4</v>
      </c>
      <c r="E1221" t="s">
        <v>12</v>
      </c>
      <c r="F1221" t="s">
        <v>16</v>
      </c>
      <c r="G1221" t="s">
        <v>166</v>
      </c>
      <c r="H1221" s="94">
        <v>0.43</v>
      </c>
      <c r="I1221" t="s">
        <v>62</v>
      </c>
      <c r="J1221" t="s">
        <v>63</v>
      </c>
    </row>
    <row r="1222" spans="1:10" x14ac:dyDescent="0.25">
      <c r="A1222" t="s">
        <v>132</v>
      </c>
      <c r="B1222" t="s">
        <v>168</v>
      </c>
      <c r="C1222" s="12" t="s">
        <v>109</v>
      </c>
      <c r="D1222" t="s">
        <v>4</v>
      </c>
      <c r="E1222" t="s">
        <v>12</v>
      </c>
      <c r="F1222" t="s">
        <v>16</v>
      </c>
      <c r="G1222" t="s">
        <v>166</v>
      </c>
      <c r="H1222" s="94">
        <v>0.43</v>
      </c>
      <c r="I1222" t="s">
        <v>62</v>
      </c>
      <c r="J1222" t="s">
        <v>11</v>
      </c>
    </row>
    <row r="1223" spans="1:10" x14ac:dyDescent="0.25">
      <c r="A1223" t="s">
        <v>132</v>
      </c>
      <c r="B1223" t="s">
        <v>168</v>
      </c>
      <c r="C1223" s="12" t="s">
        <v>109</v>
      </c>
      <c r="D1223" t="s">
        <v>4</v>
      </c>
      <c r="E1223" t="s">
        <v>12</v>
      </c>
      <c r="F1223" t="s">
        <v>16</v>
      </c>
      <c r="G1223" t="s">
        <v>166</v>
      </c>
      <c r="H1223" s="94">
        <v>0.43</v>
      </c>
      <c r="I1223" t="s">
        <v>60</v>
      </c>
      <c r="J1223" t="s">
        <v>13</v>
      </c>
    </row>
    <row r="1224" spans="1:10" x14ac:dyDescent="0.25">
      <c r="A1224" t="s">
        <v>132</v>
      </c>
      <c r="B1224" t="s">
        <v>168</v>
      </c>
      <c r="C1224" s="12" t="s">
        <v>109</v>
      </c>
      <c r="D1224" t="s">
        <v>4</v>
      </c>
      <c r="E1224" t="s">
        <v>12</v>
      </c>
      <c r="F1224" t="s">
        <v>16</v>
      </c>
      <c r="G1224" t="s">
        <v>166</v>
      </c>
      <c r="H1224" s="94">
        <v>0.43</v>
      </c>
      <c r="I1224" t="s">
        <v>60</v>
      </c>
      <c r="J1224" t="s">
        <v>63</v>
      </c>
    </row>
    <row r="1225" spans="1:10" x14ac:dyDescent="0.25">
      <c r="A1225" t="s">
        <v>132</v>
      </c>
      <c r="B1225" t="s">
        <v>168</v>
      </c>
      <c r="C1225" s="12" t="s">
        <v>109</v>
      </c>
      <c r="D1225" t="s">
        <v>4</v>
      </c>
      <c r="E1225" t="s">
        <v>12</v>
      </c>
      <c r="F1225" t="s">
        <v>16</v>
      </c>
      <c r="G1225" t="s">
        <v>166</v>
      </c>
      <c r="H1225" s="94">
        <v>0.43</v>
      </c>
      <c r="I1225" t="s">
        <v>60</v>
      </c>
      <c r="J1225" t="s">
        <v>11</v>
      </c>
    </row>
    <row r="1226" spans="1:10" x14ac:dyDescent="0.25">
      <c r="A1226" t="s">
        <v>132</v>
      </c>
      <c r="B1226" t="s">
        <v>168</v>
      </c>
      <c r="C1226" s="12" t="s">
        <v>109</v>
      </c>
      <c r="D1226" t="s">
        <v>4</v>
      </c>
      <c r="E1226" t="s">
        <v>12</v>
      </c>
      <c r="F1226" t="s">
        <v>8</v>
      </c>
      <c r="G1226" t="s">
        <v>166</v>
      </c>
      <c r="H1226" s="94">
        <v>0.22500000000000001</v>
      </c>
      <c r="I1226" t="s">
        <v>107</v>
      </c>
      <c r="J1226" t="s">
        <v>13</v>
      </c>
    </row>
    <row r="1227" spans="1:10" x14ac:dyDescent="0.25">
      <c r="A1227" t="s">
        <v>132</v>
      </c>
      <c r="B1227" t="s">
        <v>168</v>
      </c>
      <c r="C1227" s="12" t="s">
        <v>109</v>
      </c>
      <c r="D1227" t="s">
        <v>4</v>
      </c>
      <c r="E1227" t="s">
        <v>12</v>
      </c>
      <c r="F1227" t="s">
        <v>8</v>
      </c>
      <c r="G1227" t="s">
        <v>166</v>
      </c>
      <c r="H1227" s="94">
        <v>0.22500000000000001</v>
      </c>
      <c r="I1227" t="s">
        <v>107</v>
      </c>
      <c r="J1227" t="s">
        <v>63</v>
      </c>
    </row>
    <row r="1228" spans="1:10" x14ac:dyDescent="0.25">
      <c r="A1228" t="s">
        <v>132</v>
      </c>
      <c r="B1228" t="s">
        <v>168</v>
      </c>
      <c r="C1228" s="12" t="s">
        <v>109</v>
      </c>
      <c r="D1228" t="s">
        <v>4</v>
      </c>
      <c r="E1228" t="s">
        <v>12</v>
      </c>
      <c r="F1228" t="s">
        <v>8</v>
      </c>
      <c r="G1228" t="s">
        <v>166</v>
      </c>
      <c r="H1228" s="94">
        <v>0.22500000000000001</v>
      </c>
      <c r="I1228" t="s">
        <v>107</v>
      </c>
      <c r="J1228" t="s">
        <v>11</v>
      </c>
    </row>
    <row r="1229" spans="1:10" x14ac:dyDescent="0.25">
      <c r="A1229" t="s">
        <v>132</v>
      </c>
      <c r="B1229" t="s">
        <v>168</v>
      </c>
      <c r="C1229" s="12" t="s">
        <v>109</v>
      </c>
      <c r="D1229" t="s">
        <v>4</v>
      </c>
      <c r="E1229" t="s">
        <v>12</v>
      </c>
      <c r="F1229" t="s">
        <v>8</v>
      </c>
      <c r="G1229" t="s">
        <v>166</v>
      </c>
      <c r="H1229" s="94">
        <v>0.22500000000000001</v>
      </c>
      <c r="I1229" t="s">
        <v>62</v>
      </c>
      <c r="J1229" t="s">
        <v>13</v>
      </c>
    </row>
    <row r="1230" spans="1:10" x14ac:dyDescent="0.25">
      <c r="A1230" t="s">
        <v>132</v>
      </c>
      <c r="B1230" t="s">
        <v>168</v>
      </c>
      <c r="C1230" s="12" t="s">
        <v>109</v>
      </c>
      <c r="D1230" t="s">
        <v>4</v>
      </c>
      <c r="E1230" t="s">
        <v>12</v>
      </c>
      <c r="F1230" t="s">
        <v>8</v>
      </c>
      <c r="G1230" t="s">
        <v>166</v>
      </c>
      <c r="H1230" s="94">
        <v>0.22500000000000001</v>
      </c>
      <c r="I1230" t="s">
        <v>62</v>
      </c>
      <c r="J1230" t="s">
        <v>63</v>
      </c>
    </row>
    <row r="1231" spans="1:10" x14ac:dyDescent="0.25">
      <c r="A1231" t="s">
        <v>132</v>
      </c>
      <c r="B1231" t="s">
        <v>168</v>
      </c>
      <c r="C1231" s="12" t="s">
        <v>109</v>
      </c>
      <c r="D1231" t="s">
        <v>4</v>
      </c>
      <c r="E1231" t="s">
        <v>12</v>
      </c>
      <c r="F1231" t="s">
        <v>8</v>
      </c>
      <c r="G1231" t="s">
        <v>166</v>
      </c>
      <c r="H1231" s="94">
        <v>0.22500000000000001</v>
      </c>
      <c r="I1231" t="s">
        <v>62</v>
      </c>
      <c r="J1231" t="s">
        <v>11</v>
      </c>
    </row>
    <row r="1232" spans="1:10" x14ac:dyDescent="0.25">
      <c r="A1232" t="s">
        <v>132</v>
      </c>
      <c r="B1232" t="s">
        <v>168</v>
      </c>
      <c r="C1232" s="12" t="s">
        <v>109</v>
      </c>
      <c r="D1232" t="s">
        <v>4</v>
      </c>
      <c r="E1232" t="s">
        <v>12</v>
      </c>
      <c r="F1232" t="s">
        <v>8</v>
      </c>
      <c r="G1232" t="s">
        <v>166</v>
      </c>
      <c r="H1232" s="94">
        <v>0.22500000000000001</v>
      </c>
      <c r="I1232" t="s">
        <v>60</v>
      </c>
      <c r="J1232" t="s">
        <v>13</v>
      </c>
    </row>
    <row r="1233" spans="1:10" x14ac:dyDescent="0.25">
      <c r="A1233" t="s">
        <v>132</v>
      </c>
      <c r="B1233" t="s">
        <v>168</v>
      </c>
      <c r="C1233" s="12" t="s">
        <v>109</v>
      </c>
      <c r="D1233" t="s">
        <v>4</v>
      </c>
      <c r="E1233" t="s">
        <v>12</v>
      </c>
      <c r="F1233" t="s">
        <v>8</v>
      </c>
      <c r="G1233" t="s">
        <v>166</v>
      </c>
      <c r="H1233" s="94">
        <v>0.22500000000000001</v>
      </c>
      <c r="I1233" t="s">
        <v>60</v>
      </c>
      <c r="J1233" t="s">
        <v>63</v>
      </c>
    </row>
    <row r="1234" spans="1:10" x14ac:dyDescent="0.25">
      <c r="A1234" t="s">
        <v>132</v>
      </c>
      <c r="B1234" t="s">
        <v>168</v>
      </c>
      <c r="C1234" s="12" t="s">
        <v>109</v>
      </c>
      <c r="D1234" t="s">
        <v>4</v>
      </c>
      <c r="E1234" t="s">
        <v>12</v>
      </c>
      <c r="F1234" t="s">
        <v>8</v>
      </c>
      <c r="G1234" t="s">
        <v>166</v>
      </c>
      <c r="H1234" s="94">
        <v>0.22500000000000001</v>
      </c>
      <c r="I1234" t="s">
        <v>60</v>
      </c>
      <c r="J1234" t="s">
        <v>11</v>
      </c>
    </row>
    <row r="1235" spans="1:10" x14ac:dyDescent="0.25">
      <c r="A1235" t="s">
        <v>132</v>
      </c>
      <c r="B1235" t="s">
        <v>168</v>
      </c>
      <c r="C1235" s="12" t="s">
        <v>109</v>
      </c>
      <c r="D1235" t="s">
        <v>4</v>
      </c>
      <c r="E1235" t="s">
        <v>12</v>
      </c>
      <c r="F1235" t="s">
        <v>8</v>
      </c>
      <c r="G1235" t="s">
        <v>166</v>
      </c>
      <c r="H1235" s="94">
        <v>0.43</v>
      </c>
      <c r="I1235" t="s">
        <v>107</v>
      </c>
      <c r="J1235" t="s">
        <v>13</v>
      </c>
    </row>
    <row r="1236" spans="1:10" x14ac:dyDescent="0.25">
      <c r="A1236" t="s">
        <v>132</v>
      </c>
      <c r="B1236" t="s">
        <v>168</v>
      </c>
      <c r="C1236" s="12" t="s">
        <v>109</v>
      </c>
      <c r="D1236" t="s">
        <v>4</v>
      </c>
      <c r="E1236" t="s">
        <v>12</v>
      </c>
      <c r="F1236" t="s">
        <v>8</v>
      </c>
      <c r="G1236" t="s">
        <v>166</v>
      </c>
      <c r="H1236" s="94">
        <v>0.43</v>
      </c>
      <c r="I1236" t="s">
        <v>107</v>
      </c>
      <c r="J1236" t="s">
        <v>63</v>
      </c>
    </row>
    <row r="1237" spans="1:10" x14ac:dyDescent="0.25">
      <c r="A1237" t="s">
        <v>132</v>
      </c>
      <c r="B1237" t="s">
        <v>168</v>
      </c>
      <c r="C1237" s="12" t="s">
        <v>109</v>
      </c>
      <c r="D1237" t="s">
        <v>4</v>
      </c>
      <c r="E1237" t="s">
        <v>12</v>
      </c>
      <c r="F1237" t="s">
        <v>8</v>
      </c>
      <c r="G1237" t="s">
        <v>166</v>
      </c>
      <c r="H1237" s="94">
        <v>0.43</v>
      </c>
      <c r="I1237" t="s">
        <v>107</v>
      </c>
      <c r="J1237" t="s">
        <v>11</v>
      </c>
    </row>
    <row r="1238" spans="1:10" x14ac:dyDescent="0.25">
      <c r="A1238" t="s">
        <v>132</v>
      </c>
      <c r="B1238" t="s">
        <v>168</v>
      </c>
      <c r="C1238" s="12" t="s">
        <v>109</v>
      </c>
      <c r="D1238" t="s">
        <v>4</v>
      </c>
      <c r="E1238" t="s">
        <v>12</v>
      </c>
      <c r="F1238" t="s">
        <v>8</v>
      </c>
      <c r="G1238" t="s">
        <v>166</v>
      </c>
      <c r="H1238" s="94">
        <v>0.43</v>
      </c>
      <c r="I1238" t="s">
        <v>62</v>
      </c>
      <c r="J1238" t="s">
        <v>13</v>
      </c>
    </row>
    <row r="1239" spans="1:10" x14ac:dyDescent="0.25">
      <c r="A1239" t="s">
        <v>132</v>
      </c>
      <c r="B1239" t="s">
        <v>168</v>
      </c>
      <c r="C1239" s="12" t="s">
        <v>109</v>
      </c>
      <c r="D1239" t="s">
        <v>4</v>
      </c>
      <c r="E1239" t="s">
        <v>12</v>
      </c>
      <c r="F1239" t="s">
        <v>8</v>
      </c>
      <c r="G1239" t="s">
        <v>166</v>
      </c>
      <c r="H1239" s="94">
        <v>0.43</v>
      </c>
      <c r="I1239" t="s">
        <v>62</v>
      </c>
      <c r="J1239" t="s">
        <v>63</v>
      </c>
    </row>
    <row r="1240" spans="1:10" x14ac:dyDescent="0.25">
      <c r="A1240" t="s">
        <v>132</v>
      </c>
      <c r="B1240" t="s">
        <v>168</v>
      </c>
      <c r="C1240" s="12" t="s">
        <v>109</v>
      </c>
      <c r="D1240" t="s">
        <v>4</v>
      </c>
      <c r="E1240" t="s">
        <v>12</v>
      </c>
      <c r="F1240" t="s">
        <v>8</v>
      </c>
      <c r="G1240" t="s">
        <v>166</v>
      </c>
      <c r="H1240" s="94">
        <v>0.43</v>
      </c>
      <c r="I1240" t="s">
        <v>62</v>
      </c>
      <c r="J1240" t="s">
        <v>11</v>
      </c>
    </row>
    <row r="1241" spans="1:10" x14ac:dyDescent="0.25">
      <c r="A1241" t="s">
        <v>132</v>
      </c>
      <c r="B1241" t="s">
        <v>168</v>
      </c>
      <c r="C1241" s="12" t="s">
        <v>109</v>
      </c>
      <c r="D1241" t="s">
        <v>4</v>
      </c>
      <c r="E1241" t="s">
        <v>12</v>
      </c>
      <c r="F1241" t="s">
        <v>8</v>
      </c>
      <c r="G1241" t="s">
        <v>166</v>
      </c>
      <c r="H1241" s="94">
        <v>0.43</v>
      </c>
      <c r="I1241" t="s">
        <v>60</v>
      </c>
      <c r="J1241" t="s">
        <v>13</v>
      </c>
    </row>
    <row r="1242" spans="1:10" x14ac:dyDescent="0.25">
      <c r="A1242" t="s">
        <v>132</v>
      </c>
      <c r="B1242" t="s">
        <v>168</v>
      </c>
      <c r="C1242" s="12" t="s">
        <v>109</v>
      </c>
      <c r="D1242" t="s">
        <v>4</v>
      </c>
      <c r="E1242" t="s">
        <v>12</v>
      </c>
      <c r="F1242" t="s">
        <v>8</v>
      </c>
      <c r="G1242" t="s">
        <v>166</v>
      </c>
      <c r="H1242" s="94">
        <v>0.43</v>
      </c>
      <c r="I1242" t="s">
        <v>60</v>
      </c>
      <c r="J1242" t="s">
        <v>63</v>
      </c>
    </row>
    <row r="1243" spans="1:10" x14ac:dyDescent="0.25">
      <c r="A1243" t="s">
        <v>132</v>
      </c>
      <c r="B1243" t="s">
        <v>168</v>
      </c>
      <c r="C1243" s="12" t="s">
        <v>109</v>
      </c>
      <c r="D1243" t="s">
        <v>4</v>
      </c>
      <c r="E1243" t="s">
        <v>12</v>
      </c>
      <c r="F1243" t="s">
        <v>8</v>
      </c>
      <c r="G1243" t="s">
        <v>166</v>
      </c>
      <c r="H1243" s="94">
        <v>0.43</v>
      </c>
      <c r="I1243" t="s">
        <v>60</v>
      </c>
      <c r="J1243" t="s">
        <v>11</v>
      </c>
    </row>
    <row r="1244" spans="1:10" x14ac:dyDescent="0.25">
      <c r="A1244" t="s">
        <v>132</v>
      </c>
      <c r="B1244" t="s">
        <v>168</v>
      </c>
      <c r="C1244" s="12" t="s">
        <v>109</v>
      </c>
      <c r="D1244" t="s">
        <v>4</v>
      </c>
      <c r="E1244" t="s">
        <v>6</v>
      </c>
      <c r="F1244" t="s">
        <v>72</v>
      </c>
      <c r="G1244" t="s">
        <v>166</v>
      </c>
      <c r="H1244" s="94">
        <v>0.22500000000000001</v>
      </c>
      <c r="I1244" t="s">
        <v>107</v>
      </c>
      <c r="J1244" t="s">
        <v>13</v>
      </c>
    </row>
    <row r="1245" spans="1:10" x14ac:dyDescent="0.25">
      <c r="A1245" t="s">
        <v>132</v>
      </c>
      <c r="B1245" t="s">
        <v>168</v>
      </c>
      <c r="C1245" s="12" t="s">
        <v>109</v>
      </c>
      <c r="D1245" t="s">
        <v>4</v>
      </c>
      <c r="E1245" t="s">
        <v>6</v>
      </c>
      <c r="F1245" t="s">
        <v>72</v>
      </c>
      <c r="G1245" t="s">
        <v>166</v>
      </c>
      <c r="H1245" s="94">
        <v>0.22500000000000001</v>
      </c>
      <c r="I1245" t="s">
        <v>107</v>
      </c>
      <c r="J1245" t="s">
        <v>63</v>
      </c>
    </row>
    <row r="1246" spans="1:10" x14ac:dyDescent="0.25">
      <c r="A1246" t="s">
        <v>132</v>
      </c>
      <c r="B1246" t="s">
        <v>168</v>
      </c>
      <c r="C1246" s="12" t="s">
        <v>109</v>
      </c>
      <c r="D1246" t="s">
        <v>4</v>
      </c>
      <c r="E1246" t="s">
        <v>6</v>
      </c>
      <c r="F1246" t="s">
        <v>72</v>
      </c>
      <c r="G1246" t="s">
        <v>166</v>
      </c>
      <c r="H1246" s="94">
        <v>0.22500000000000001</v>
      </c>
      <c r="I1246" t="s">
        <v>107</v>
      </c>
      <c r="J1246" t="s">
        <v>11</v>
      </c>
    </row>
    <row r="1247" spans="1:10" x14ac:dyDescent="0.25">
      <c r="A1247" t="s">
        <v>132</v>
      </c>
      <c r="B1247" t="s">
        <v>168</v>
      </c>
      <c r="C1247" s="12" t="s">
        <v>109</v>
      </c>
      <c r="D1247" t="s">
        <v>4</v>
      </c>
      <c r="E1247" t="s">
        <v>6</v>
      </c>
      <c r="F1247" t="s">
        <v>72</v>
      </c>
      <c r="G1247" t="s">
        <v>166</v>
      </c>
      <c r="H1247" s="94">
        <v>0.22500000000000001</v>
      </c>
      <c r="I1247" t="s">
        <v>62</v>
      </c>
      <c r="J1247" t="s">
        <v>13</v>
      </c>
    </row>
    <row r="1248" spans="1:10" x14ac:dyDescent="0.25">
      <c r="A1248" t="s">
        <v>132</v>
      </c>
      <c r="B1248" t="s">
        <v>168</v>
      </c>
      <c r="C1248" s="12" t="s">
        <v>109</v>
      </c>
      <c r="D1248" t="s">
        <v>4</v>
      </c>
      <c r="E1248" t="s">
        <v>6</v>
      </c>
      <c r="F1248" t="s">
        <v>72</v>
      </c>
      <c r="G1248" t="s">
        <v>166</v>
      </c>
      <c r="H1248" s="94">
        <v>0.22500000000000001</v>
      </c>
      <c r="I1248" t="s">
        <v>62</v>
      </c>
      <c r="J1248" t="s">
        <v>63</v>
      </c>
    </row>
    <row r="1249" spans="1:10" x14ac:dyDescent="0.25">
      <c r="A1249" t="s">
        <v>132</v>
      </c>
      <c r="B1249" t="s">
        <v>168</v>
      </c>
      <c r="C1249" s="12" t="s">
        <v>109</v>
      </c>
      <c r="D1249" t="s">
        <v>4</v>
      </c>
      <c r="E1249" t="s">
        <v>6</v>
      </c>
      <c r="F1249" t="s">
        <v>72</v>
      </c>
      <c r="G1249" t="s">
        <v>166</v>
      </c>
      <c r="H1249" s="94">
        <v>0.22500000000000001</v>
      </c>
      <c r="I1249" t="s">
        <v>62</v>
      </c>
      <c r="J1249" t="s">
        <v>11</v>
      </c>
    </row>
    <row r="1250" spans="1:10" x14ac:dyDescent="0.25">
      <c r="A1250" t="s">
        <v>132</v>
      </c>
      <c r="B1250" t="s">
        <v>168</v>
      </c>
      <c r="C1250" s="12" t="s">
        <v>109</v>
      </c>
      <c r="D1250" t="s">
        <v>4</v>
      </c>
      <c r="E1250" t="s">
        <v>6</v>
      </c>
      <c r="F1250" t="s">
        <v>72</v>
      </c>
      <c r="G1250" t="s">
        <v>166</v>
      </c>
      <c r="H1250" s="94">
        <v>0.22500000000000001</v>
      </c>
      <c r="I1250" t="s">
        <v>60</v>
      </c>
      <c r="J1250" t="s">
        <v>13</v>
      </c>
    </row>
    <row r="1251" spans="1:10" x14ac:dyDescent="0.25">
      <c r="A1251" t="s">
        <v>132</v>
      </c>
      <c r="B1251" t="s">
        <v>168</v>
      </c>
      <c r="C1251" s="12" t="s">
        <v>109</v>
      </c>
      <c r="D1251" t="s">
        <v>4</v>
      </c>
      <c r="E1251" t="s">
        <v>6</v>
      </c>
      <c r="F1251" t="s">
        <v>72</v>
      </c>
      <c r="G1251" t="s">
        <v>166</v>
      </c>
      <c r="H1251" s="94">
        <v>0.22500000000000001</v>
      </c>
      <c r="I1251" t="s">
        <v>60</v>
      </c>
      <c r="J1251" t="s">
        <v>63</v>
      </c>
    </row>
    <row r="1252" spans="1:10" x14ac:dyDescent="0.25">
      <c r="A1252" t="s">
        <v>132</v>
      </c>
      <c r="B1252" t="s">
        <v>168</v>
      </c>
      <c r="C1252" s="12" t="s">
        <v>109</v>
      </c>
      <c r="D1252" t="s">
        <v>4</v>
      </c>
      <c r="E1252" t="s">
        <v>6</v>
      </c>
      <c r="F1252" t="s">
        <v>72</v>
      </c>
      <c r="G1252" t="s">
        <v>166</v>
      </c>
      <c r="H1252" s="94">
        <v>0.22500000000000001</v>
      </c>
      <c r="I1252" t="s">
        <v>60</v>
      </c>
      <c r="J1252" t="s">
        <v>11</v>
      </c>
    </row>
    <row r="1253" spans="1:10" x14ac:dyDescent="0.25">
      <c r="A1253" t="s">
        <v>132</v>
      </c>
      <c r="B1253" t="s">
        <v>168</v>
      </c>
      <c r="C1253" s="12" t="s">
        <v>109</v>
      </c>
      <c r="D1253" t="s">
        <v>4</v>
      </c>
      <c r="E1253" t="s">
        <v>6</v>
      </c>
      <c r="F1253" t="s">
        <v>72</v>
      </c>
      <c r="G1253" t="s">
        <v>166</v>
      </c>
      <c r="H1253" s="94">
        <v>0.43</v>
      </c>
      <c r="I1253" t="s">
        <v>107</v>
      </c>
      <c r="J1253" t="s">
        <v>13</v>
      </c>
    </row>
    <row r="1254" spans="1:10" x14ac:dyDescent="0.25">
      <c r="A1254" t="s">
        <v>132</v>
      </c>
      <c r="B1254" t="s">
        <v>168</v>
      </c>
      <c r="C1254" s="12" t="s">
        <v>109</v>
      </c>
      <c r="D1254" t="s">
        <v>4</v>
      </c>
      <c r="E1254" t="s">
        <v>6</v>
      </c>
      <c r="F1254" t="s">
        <v>72</v>
      </c>
      <c r="G1254" t="s">
        <v>166</v>
      </c>
      <c r="H1254" s="94">
        <v>0.43</v>
      </c>
      <c r="I1254" t="s">
        <v>107</v>
      </c>
      <c r="J1254" t="s">
        <v>63</v>
      </c>
    </row>
    <row r="1255" spans="1:10" x14ac:dyDescent="0.25">
      <c r="A1255" t="s">
        <v>132</v>
      </c>
      <c r="B1255" t="s">
        <v>168</v>
      </c>
      <c r="C1255" s="12" t="s">
        <v>109</v>
      </c>
      <c r="D1255" t="s">
        <v>4</v>
      </c>
      <c r="E1255" t="s">
        <v>6</v>
      </c>
      <c r="F1255" t="s">
        <v>72</v>
      </c>
      <c r="G1255" t="s">
        <v>166</v>
      </c>
      <c r="H1255" s="94">
        <v>0.43</v>
      </c>
      <c r="I1255" t="s">
        <v>107</v>
      </c>
      <c r="J1255" t="s">
        <v>11</v>
      </c>
    </row>
    <row r="1256" spans="1:10" x14ac:dyDescent="0.25">
      <c r="A1256" t="s">
        <v>132</v>
      </c>
      <c r="B1256" t="s">
        <v>168</v>
      </c>
      <c r="C1256" s="12" t="s">
        <v>109</v>
      </c>
      <c r="D1256" t="s">
        <v>4</v>
      </c>
      <c r="E1256" t="s">
        <v>6</v>
      </c>
      <c r="F1256" t="s">
        <v>72</v>
      </c>
      <c r="G1256" t="s">
        <v>166</v>
      </c>
      <c r="H1256" s="94">
        <v>0.43</v>
      </c>
      <c r="I1256" t="s">
        <v>62</v>
      </c>
      <c r="J1256" t="s">
        <v>13</v>
      </c>
    </row>
    <row r="1257" spans="1:10" x14ac:dyDescent="0.25">
      <c r="A1257" t="s">
        <v>132</v>
      </c>
      <c r="B1257" t="s">
        <v>168</v>
      </c>
      <c r="C1257" s="12" t="s">
        <v>109</v>
      </c>
      <c r="D1257" t="s">
        <v>4</v>
      </c>
      <c r="E1257" t="s">
        <v>6</v>
      </c>
      <c r="F1257" t="s">
        <v>72</v>
      </c>
      <c r="G1257" t="s">
        <v>166</v>
      </c>
      <c r="H1257" s="94">
        <v>0.43</v>
      </c>
      <c r="I1257" t="s">
        <v>62</v>
      </c>
      <c r="J1257" t="s">
        <v>63</v>
      </c>
    </row>
    <row r="1258" spans="1:10" x14ac:dyDescent="0.25">
      <c r="A1258" t="s">
        <v>132</v>
      </c>
      <c r="B1258" t="s">
        <v>168</v>
      </c>
      <c r="C1258" s="12" t="s">
        <v>109</v>
      </c>
      <c r="D1258" t="s">
        <v>4</v>
      </c>
      <c r="E1258" t="s">
        <v>6</v>
      </c>
      <c r="F1258" t="s">
        <v>72</v>
      </c>
      <c r="G1258" t="s">
        <v>166</v>
      </c>
      <c r="H1258" s="94">
        <v>0.43</v>
      </c>
      <c r="I1258" t="s">
        <v>62</v>
      </c>
      <c r="J1258" t="s">
        <v>11</v>
      </c>
    </row>
    <row r="1259" spans="1:10" x14ac:dyDescent="0.25">
      <c r="A1259" t="s">
        <v>132</v>
      </c>
      <c r="B1259" t="s">
        <v>168</v>
      </c>
      <c r="C1259" s="12" t="s">
        <v>109</v>
      </c>
      <c r="D1259" t="s">
        <v>4</v>
      </c>
      <c r="E1259" t="s">
        <v>6</v>
      </c>
      <c r="F1259" t="s">
        <v>72</v>
      </c>
      <c r="G1259" t="s">
        <v>166</v>
      </c>
      <c r="H1259" s="94">
        <v>0.43</v>
      </c>
      <c r="I1259" t="s">
        <v>60</v>
      </c>
      <c r="J1259" t="s">
        <v>13</v>
      </c>
    </row>
    <row r="1260" spans="1:10" x14ac:dyDescent="0.25">
      <c r="A1260" t="s">
        <v>132</v>
      </c>
      <c r="B1260" t="s">
        <v>168</v>
      </c>
      <c r="C1260" s="12" t="s">
        <v>109</v>
      </c>
      <c r="D1260" t="s">
        <v>4</v>
      </c>
      <c r="E1260" t="s">
        <v>6</v>
      </c>
      <c r="F1260" t="s">
        <v>72</v>
      </c>
      <c r="G1260" t="s">
        <v>166</v>
      </c>
      <c r="H1260" s="94">
        <v>0.43</v>
      </c>
      <c r="I1260" t="s">
        <v>60</v>
      </c>
      <c r="J1260" t="s">
        <v>63</v>
      </c>
    </row>
    <row r="1261" spans="1:10" x14ac:dyDescent="0.25">
      <c r="A1261" t="s">
        <v>132</v>
      </c>
      <c r="B1261" t="s">
        <v>168</v>
      </c>
      <c r="C1261" s="12" t="s">
        <v>109</v>
      </c>
      <c r="D1261" t="s">
        <v>4</v>
      </c>
      <c r="E1261" t="s">
        <v>6</v>
      </c>
      <c r="F1261" t="s">
        <v>72</v>
      </c>
      <c r="G1261" t="s">
        <v>166</v>
      </c>
      <c r="H1261" s="94">
        <v>0.43</v>
      </c>
      <c r="I1261" t="s">
        <v>60</v>
      </c>
      <c r="J1261" t="s">
        <v>11</v>
      </c>
    </row>
    <row r="1262" spans="1:10" x14ac:dyDescent="0.25">
      <c r="A1262" t="s">
        <v>132</v>
      </c>
      <c r="B1262" t="s">
        <v>168</v>
      </c>
      <c r="C1262" s="12" t="s">
        <v>109</v>
      </c>
      <c r="D1262" t="s">
        <v>4</v>
      </c>
      <c r="E1262" t="s">
        <v>6</v>
      </c>
      <c r="F1262" t="s">
        <v>16</v>
      </c>
      <c r="G1262" t="s">
        <v>166</v>
      </c>
      <c r="H1262" s="94">
        <v>0.22500000000000001</v>
      </c>
      <c r="I1262" t="s">
        <v>107</v>
      </c>
      <c r="J1262" t="s">
        <v>13</v>
      </c>
    </row>
    <row r="1263" spans="1:10" x14ac:dyDescent="0.25">
      <c r="A1263" t="s">
        <v>132</v>
      </c>
      <c r="B1263" t="s">
        <v>168</v>
      </c>
      <c r="C1263" s="12" t="s">
        <v>109</v>
      </c>
      <c r="D1263" t="s">
        <v>4</v>
      </c>
      <c r="E1263" t="s">
        <v>6</v>
      </c>
      <c r="F1263" t="s">
        <v>16</v>
      </c>
      <c r="G1263" t="s">
        <v>166</v>
      </c>
      <c r="H1263" s="94">
        <v>0.22500000000000001</v>
      </c>
      <c r="I1263" t="s">
        <v>107</v>
      </c>
      <c r="J1263" t="s">
        <v>63</v>
      </c>
    </row>
    <row r="1264" spans="1:10" x14ac:dyDescent="0.25">
      <c r="A1264" t="s">
        <v>132</v>
      </c>
      <c r="B1264" t="s">
        <v>168</v>
      </c>
      <c r="C1264" s="12" t="s">
        <v>109</v>
      </c>
      <c r="D1264" t="s">
        <v>4</v>
      </c>
      <c r="E1264" t="s">
        <v>6</v>
      </c>
      <c r="F1264" t="s">
        <v>16</v>
      </c>
      <c r="G1264" t="s">
        <v>166</v>
      </c>
      <c r="H1264" s="94">
        <v>0.22500000000000001</v>
      </c>
      <c r="I1264" t="s">
        <v>107</v>
      </c>
      <c r="J1264" t="s">
        <v>11</v>
      </c>
    </row>
    <row r="1265" spans="1:10" x14ac:dyDescent="0.25">
      <c r="A1265" t="s">
        <v>132</v>
      </c>
      <c r="B1265" t="s">
        <v>168</v>
      </c>
      <c r="C1265" s="12" t="s">
        <v>109</v>
      </c>
      <c r="D1265" t="s">
        <v>4</v>
      </c>
      <c r="E1265" t="s">
        <v>6</v>
      </c>
      <c r="F1265" t="s">
        <v>16</v>
      </c>
      <c r="G1265" t="s">
        <v>166</v>
      </c>
      <c r="H1265" s="94">
        <v>0.22500000000000001</v>
      </c>
      <c r="I1265" t="s">
        <v>62</v>
      </c>
      <c r="J1265" t="s">
        <v>13</v>
      </c>
    </row>
    <row r="1266" spans="1:10" x14ac:dyDescent="0.25">
      <c r="A1266" t="s">
        <v>132</v>
      </c>
      <c r="B1266" t="s">
        <v>168</v>
      </c>
      <c r="C1266" s="12" t="s">
        <v>109</v>
      </c>
      <c r="D1266" t="s">
        <v>4</v>
      </c>
      <c r="E1266" t="s">
        <v>6</v>
      </c>
      <c r="F1266" t="s">
        <v>16</v>
      </c>
      <c r="G1266" t="s">
        <v>166</v>
      </c>
      <c r="H1266" s="94">
        <v>0.22500000000000001</v>
      </c>
      <c r="I1266" t="s">
        <v>62</v>
      </c>
      <c r="J1266" t="s">
        <v>63</v>
      </c>
    </row>
    <row r="1267" spans="1:10" x14ac:dyDescent="0.25">
      <c r="A1267" t="s">
        <v>132</v>
      </c>
      <c r="B1267" t="s">
        <v>168</v>
      </c>
      <c r="C1267" s="12" t="s">
        <v>109</v>
      </c>
      <c r="D1267" t="s">
        <v>4</v>
      </c>
      <c r="E1267" t="s">
        <v>6</v>
      </c>
      <c r="F1267" t="s">
        <v>16</v>
      </c>
      <c r="G1267" t="s">
        <v>166</v>
      </c>
      <c r="H1267" s="94">
        <v>0.22500000000000001</v>
      </c>
      <c r="I1267" t="s">
        <v>62</v>
      </c>
      <c r="J1267" t="s">
        <v>11</v>
      </c>
    </row>
    <row r="1268" spans="1:10" x14ac:dyDescent="0.25">
      <c r="A1268" t="s">
        <v>132</v>
      </c>
      <c r="B1268" t="s">
        <v>168</v>
      </c>
      <c r="C1268" s="12" t="s">
        <v>109</v>
      </c>
      <c r="D1268" t="s">
        <v>4</v>
      </c>
      <c r="E1268" t="s">
        <v>6</v>
      </c>
      <c r="F1268" t="s">
        <v>16</v>
      </c>
      <c r="G1268" t="s">
        <v>166</v>
      </c>
      <c r="H1268" s="94">
        <v>0.22500000000000001</v>
      </c>
      <c r="I1268" t="s">
        <v>60</v>
      </c>
      <c r="J1268" t="s">
        <v>13</v>
      </c>
    </row>
    <row r="1269" spans="1:10" x14ac:dyDescent="0.25">
      <c r="A1269" t="s">
        <v>132</v>
      </c>
      <c r="B1269" t="s">
        <v>168</v>
      </c>
      <c r="C1269" s="12" t="s">
        <v>109</v>
      </c>
      <c r="D1269" t="s">
        <v>4</v>
      </c>
      <c r="E1269" t="s">
        <v>6</v>
      </c>
      <c r="F1269" t="s">
        <v>16</v>
      </c>
      <c r="G1269" t="s">
        <v>166</v>
      </c>
      <c r="H1269" s="94">
        <v>0.22500000000000001</v>
      </c>
      <c r="I1269" t="s">
        <v>60</v>
      </c>
      <c r="J1269" t="s">
        <v>63</v>
      </c>
    </row>
    <row r="1270" spans="1:10" x14ac:dyDescent="0.25">
      <c r="A1270" t="s">
        <v>132</v>
      </c>
      <c r="B1270" t="s">
        <v>168</v>
      </c>
      <c r="C1270" s="12" t="s">
        <v>109</v>
      </c>
      <c r="D1270" t="s">
        <v>4</v>
      </c>
      <c r="E1270" t="s">
        <v>6</v>
      </c>
      <c r="F1270" t="s">
        <v>16</v>
      </c>
      <c r="G1270" t="s">
        <v>166</v>
      </c>
      <c r="H1270" s="94">
        <v>0.22500000000000001</v>
      </c>
      <c r="I1270" t="s">
        <v>60</v>
      </c>
      <c r="J1270" t="s">
        <v>11</v>
      </c>
    </row>
    <row r="1271" spans="1:10" x14ac:dyDescent="0.25">
      <c r="A1271" t="s">
        <v>132</v>
      </c>
      <c r="B1271" t="s">
        <v>168</v>
      </c>
      <c r="C1271" s="12" t="s">
        <v>109</v>
      </c>
      <c r="D1271" t="s">
        <v>4</v>
      </c>
      <c r="E1271" t="s">
        <v>6</v>
      </c>
      <c r="F1271" t="s">
        <v>16</v>
      </c>
      <c r="G1271" t="s">
        <v>166</v>
      </c>
      <c r="H1271" s="94">
        <v>0.43</v>
      </c>
      <c r="I1271" t="s">
        <v>107</v>
      </c>
      <c r="J1271" t="s">
        <v>13</v>
      </c>
    </row>
    <row r="1272" spans="1:10" x14ac:dyDescent="0.25">
      <c r="A1272" t="s">
        <v>132</v>
      </c>
      <c r="B1272" t="s">
        <v>168</v>
      </c>
      <c r="C1272" s="12" t="s">
        <v>109</v>
      </c>
      <c r="D1272" t="s">
        <v>4</v>
      </c>
      <c r="E1272" t="s">
        <v>6</v>
      </c>
      <c r="F1272" t="s">
        <v>16</v>
      </c>
      <c r="G1272" t="s">
        <v>166</v>
      </c>
      <c r="H1272" s="94">
        <v>0.43</v>
      </c>
      <c r="I1272" t="s">
        <v>107</v>
      </c>
      <c r="J1272" t="s">
        <v>63</v>
      </c>
    </row>
    <row r="1273" spans="1:10" x14ac:dyDescent="0.25">
      <c r="A1273" t="s">
        <v>132</v>
      </c>
      <c r="B1273" t="s">
        <v>168</v>
      </c>
      <c r="C1273" s="12" t="s">
        <v>109</v>
      </c>
      <c r="D1273" t="s">
        <v>4</v>
      </c>
      <c r="E1273" t="s">
        <v>6</v>
      </c>
      <c r="F1273" t="s">
        <v>16</v>
      </c>
      <c r="G1273" t="s">
        <v>166</v>
      </c>
      <c r="H1273" s="94">
        <v>0.43</v>
      </c>
      <c r="I1273" t="s">
        <v>107</v>
      </c>
      <c r="J1273" t="s">
        <v>11</v>
      </c>
    </row>
    <row r="1274" spans="1:10" x14ac:dyDescent="0.25">
      <c r="A1274" t="s">
        <v>132</v>
      </c>
      <c r="B1274" t="s">
        <v>168</v>
      </c>
      <c r="C1274" s="12" t="s">
        <v>109</v>
      </c>
      <c r="D1274" t="s">
        <v>4</v>
      </c>
      <c r="E1274" t="s">
        <v>6</v>
      </c>
      <c r="F1274" t="s">
        <v>16</v>
      </c>
      <c r="G1274" t="s">
        <v>166</v>
      </c>
      <c r="H1274" s="94">
        <v>0.43</v>
      </c>
      <c r="I1274" t="s">
        <v>62</v>
      </c>
      <c r="J1274" t="s">
        <v>13</v>
      </c>
    </row>
    <row r="1275" spans="1:10" x14ac:dyDescent="0.25">
      <c r="A1275" t="s">
        <v>132</v>
      </c>
      <c r="B1275" t="s">
        <v>168</v>
      </c>
      <c r="C1275" s="12" t="s">
        <v>109</v>
      </c>
      <c r="D1275" t="s">
        <v>4</v>
      </c>
      <c r="E1275" t="s">
        <v>6</v>
      </c>
      <c r="F1275" t="s">
        <v>16</v>
      </c>
      <c r="G1275" t="s">
        <v>166</v>
      </c>
      <c r="H1275" s="94">
        <v>0.43</v>
      </c>
      <c r="I1275" t="s">
        <v>62</v>
      </c>
      <c r="J1275" t="s">
        <v>63</v>
      </c>
    </row>
    <row r="1276" spans="1:10" x14ac:dyDescent="0.25">
      <c r="A1276" t="s">
        <v>132</v>
      </c>
      <c r="B1276" t="s">
        <v>168</v>
      </c>
      <c r="C1276" s="12" t="s">
        <v>109</v>
      </c>
      <c r="D1276" t="s">
        <v>4</v>
      </c>
      <c r="E1276" t="s">
        <v>6</v>
      </c>
      <c r="F1276" t="s">
        <v>16</v>
      </c>
      <c r="G1276" t="s">
        <v>166</v>
      </c>
      <c r="H1276" s="94">
        <v>0.43</v>
      </c>
      <c r="I1276" t="s">
        <v>62</v>
      </c>
      <c r="J1276" t="s">
        <v>11</v>
      </c>
    </row>
    <row r="1277" spans="1:10" x14ac:dyDescent="0.25">
      <c r="A1277" t="s">
        <v>132</v>
      </c>
      <c r="B1277" t="s">
        <v>168</v>
      </c>
      <c r="C1277" s="12" t="s">
        <v>109</v>
      </c>
      <c r="D1277" t="s">
        <v>4</v>
      </c>
      <c r="E1277" t="s">
        <v>6</v>
      </c>
      <c r="F1277" t="s">
        <v>16</v>
      </c>
      <c r="G1277" t="s">
        <v>166</v>
      </c>
      <c r="H1277" s="94">
        <v>0.43</v>
      </c>
      <c r="I1277" t="s">
        <v>60</v>
      </c>
      <c r="J1277" t="s">
        <v>13</v>
      </c>
    </row>
    <row r="1278" spans="1:10" x14ac:dyDescent="0.25">
      <c r="A1278" t="s">
        <v>132</v>
      </c>
      <c r="B1278" t="s">
        <v>168</v>
      </c>
      <c r="C1278" s="12" t="s">
        <v>109</v>
      </c>
      <c r="D1278" t="s">
        <v>4</v>
      </c>
      <c r="E1278" t="s">
        <v>6</v>
      </c>
      <c r="F1278" t="s">
        <v>16</v>
      </c>
      <c r="G1278" t="s">
        <v>166</v>
      </c>
      <c r="H1278" s="94">
        <v>0.43</v>
      </c>
      <c r="I1278" t="s">
        <v>60</v>
      </c>
      <c r="J1278" t="s">
        <v>63</v>
      </c>
    </row>
    <row r="1279" spans="1:10" x14ac:dyDescent="0.25">
      <c r="A1279" t="s">
        <v>132</v>
      </c>
      <c r="B1279" t="s">
        <v>168</v>
      </c>
      <c r="C1279" s="12" t="s">
        <v>109</v>
      </c>
      <c r="D1279" t="s">
        <v>4</v>
      </c>
      <c r="E1279" t="s">
        <v>6</v>
      </c>
      <c r="F1279" t="s">
        <v>16</v>
      </c>
      <c r="G1279" t="s">
        <v>166</v>
      </c>
      <c r="H1279" s="94">
        <v>0.43</v>
      </c>
      <c r="I1279" t="s">
        <v>60</v>
      </c>
      <c r="J1279" t="s">
        <v>11</v>
      </c>
    </row>
    <row r="1280" spans="1:10" x14ac:dyDescent="0.25">
      <c r="A1280" t="s">
        <v>132</v>
      </c>
      <c r="B1280" t="s">
        <v>168</v>
      </c>
      <c r="C1280" s="12" t="s">
        <v>109</v>
      </c>
      <c r="D1280" t="s">
        <v>4</v>
      </c>
      <c r="E1280" t="s">
        <v>6</v>
      </c>
      <c r="F1280" t="s">
        <v>8</v>
      </c>
      <c r="G1280" t="s">
        <v>166</v>
      </c>
      <c r="H1280" s="94">
        <v>0.22500000000000001</v>
      </c>
      <c r="I1280" t="s">
        <v>107</v>
      </c>
      <c r="J1280" t="s">
        <v>13</v>
      </c>
    </row>
    <row r="1281" spans="1:10" x14ac:dyDescent="0.25">
      <c r="A1281" t="s">
        <v>132</v>
      </c>
      <c r="B1281" t="s">
        <v>168</v>
      </c>
      <c r="C1281" s="12" t="s">
        <v>109</v>
      </c>
      <c r="D1281" t="s">
        <v>4</v>
      </c>
      <c r="E1281" t="s">
        <v>6</v>
      </c>
      <c r="F1281" t="s">
        <v>8</v>
      </c>
      <c r="G1281" t="s">
        <v>166</v>
      </c>
      <c r="H1281" s="94">
        <v>0.22500000000000001</v>
      </c>
      <c r="I1281" t="s">
        <v>107</v>
      </c>
      <c r="J1281" t="s">
        <v>63</v>
      </c>
    </row>
    <row r="1282" spans="1:10" x14ac:dyDescent="0.25">
      <c r="A1282" t="s">
        <v>132</v>
      </c>
      <c r="B1282" t="s">
        <v>168</v>
      </c>
      <c r="C1282" s="12" t="s">
        <v>109</v>
      </c>
      <c r="D1282" t="s">
        <v>4</v>
      </c>
      <c r="E1282" t="s">
        <v>6</v>
      </c>
      <c r="F1282" t="s">
        <v>8</v>
      </c>
      <c r="G1282" t="s">
        <v>166</v>
      </c>
      <c r="H1282" s="94">
        <v>0.22500000000000001</v>
      </c>
      <c r="I1282" t="s">
        <v>107</v>
      </c>
      <c r="J1282" t="s">
        <v>11</v>
      </c>
    </row>
    <row r="1283" spans="1:10" x14ac:dyDescent="0.25">
      <c r="A1283" t="s">
        <v>132</v>
      </c>
      <c r="B1283" t="s">
        <v>168</v>
      </c>
      <c r="C1283" s="12" t="s">
        <v>109</v>
      </c>
      <c r="D1283" t="s">
        <v>4</v>
      </c>
      <c r="E1283" t="s">
        <v>6</v>
      </c>
      <c r="F1283" t="s">
        <v>8</v>
      </c>
      <c r="G1283" t="s">
        <v>166</v>
      </c>
      <c r="H1283" s="94">
        <v>0.22500000000000001</v>
      </c>
      <c r="I1283" t="s">
        <v>62</v>
      </c>
      <c r="J1283" t="s">
        <v>13</v>
      </c>
    </row>
    <row r="1284" spans="1:10" x14ac:dyDescent="0.25">
      <c r="A1284" t="s">
        <v>132</v>
      </c>
      <c r="B1284" t="s">
        <v>168</v>
      </c>
      <c r="C1284" s="12" t="s">
        <v>109</v>
      </c>
      <c r="D1284" t="s">
        <v>4</v>
      </c>
      <c r="E1284" t="s">
        <v>6</v>
      </c>
      <c r="F1284" t="s">
        <v>8</v>
      </c>
      <c r="G1284" t="s">
        <v>166</v>
      </c>
      <c r="H1284" s="94">
        <v>0.22500000000000001</v>
      </c>
      <c r="I1284" t="s">
        <v>62</v>
      </c>
      <c r="J1284" t="s">
        <v>63</v>
      </c>
    </row>
    <row r="1285" spans="1:10" x14ac:dyDescent="0.25">
      <c r="A1285" t="s">
        <v>132</v>
      </c>
      <c r="B1285" t="s">
        <v>168</v>
      </c>
      <c r="C1285" s="12" t="s">
        <v>109</v>
      </c>
      <c r="D1285" t="s">
        <v>4</v>
      </c>
      <c r="E1285" t="s">
        <v>6</v>
      </c>
      <c r="F1285" t="s">
        <v>8</v>
      </c>
      <c r="G1285" t="s">
        <v>166</v>
      </c>
      <c r="H1285" s="94">
        <v>0.22500000000000001</v>
      </c>
      <c r="I1285" t="s">
        <v>62</v>
      </c>
      <c r="J1285" t="s">
        <v>11</v>
      </c>
    </row>
    <row r="1286" spans="1:10" x14ac:dyDescent="0.25">
      <c r="A1286" t="s">
        <v>132</v>
      </c>
      <c r="B1286" t="s">
        <v>168</v>
      </c>
      <c r="C1286" s="12" t="s">
        <v>109</v>
      </c>
      <c r="D1286" t="s">
        <v>4</v>
      </c>
      <c r="E1286" t="s">
        <v>6</v>
      </c>
      <c r="F1286" t="s">
        <v>8</v>
      </c>
      <c r="G1286" t="s">
        <v>166</v>
      </c>
      <c r="H1286" s="94">
        <v>0.22500000000000001</v>
      </c>
      <c r="I1286" t="s">
        <v>60</v>
      </c>
      <c r="J1286" t="s">
        <v>13</v>
      </c>
    </row>
    <row r="1287" spans="1:10" x14ac:dyDescent="0.25">
      <c r="A1287" t="s">
        <v>132</v>
      </c>
      <c r="B1287" t="s">
        <v>168</v>
      </c>
      <c r="C1287" s="12" t="s">
        <v>109</v>
      </c>
      <c r="D1287" t="s">
        <v>4</v>
      </c>
      <c r="E1287" t="s">
        <v>6</v>
      </c>
      <c r="F1287" t="s">
        <v>8</v>
      </c>
      <c r="G1287" t="s">
        <v>166</v>
      </c>
      <c r="H1287" s="94">
        <v>0.22500000000000001</v>
      </c>
      <c r="I1287" t="s">
        <v>60</v>
      </c>
      <c r="J1287" t="s">
        <v>63</v>
      </c>
    </row>
    <row r="1288" spans="1:10" x14ac:dyDescent="0.25">
      <c r="A1288" t="s">
        <v>132</v>
      </c>
      <c r="B1288" t="s">
        <v>168</v>
      </c>
      <c r="C1288" s="12" t="s">
        <v>109</v>
      </c>
      <c r="D1288" t="s">
        <v>4</v>
      </c>
      <c r="E1288" t="s">
        <v>6</v>
      </c>
      <c r="F1288" t="s">
        <v>8</v>
      </c>
      <c r="G1288" t="s">
        <v>166</v>
      </c>
      <c r="H1288" s="94">
        <v>0.22500000000000001</v>
      </c>
      <c r="I1288" t="s">
        <v>60</v>
      </c>
      <c r="J1288" t="s">
        <v>11</v>
      </c>
    </row>
    <row r="1289" spans="1:10" x14ac:dyDescent="0.25">
      <c r="A1289" t="s">
        <v>132</v>
      </c>
      <c r="B1289" t="s">
        <v>168</v>
      </c>
      <c r="C1289" s="12" t="s">
        <v>109</v>
      </c>
      <c r="D1289" t="s">
        <v>4</v>
      </c>
      <c r="E1289" t="s">
        <v>6</v>
      </c>
      <c r="F1289" t="s">
        <v>8</v>
      </c>
      <c r="G1289" t="s">
        <v>166</v>
      </c>
      <c r="H1289" s="94">
        <v>0.43</v>
      </c>
      <c r="I1289" t="s">
        <v>107</v>
      </c>
      <c r="J1289" t="s">
        <v>13</v>
      </c>
    </row>
    <row r="1290" spans="1:10" x14ac:dyDescent="0.25">
      <c r="A1290" t="s">
        <v>132</v>
      </c>
      <c r="B1290" t="s">
        <v>168</v>
      </c>
      <c r="C1290" s="12" t="s">
        <v>109</v>
      </c>
      <c r="D1290" t="s">
        <v>4</v>
      </c>
      <c r="E1290" t="s">
        <v>6</v>
      </c>
      <c r="F1290" t="s">
        <v>8</v>
      </c>
      <c r="G1290" t="s">
        <v>166</v>
      </c>
      <c r="H1290" s="94">
        <v>0.43</v>
      </c>
      <c r="I1290" t="s">
        <v>107</v>
      </c>
      <c r="J1290" t="s">
        <v>63</v>
      </c>
    </row>
    <row r="1291" spans="1:10" x14ac:dyDescent="0.25">
      <c r="A1291" t="s">
        <v>132</v>
      </c>
      <c r="B1291" t="s">
        <v>168</v>
      </c>
      <c r="C1291" s="12" t="s">
        <v>109</v>
      </c>
      <c r="D1291" t="s">
        <v>4</v>
      </c>
      <c r="E1291" t="s">
        <v>6</v>
      </c>
      <c r="F1291" t="s">
        <v>8</v>
      </c>
      <c r="G1291" t="s">
        <v>166</v>
      </c>
      <c r="H1291" s="94">
        <v>0.43</v>
      </c>
      <c r="I1291" t="s">
        <v>107</v>
      </c>
      <c r="J1291" t="s">
        <v>11</v>
      </c>
    </row>
    <row r="1292" spans="1:10" x14ac:dyDescent="0.25">
      <c r="A1292" t="s">
        <v>132</v>
      </c>
      <c r="B1292" t="s">
        <v>168</v>
      </c>
      <c r="C1292" s="12" t="s">
        <v>109</v>
      </c>
      <c r="D1292" t="s">
        <v>4</v>
      </c>
      <c r="E1292" t="s">
        <v>6</v>
      </c>
      <c r="F1292" t="s">
        <v>8</v>
      </c>
      <c r="G1292" t="s">
        <v>166</v>
      </c>
      <c r="H1292" s="94">
        <v>0.43</v>
      </c>
      <c r="I1292" t="s">
        <v>62</v>
      </c>
      <c r="J1292" t="s">
        <v>13</v>
      </c>
    </row>
    <row r="1293" spans="1:10" x14ac:dyDescent="0.25">
      <c r="A1293" t="s">
        <v>132</v>
      </c>
      <c r="B1293" t="s">
        <v>168</v>
      </c>
      <c r="C1293" s="12" t="s">
        <v>109</v>
      </c>
      <c r="D1293" t="s">
        <v>4</v>
      </c>
      <c r="E1293" t="s">
        <v>6</v>
      </c>
      <c r="F1293" t="s">
        <v>8</v>
      </c>
      <c r="G1293" t="s">
        <v>166</v>
      </c>
      <c r="H1293" s="94">
        <v>0.43</v>
      </c>
      <c r="I1293" t="s">
        <v>62</v>
      </c>
      <c r="J1293" t="s">
        <v>63</v>
      </c>
    </row>
    <row r="1294" spans="1:10" x14ac:dyDescent="0.25">
      <c r="A1294" t="s">
        <v>132</v>
      </c>
      <c r="B1294" t="s">
        <v>168</v>
      </c>
      <c r="C1294" s="12" t="s">
        <v>109</v>
      </c>
      <c r="D1294" t="s">
        <v>4</v>
      </c>
      <c r="E1294" t="s">
        <v>6</v>
      </c>
      <c r="F1294" t="s">
        <v>8</v>
      </c>
      <c r="G1294" t="s">
        <v>166</v>
      </c>
      <c r="H1294" s="94">
        <v>0.43</v>
      </c>
      <c r="I1294" t="s">
        <v>62</v>
      </c>
      <c r="J1294" t="s">
        <v>11</v>
      </c>
    </row>
    <row r="1295" spans="1:10" x14ac:dyDescent="0.25">
      <c r="A1295" t="s">
        <v>132</v>
      </c>
      <c r="B1295" t="s">
        <v>168</v>
      </c>
      <c r="C1295" s="12" t="s">
        <v>109</v>
      </c>
      <c r="D1295" t="s">
        <v>4</v>
      </c>
      <c r="E1295" t="s">
        <v>6</v>
      </c>
      <c r="F1295" t="s">
        <v>8</v>
      </c>
      <c r="G1295" t="s">
        <v>166</v>
      </c>
      <c r="H1295" s="94">
        <v>0.43</v>
      </c>
      <c r="I1295" t="s">
        <v>60</v>
      </c>
      <c r="J1295" t="s">
        <v>13</v>
      </c>
    </row>
    <row r="1296" spans="1:10" x14ac:dyDescent="0.25">
      <c r="A1296" t="s">
        <v>132</v>
      </c>
      <c r="B1296" t="s">
        <v>168</v>
      </c>
      <c r="C1296" s="12" t="s">
        <v>109</v>
      </c>
      <c r="D1296" t="s">
        <v>4</v>
      </c>
      <c r="E1296" t="s">
        <v>6</v>
      </c>
      <c r="F1296" t="s">
        <v>8</v>
      </c>
      <c r="G1296" t="s">
        <v>166</v>
      </c>
      <c r="H1296" s="94">
        <v>0.43</v>
      </c>
      <c r="I1296" t="s">
        <v>60</v>
      </c>
      <c r="J1296" t="s">
        <v>63</v>
      </c>
    </row>
    <row r="1297" spans="1:10" x14ac:dyDescent="0.25">
      <c r="A1297" t="s">
        <v>132</v>
      </c>
      <c r="B1297" t="s">
        <v>168</v>
      </c>
      <c r="C1297" s="12" t="s">
        <v>109</v>
      </c>
      <c r="D1297" t="s">
        <v>4</v>
      </c>
      <c r="E1297" t="s">
        <v>6</v>
      </c>
      <c r="F1297" t="s">
        <v>8</v>
      </c>
      <c r="G1297" t="s">
        <v>166</v>
      </c>
      <c r="H1297" s="94">
        <v>0.43</v>
      </c>
      <c r="I1297" t="s">
        <v>60</v>
      </c>
      <c r="J1297" t="s">
        <v>11</v>
      </c>
    </row>
    <row r="1298" spans="1:10" x14ac:dyDescent="0.25">
      <c r="A1298" t="s">
        <v>132</v>
      </c>
      <c r="B1298" t="s">
        <v>14</v>
      </c>
      <c r="C1298" s="12" t="s">
        <v>109</v>
      </c>
      <c r="D1298" t="s">
        <v>4</v>
      </c>
      <c r="E1298" t="s">
        <v>12</v>
      </c>
      <c r="F1298" t="s">
        <v>72</v>
      </c>
      <c r="G1298" t="s">
        <v>180</v>
      </c>
      <c r="H1298" s="94">
        <v>3</v>
      </c>
      <c r="I1298" t="s">
        <v>107</v>
      </c>
      <c r="J1298" t="s">
        <v>13</v>
      </c>
    </row>
    <row r="1299" spans="1:10" x14ac:dyDescent="0.25">
      <c r="A1299" t="s">
        <v>132</v>
      </c>
      <c r="B1299" t="s">
        <v>14</v>
      </c>
      <c r="C1299" s="12" t="s">
        <v>109</v>
      </c>
      <c r="D1299" t="s">
        <v>4</v>
      </c>
      <c r="E1299" t="s">
        <v>12</v>
      </c>
      <c r="F1299" t="s">
        <v>72</v>
      </c>
      <c r="G1299" t="s">
        <v>180</v>
      </c>
      <c r="H1299" s="94">
        <v>3</v>
      </c>
      <c r="I1299" t="s">
        <v>107</v>
      </c>
      <c r="J1299" t="s">
        <v>63</v>
      </c>
    </row>
    <row r="1300" spans="1:10" x14ac:dyDescent="0.25">
      <c r="A1300" t="s">
        <v>132</v>
      </c>
      <c r="B1300" t="s">
        <v>14</v>
      </c>
      <c r="C1300" s="12" t="s">
        <v>109</v>
      </c>
      <c r="D1300" t="s">
        <v>4</v>
      </c>
      <c r="E1300" t="s">
        <v>12</v>
      </c>
      <c r="F1300" t="s">
        <v>72</v>
      </c>
      <c r="G1300" t="s">
        <v>180</v>
      </c>
      <c r="H1300" s="94">
        <v>3</v>
      </c>
      <c r="I1300" t="s">
        <v>107</v>
      </c>
      <c r="J1300" t="s">
        <v>11</v>
      </c>
    </row>
    <row r="1301" spans="1:10" x14ac:dyDescent="0.25">
      <c r="A1301" t="s">
        <v>132</v>
      </c>
      <c r="B1301" t="s">
        <v>14</v>
      </c>
      <c r="C1301" s="12" t="s">
        <v>109</v>
      </c>
      <c r="D1301" t="s">
        <v>4</v>
      </c>
      <c r="E1301" t="s">
        <v>12</v>
      </c>
      <c r="F1301" t="s">
        <v>72</v>
      </c>
      <c r="G1301" t="s">
        <v>180</v>
      </c>
      <c r="H1301" s="94">
        <v>3</v>
      </c>
      <c r="I1301" t="s">
        <v>62</v>
      </c>
      <c r="J1301" t="s">
        <v>13</v>
      </c>
    </row>
    <row r="1302" spans="1:10" x14ac:dyDescent="0.25">
      <c r="A1302" t="s">
        <v>132</v>
      </c>
      <c r="B1302" t="s">
        <v>14</v>
      </c>
      <c r="C1302" s="12" t="s">
        <v>109</v>
      </c>
      <c r="D1302" t="s">
        <v>4</v>
      </c>
      <c r="E1302" t="s">
        <v>12</v>
      </c>
      <c r="F1302" t="s">
        <v>72</v>
      </c>
      <c r="G1302" t="s">
        <v>180</v>
      </c>
      <c r="H1302" s="94">
        <v>3</v>
      </c>
      <c r="I1302" t="s">
        <v>62</v>
      </c>
      <c r="J1302" t="s">
        <v>63</v>
      </c>
    </row>
    <row r="1303" spans="1:10" x14ac:dyDescent="0.25">
      <c r="A1303" t="s">
        <v>132</v>
      </c>
      <c r="B1303" t="s">
        <v>14</v>
      </c>
      <c r="C1303" s="12" t="s">
        <v>109</v>
      </c>
      <c r="D1303" t="s">
        <v>4</v>
      </c>
      <c r="E1303" t="s">
        <v>12</v>
      </c>
      <c r="F1303" t="s">
        <v>72</v>
      </c>
      <c r="G1303" t="s">
        <v>180</v>
      </c>
      <c r="H1303" s="94">
        <v>3</v>
      </c>
      <c r="I1303" t="s">
        <v>62</v>
      </c>
      <c r="J1303" t="s">
        <v>11</v>
      </c>
    </row>
    <row r="1304" spans="1:10" x14ac:dyDescent="0.25">
      <c r="A1304" t="s">
        <v>132</v>
      </c>
      <c r="B1304" t="s">
        <v>14</v>
      </c>
      <c r="C1304" s="12" t="s">
        <v>109</v>
      </c>
      <c r="D1304" t="s">
        <v>4</v>
      </c>
      <c r="E1304" t="s">
        <v>12</v>
      </c>
      <c r="F1304" t="s">
        <v>72</v>
      </c>
      <c r="G1304" t="s">
        <v>180</v>
      </c>
      <c r="H1304" s="94">
        <v>3</v>
      </c>
      <c r="I1304" t="s">
        <v>60</v>
      </c>
      <c r="J1304" t="s">
        <v>13</v>
      </c>
    </row>
    <row r="1305" spans="1:10" x14ac:dyDescent="0.25">
      <c r="A1305" t="s">
        <v>132</v>
      </c>
      <c r="B1305" t="s">
        <v>14</v>
      </c>
      <c r="C1305" s="12" t="s">
        <v>109</v>
      </c>
      <c r="D1305" t="s">
        <v>4</v>
      </c>
      <c r="E1305" t="s">
        <v>12</v>
      </c>
      <c r="F1305" t="s">
        <v>72</v>
      </c>
      <c r="G1305" t="s">
        <v>180</v>
      </c>
      <c r="H1305" s="94">
        <v>3</v>
      </c>
      <c r="I1305" t="s">
        <v>60</v>
      </c>
      <c r="J1305" t="s">
        <v>63</v>
      </c>
    </row>
    <row r="1306" spans="1:10" x14ac:dyDescent="0.25">
      <c r="A1306" t="s">
        <v>132</v>
      </c>
      <c r="B1306" t="s">
        <v>14</v>
      </c>
      <c r="C1306" s="12" t="s">
        <v>109</v>
      </c>
      <c r="D1306" t="s">
        <v>4</v>
      </c>
      <c r="E1306" t="s">
        <v>12</v>
      </c>
      <c r="F1306" t="s">
        <v>72</v>
      </c>
      <c r="G1306" t="s">
        <v>180</v>
      </c>
      <c r="H1306" s="94">
        <v>3</v>
      </c>
      <c r="I1306" t="s">
        <v>60</v>
      </c>
      <c r="J1306" t="s">
        <v>11</v>
      </c>
    </row>
    <row r="1307" spans="1:10" x14ac:dyDescent="0.25">
      <c r="A1307" t="s">
        <v>132</v>
      </c>
      <c r="B1307" t="s">
        <v>14</v>
      </c>
      <c r="C1307" s="12" t="s">
        <v>109</v>
      </c>
      <c r="D1307" t="s">
        <v>4</v>
      </c>
      <c r="E1307" t="s">
        <v>12</v>
      </c>
      <c r="F1307" t="s">
        <v>72</v>
      </c>
      <c r="G1307" t="s">
        <v>180</v>
      </c>
      <c r="H1307" s="94">
        <v>5</v>
      </c>
      <c r="I1307" t="s">
        <v>107</v>
      </c>
      <c r="J1307" t="s">
        <v>13</v>
      </c>
    </row>
    <row r="1308" spans="1:10" x14ac:dyDescent="0.25">
      <c r="A1308" t="s">
        <v>132</v>
      </c>
      <c r="B1308" t="s">
        <v>14</v>
      </c>
      <c r="C1308" s="12" t="s">
        <v>109</v>
      </c>
      <c r="D1308" t="s">
        <v>4</v>
      </c>
      <c r="E1308" t="s">
        <v>12</v>
      </c>
      <c r="F1308" t="s">
        <v>72</v>
      </c>
      <c r="G1308" t="s">
        <v>180</v>
      </c>
      <c r="H1308" s="94">
        <v>5</v>
      </c>
      <c r="I1308" t="s">
        <v>107</v>
      </c>
      <c r="J1308" t="s">
        <v>63</v>
      </c>
    </row>
    <row r="1309" spans="1:10" x14ac:dyDescent="0.25">
      <c r="A1309" t="s">
        <v>132</v>
      </c>
      <c r="B1309" t="s">
        <v>14</v>
      </c>
      <c r="C1309" s="12" t="s">
        <v>109</v>
      </c>
      <c r="D1309" t="s">
        <v>4</v>
      </c>
      <c r="E1309" t="s">
        <v>12</v>
      </c>
      <c r="F1309" t="s">
        <v>72</v>
      </c>
      <c r="G1309" t="s">
        <v>180</v>
      </c>
      <c r="H1309" s="94">
        <v>5</v>
      </c>
      <c r="I1309" t="s">
        <v>107</v>
      </c>
      <c r="J1309" t="s">
        <v>11</v>
      </c>
    </row>
    <row r="1310" spans="1:10" x14ac:dyDescent="0.25">
      <c r="A1310" t="s">
        <v>132</v>
      </c>
      <c r="B1310" t="s">
        <v>14</v>
      </c>
      <c r="C1310" s="12" t="s">
        <v>109</v>
      </c>
      <c r="D1310" t="s">
        <v>4</v>
      </c>
      <c r="E1310" t="s">
        <v>12</v>
      </c>
      <c r="F1310" t="s">
        <v>72</v>
      </c>
      <c r="G1310" t="s">
        <v>180</v>
      </c>
      <c r="H1310" s="94">
        <v>5</v>
      </c>
      <c r="I1310" t="s">
        <v>62</v>
      </c>
      <c r="J1310" t="s">
        <v>13</v>
      </c>
    </row>
    <row r="1311" spans="1:10" x14ac:dyDescent="0.25">
      <c r="A1311" t="s">
        <v>132</v>
      </c>
      <c r="B1311" t="s">
        <v>14</v>
      </c>
      <c r="C1311" s="12" t="s">
        <v>109</v>
      </c>
      <c r="D1311" t="s">
        <v>4</v>
      </c>
      <c r="E1311" t="s">
        <v>12</v>
      </c>
      <c r="F1311" t="s">
        <v>72</v>
      </c>
      <c r="G1311" t="s">
        <v>180</v>
      </c>
      <c r="H1311" s="94">
        <v>5</v>
      </c>
      <c r="I1311" t="s">
        <v>62</v>
      </c>
      <c r="J1311" t="s">
        <v>63</v>
      </c>
    </row>
    <row r="1312" spans="1:10" x14ac:dyDescent="0.25">
      <c r="A1312" t="s">
        <v>132</v>
      </c>
      <c r="B1312" t="s">
        <v>14</v>
      </c>
      <c r="C1312" s="12" t="s">
        <v>109</v>
      </c>
      <c r="D1312" t="s">
        <v>4</v>
      </c>
      <c r="E1312" t="s">
        <v>12</v>
      </c>
      <c r="F1312" t="s">
        <v>72</v>
      </c>
      <c r="G1312" t="s">
        <v>180</v>
      </c>
      <c r="H1312" s="94">
        <v>5</v>
      </c>
      <c r="I1312" t="s">
        <v>62</v>
      </c>
      <c r="J1312" t="s">
        <v>11</v>
      </c>
    </row>
    <row r="1313" spans="1:10" x14ac:dyDescent="0.25">
      <c r="A1313" t="s">
        <v>132</v>
      </c>
      <c r="B1313" t="s">
        <v>14</v>
      </c>
      <c r="C1313" s="12" t="s">
        <v>109</v>
      </c>
      <c r="D1313" t="s">
        <v>4</v>
      </c>
      <c r="E1313" t="s">
        <v>12</v>
      </c>
      <c r="F1313" t="s">
        <v>72</v>
      </c>
      <c r="G1313" t="s">
        <v>180</v>
      </c>
      <c r="H1313" s="94">
        <v>5</v>
      </c>
      <c r="I1313" t="s">
        <v>60</v>
      </c>
      <c r="J1313" t="s">
        <v>13</v>
      </c>
    </row>
    <row r="1314" spans="1:10" x14ac:dyDescent="0.25">
      <c r="A1314" t="s">
        <v>132</v>
      </c>
      <c r="B1314" t="s">
        <v>14</v>
      </c>
      <c r="C1314" s="12" t="s">
        <v>109</v>
      </c>
      <c r="D1314" t="s">
        <v>4</v>
      </c>
      <c r="E1314" t="s">
        <v>12</v>
      </c>
      <c r="F1314" t="s">
        <v>72</v>
      </c>
      <c r="G1314" t="s">
        <v>180</v>
      </c>
      <c r="H1314" s="94">
        <v>5</v>
      </c>
      <c r="I1314" t="s">
        <v>60</v>
      </c>
      <c r="J1314" t="s">
        <v>63</v>
      </c>
    </row>
    <row r="1315" spans="1:10" x14ac:dyDescent="0.25">
      <c r="A1315" t="s">
        <v>132</v>
      </c>
      <c r="B1315" t="s">
        <v>14</v>
      </c>
      <c r="C1315" s="12" t="s">
        <v>109</v>
      </c>
      <c r="D1315" t="s">
        <v>4</v>
      </c>
      <c r="E1315" t="s">
        <v>12</v>
      </c>
      <c r="F1315" t="s">
        <v>72</v>
      </c>
      <c r="G1315" t="s">
        <v>180</v>
      </c>
      <c r="H1315" s="94">
        <v>5</v>
      </c>
      <c r="I1315" t="s">
        <v>60</v>
      </c>
      <c r="J1315" t="s">
        <v>11</v>
      </c>
    </row>
    <row r="1316" spans="1:10" x14ac:dyDescent="0.25">
      <c r="A1316" t="s">
        <v>132</v>
      </c>
      <c r="B1316" t="s">
        <v>14</v>
      </c>
      <c r="C1316" s="12" t="s">
        <v>109</v>
      </c>
      <c r="D1316" t="s">
        <v>4</v>
      </c>
      <c r="E1316" t="s">
        <v>12</v>
      </c>
      <c r="F1316" t="s">
        <v>16</v>
      </c>
      <c r="G1316" t="s">
        <v>180</v>
      </c>
      <c r="H1316" s="94">
        <v>3</v>
      </c>
      <c r="I1316" t="s">
        <v>107</v>
      </c>
      <c r="J1316" t="s">
        <v>13</v>
      </c>
    </row>
    <row r="1317" spans="1:10" x14ac:dyDescent="0.25">
      <c r="A1317" t="s">
        <v>132</v>
      </c>
      <c r="B1317" t="s">
        <v>14</v>
      </c>
      <c r="C1317" s="12" t="s">
        <v>109</v>
      </c>
      <c r="D1317" t="s">
        <v>4</v>
      </c>
      <c r="E1317" t="s">
        <v>12</v>
      </c>
      <c r="F1317" t="s">
        <v>16</v>
      </c>
      <c r="G1317" t="s">
        <v>180</v>
      </c>
      <c r="H1317" s="94">
        <v>3</v>
      </c>
      <c r="I1317" t="s">
        <v>107</v>
      </c>
      <c r="J1317" t="s">
        <v>63</v>
      </c>
    </row>
    <row r="1318" spans="1:10" x14ac:dyDescent="0.25">
      <c r="A1318" t="s">
        <v>132</v>
      </c>
      <c r="B1318" t="s">
        <v>14</v>
      </c>
      <c r="C1318" s="12" t="s">
        <v>109</v>
      </c>
      <c r="D1318" t="s">
        <v>4</v>
      </c>
      <c r="E1318" t="s">
        <v>12</v>
      </c>
      <c r="F1318" t="s">
        <v>16</v>
      </c>
      <c r="G1318" t="s">
        <v>180</v>
      </c>
      <c r="H1318" s="94">
        <v>3</v>
      </c>
      <c r="I1318" t="s">
        <v>107</v>
      </c>
      <c r="J1318" t="s">
        <v>11</v>
      </c>
    </row>
    <row r="1319" spans="1:10" x14ac:dyDescent="0.25">
      <c r="A1319" t="s">
        <v>132</v>
      </c>
      <c r="B1319" t="s">
        <v>14</v>
      </c>
      <c r="C1319" s="12" t="s">
        <v>109</v>
      </c>
      <c r="D1319" t="s">
        <v>4</v>
      </c>
      <c r="E1319" t="s">
        <v>12</v>
      </c>
      <c r="F1319" t="s">
        <v>16</v>
      </c>
      <c r="G1319" t="s">
        <v>180</v>
      </c>
      <c r="H1319" s="94">
        <v>3</v>
      </c>
      <c r="I1319" t="s">
        <v>62</v>
      </c>
      <c r="J1319" t="s">
        <v>13</v>
      </c>
    </row>
    <row r="1320" spans="1:10" x14ac:dyDescent="0.25">
      <c r="A1320" t="s">
        <v>132</v>
      </c>
      <c r="B1320" t="s">
        <v>14</v>
      </c>
      <c r="C1320" s="12" t="s">
        <v>109</v>
      </c>
      <c r="D1320" t="s">
        <v>4</v>
      </c>
      <c r="E1320" t="s">
        <v>12</v>
      </c>
      <c r="F1320" t="s">
        <v>16</v>
      </c>
      <c r="G1320" t="s">
        <v>180</v>
      </c>
      <c r="H1320" s="94">
        <v>3</v>
      </c>
      <c r="I1320" t="s">
        <v>62</v>
      </c>
      <c r="J1320" t="s">
        <v>63</v>
      </c>
    </row>
    <row r="1321" spans="1:10" x14ac:dyDescent="0.25">
      <c r="A1321" t="s">
        <v>132</v>
      </c>
      <c r="B1321" t="s">
        <v>14</v>
      </c>
      <c r="C1321" s="12" t="s">
        <v>109</v>
      </c>
      <c r="D1321" t="s">
        <v>4</v>
      </c>
      <c r="E1321" t="s">
        <v>12</v>
      </c>
      <c r="F1321" t="s">
        <v>16</v>
      </c>
      <c r="G1321" t="s">
        <v>180</v>
      </c>
      <c r="H1321" s="94">
        <v>3</v>
      </c>
      <c r="I1321" t="s">
        <v>62</v>
      </c>
      <c r="J1321" t="s">
        <v>11</v>
      </c>
    </row>
    <row r="1322" spans="1:10" x14ac:dyDescent="0.25">
      <c r="A1322" t="s">
        <v>132</v>
      </c>
      <c r="B1322" t="s">
        <v>14</v>
      </c>
      <c r="C1322" s="12" t="s">
        <v>109</v>
      </c>
      <c r="D1322" t="s">
        <v>4</v>
      </c>
      <c r="E1322" t="s">
        <v>12</v>
      </c>
      <c r="F1322" t="s">
        <v>16</v>
      </c>
      <c r="G1322" t="s">
        <v>180</v>
      </c>
      <c r="H1322" s="94">
        <v>3</v>
      </c>
      <c r="I1322" t="s">
        <v>60</v>
      </c>
      <c r="J1322" t="s">
        <v>13</v>
      </c>
    </row>
    <row r="1323" spans="1:10" x14ac:dyDescent="0.25">
      <c r="A1323" t="s">
        <v>132</v>
      </c>
      <c r="B1323" t="s">
        <v>14</v>
      </c>
      <c r="C1323" s="12" t="s">
        <v>109</v>
      </c>
      <c r="D1323" t="s">
        <v>4</v>
      </c>
      <c r="E1323" t="s">
        <v>12</v>
      </c>
      <c r="F1323" t="s">
        <v>16</v>
      </c>
      <c r="G1323" t="s">
        <v>180</v>
      </c>
      <c r="H1323" s="94">
        <v>3</v>
      </c>
      <c r="I1323" t="s">
        <v>60</v>
      </c>
      <c r="J1323" t="s">
        <v>63</v>
      </c>
    </row>
    <row r="1324" spans="1:10" x14ac:dyDescent="0.25">
      <c r="A1324" t="s">
        <v>132</v>
      </c>
      <c r="B1324" t="s">
        <v>14</v>
      </c>
      <c r="C1324" s="12" t="s">
        <v>109</v>
      </c>
      <c r="D1324" t="s">
        <v>4</v>
      </c>
      <c r="E1324" t="s">
        <v>12</v>
      </c>
      <c r="F1324" t="s">
        <v>16</v>
      </c>
      <c r="G1324" t="s">
        <v>180</v>
      </c>
      <c r="H1324" s="94">
        <v>3</v>
      </c>
      <c r="I1324" t="s">
        <v>60</v>
      </c>
      <c r="J1324" t="s">
        <v>11</v>
      </c>
    </row>
    <row r="1325" spans="1:10" x14ac:dyDescent="0.25">
      <c r="A1325" t="s">
        <v>132</v>
      </c>
      <c r="B1325" t="s">
        <v>14</v>
      </c>
      <c r="C1325" s="12" t="s">
        <v>109</v>
      </c>
      <c r="D1325" t="s">
        <v>4</v>
      </c>
      <c r="E1325" t="s">
        <v>12</v>
      </c>
      <c r="F1325" t="s">
        <v>16</v>
      </c>
      <c r="G1325" t="s">
        <v>180</v>
      </c>
      <c r="H1325" s="94">
        <v>5</v>
      </c>
      <c r="I1325" t="s">
        <v>107</v>
      </c>
      <c r="J1325" t="s">
        <v>13</v>
      </c>
    </row>
    <row r="1326" spans="1:10" x14ac:dyDescent="0.25">
      <c r="A1326" t="s">
        <v>132</v>
      </c>
      <c r="B1326" t="s">
        <v>14</v>
      </c>
      <c r="C1326" s="12" t="s">
        <v>109</v>
      </c>
      <c r="D1326" t="s">
        <v>4</v>
      </c>
      <c r="E1326" t="s">
        <v>12</v>
      </c>
      <c r="F1326" t="s">
        <v>16</v>
      </c>
      <c r="G1326" t="s">
        <v>180</v>
      </c>
      <c r="H1326" s="94">
        <v>5</v>
      </c>
      <c r="I1326" t="s">
        <v>107</v>
      </c>
      <c r="J1326" t="s">
        <v>63</v>
      </c>
    </row>
    <row r="1327" spans="1:10" x14ac:dyDescent="0.25">
      <c r="A1327" t="s">
        <v>132</v>
      </c>
      <c r="B1327" t="s">
        <v>14</v>
      </c>
      <c r="C1327" s="12" t="s">
        <v>109</v>
      </c>
      <c r="D1327" t="s">
        <v>4</v>
      </c>
      <c r="E1327" t="s">
        <v>12</v>
      </c>
      <c r="F1327" t="s">
        <v>16</v>
      </c>
      <c r="G1327" t="s">
        <v>180</v>
      </c>
      <c r="H1327" s="94">
        <v>5</v>
      </c>
      <c r="I1327" t="s">
        <v>107</v>
      </c>
      <c r="J1327" t="s">
        <v>11</v>
      </c>
    </row>
    <row r="1328" spans="1:10" x14ac:dyDescent="0.25">
      <c r="A1328" t="s">
        <v>132</v>
      </c>
      <c r="B1328" t="s">
        <v>14</v>
      </c>
      <c r="C1328" s="12" t="s">
        <v>109</v>
      </c>
      <c r="D1328" t="s">
        <v>4</v>
      </c>
      <c r="E1328" t="s">
        <v>12</v>
      </c>
      <c r="F1328" t="s">
        <v>16</v>
      </c>
      <c r="G1328" t="s">
        <v>180</v>
      </c>
      <c r="H1328" s="94">
        <v>5</v>
      </c>
      <c r="I1328" t="s">
        <v>62</v>
      </c>
      <c r="J1328" t="s">
        <v>13</v>
      </c>
    </row>
    <row r="1329" spans="1:10" x14ac:dyDescent="0.25">
      <c r="A1329" t="s">
        <v>132</v>
      </c>
      <c r="B1329" t="s">
        <v>14</v>
      </c>
      <c r="C1329" s="12" t="s">
        <v>109</v>
      </c>
      <c r="D1329" t="s">
        <v>4</v>
      </c>
      <c r="E1329" t="s">
        <v>12</v>
      </c>
      <c r="F1329" t="s">
        <v>16</v>
      </c>
      <c r="G1329" t="s">
        <v>180</v>
      </c>
      <c r="H1329" s="94">
        <v>5</v>
      </c>
      <c r="I1329" t="s">
        <v>62</v>
      </c>
      <c r="J1329" t="s">
        <v>63</v>
      </c>
    </row>
    <row r="1330" spans="1:10" x14ac:dyDescent="0.25">
      <c r="A1330" t="s">
        <v>132</v>
      </c>
      <c r="B1330" t="s">
        <v>14</v>
      </c>
      <c r="C1330" s="12" t="s">
        <v>109</v>
      </c>
      <c r="D1330" t="s">
        <v>4</v>
      </c>
      <c r="E1330" t="s">
        <v>12</v>
      </c>
      <c r="F1330" t="s">
        <v>16</v>
      </c>
      <c r="G1330" t="s">
        <v>180</v>
      </c>
      <c r="H1330" s="94">
        <v>5</v>
      </c>
      <c r="I1330" t="s">
        <v>62</v>
      </c>
      <c r="J1330" t="s">
        <v>11</v>
      </c>
    </row>
    <row r="1331" spans="1:10" x14ac:dyDescent="0.25">
      <c r="A1331" t="s">
        <v>132</v>
      </c>
      <c r="B1331" t="s">
        <v>14</v>
      </c>
      <c r="C1331" s="12" t="s">
        <v>109</v>
      </c>
      <c r="D1331" t="s">
        <v>4</v>
      </c>
      <c r="E1331" t="s">
        <v>12</v>
      </c>
      <c r="F1331" t="s">
        <v>16</v>
      </c>
      <c r="G1331" t="s">
        <v>180</v>
      </c>
      <c r="H1331" s="94">
        <v>5</v>
      </c>
      <c r="I1331" t="s">
        <v>60</v>
      </c>
      <c r="J1331" t="s">
        <v>13</v>
      </c>
    </row>
    <row r="1332" spans="1:10" x14ac:dyDescent="0.25">
      <c r="A1332" t="s">
        <v>132</v>
      </c>
      <c r="B1332" t="s">
        <v>14</v>
      </c>
      <c r="C1332" s="12" t="s">
        <v>109</v>
      </c>
      <c r="D1332" t="s">
        <v>4</v>
      </c>
      <c r="E1332" t="s">
        <v>12</v>
      </c>
      <c r="F1332" t="s">
        <v>16</v>
      </c>
      <c r="G1332" t="s">
        <v>180</v>
      </c>
      <c r="H1332" s="94">
        <v>5</v>
      </c>
      <c r="I1332" t="s">
        <v>60</v>
      </c>
      <c r="J1332" t="s">
        <v>63</v>
      </c>
    </row>
    <row r="1333" spans="1:10" x14ac:dyDescent="0.25">
      <c r="A1333" t="s">
        <v>132</v>
      </c>
      <c r="B1333" t="s">
        <v>14</v>
      </c>
      <c r="C1333" s="12" t="s">
        <v>109</v>
      </c>
      <c r="D1333" t="s">
        <v>4</v>
      </c>
      <c r="E1333" t="s">
        <v>12</v>
      </c>
      <c r="F1333" t="s">
        <v>16</v>
      </c>
      <c r="G1333" t="s">
        <v>180</v>
      </c>
      <c r="H1333" s="94">
        <v>5</v>
      </c>
      <c r="I1333" t="s">
        <v>60</v>
      </c>
      <c r="J1333" t="s">
        <v>11</v>
      </c>
    </row>
    <row r="1334" spans="1:10" x14ac:dyDescent="0.25">
      <c r="A1334" t="s">
        <v>132</v>
      </c>
      <c r="B1334" t="s">
        <v>14</v>
      </c>
      <c r="C1334" s="12" t="s">
        <v>109</v>
      </c>
      <c r="D1334" t="s">
        <v>4</v>
      </c>
      <c r="E1334" t="s">
        <v>12</v>
      </c>
      <c r="F1334" t="s">
        <v>8</v>
      </c>
      <c r="G1334" t="s">
        <v>180</v>
      </c>
      <c r="H1334" s="94">
        <v>3</v>
      </c>
      <c r="I1334" t="s">
        <v>107</v>
      </c>
      <c r="J1334" t="s">
        <v>13</v>
      </c>
    </row>
    <row r="1335" spans="1:10" x14ac:dyDescent="0.25">
      <c r="A1335" t="s">
        <v>132</v>
      </c>
      <c r="B1335" t="s">
        <v>14</v>
      </c>
      <c r="C1335" s="12" t="s">
        <v>109</v>
      </c>
      <c r="D1335" t="s">
        <v>4</v>
      </c>
      <c r="E1335" t="s">
        <v>12</v>
      </c>
      <c r="F1335" t="s">
        <v>8</v>
      </c>
      <c r="G1335" t="s">
        <v>180</v>
      </c>
      <c r="H1335" s="94">
        <v>3</v>
      </c>
      <c r="I1335" t="s">
        <v>107</v>
      </c>
      <c r="J1335" t="s">
        <v>63</v>
      </c>
    </row>
    <row r="1336" spans="1:10" x14ac:dyDescent="0.25">
      <c r="A1336" t="s">
        <v>132</v>
      </c>
      <c r="B1336" t="s">
        <v>14</v>
      </c>
      <c r="C1336" s="12" t="s">
        <v>109</v>
      </c>
      <c r="D1336" t="s">
        <v>4</v>
      </c>
      <c r="E1336" t="s">
        <v>12</v>
      </c>
      <c r="F1336" t="s">
        <v>8</v>
      </c>
      <c r="G1336" t="s">
        <v>180</v>
      </c>
      <c r="H1336" s="94">
        <v>3</v>
      </c>
      <c r="I1336" t="s">
        <v>107</v>
      </c>
      <c r="J1336" t="s">
        <v>11</v>
      </c>
    </row>
    <row r="1337" spans="1:10" x14ac:dyDescent="0.25">
      <c r="A1337" t="s">
        <v>132</v>
      </c>
      <c r="B1337" t="s">
        <v>14</v>
      </c>
      <c r="C1337" s="12" t="s">
        <v>109</v>
      </c>
      <c r="D1337" t="s">
        <v>4</v>
      </c>
      <c r="E1337" t="s">
        <v>12</v>
      </c>
      <c r="F1337" t="s">
        <v>8</v>
      </c>
      <c r="G1337" t="s">
        <v>180</v>
      </c>
      <c r="H1337" s="94">
        <v>3</v>
      </c>
      <c r="I1337" t="s">
        <v>62</v>
      </c>
      <c r="J1337" t="s">
        <v>13</v>
      </c>
    </row>
    <row r="1338" spans="1:10" x14ac:dyDescent="0.25">
      <c r="A1338" t="s">
        <v>132</v>
      </c>
      <c r="B1338" t="s">
        <v>14</v>
      </c>
      <c r="C1338" s="12" t="s">
        <v>109</v>
      </c>
      <c r="D1338" t="s">
        <v>4</v>
      </c>
      <c r="E1338" t="s">
        <v>12</v>
      </c>
      <c r="F1338" t="s">
        <v>8</v>
      </c>
      <c r="G1338" t="s">
        <v>180</v>
      </c>
      <c r="H1338" s="94">
        <v>3</v>
      </c>
      <c r="I1338" t="s">
        <v>62</v>
      </c>
      <c r="J1338" t="s">
        <v>63</v>
      </c>
    </row>
    <row r="1339" spans="1:10" x14ac:dyDescent="0.25">
      <c r="A1339" t="s">
        <v>132</v>
      </c>
      <c r="B1339" t="s">
        <v>14</v>
      </c>
      <c r="C1339" s="12" t="s">
        <v>109</v>
      </c>
      <c r="D1339" t="s">
        <v>4</v>
      </c>
      <c r="E1339" t="s">
        <v>12</v>
      </c>
      <c r="F1339" t="s">
        <v>8</v>
      </c>
      <c r="G1339" t="s">
        <v>180</v>
      </c>
      <c r="H1339" s="94">
        <v>3</v>
      </c>
      <c r="I1339" t="s">
        <v>62</v>
      </c>
      <c r="J1339" t="s">
        <v>11</v>
      </c>
    </row>
    <row r="1340" spans="1:10" x14ac:dyDescent="0.25">
      <c r="A1340" t="s">
        <v>132</v>
      </c>
      <c r="B1340" t="s">
        <v>14</v>
      </c>
      <c r="C1340" s="12" t="s">
        <v>109</v>
      </c>
      <c r="D1340" t="s">
        <v>4</v>
      </c>
      <c r="E1340" t="s">
        <v>12</v>
      </c>
      <c r="F1340" t="s">
        <v>8</v>
      </c>
      <c r="G1340" t="s">
        <v>180</v>
      </c>
      <c r="H1340" s="94">
        <v>3</v>
      </c>
      <c r="I1340" t="s">
        <v>60</v>
      </c>
      <c r="J1340" t="s">
        <v>13</v>
      </c>
    </row>
    <row r="1341" spans="1:10" x14ac:dyDescent="0.25">
      <c r="A1341" t="s">
        <v>132</v>
      </c>
      <c r="B1341" t="s">
        <v>14</v>
      </c>
      <c r="C1341" s="12" t="s">
        <v>109</v>
      </c>
      <c r="D1341" t="s">
        <v>4</v>
      </c>
      <c r="E1341" t="s">
        <v>12</v>
      </c>
      <c r="F1341" t="s">
        <v>8</v>
      </c>
      <c r="G1341" t="s">
        <v>180</v>
      </c>
      <c r="H1341" s="94">
        <v>3</v>
      </c>
      <c r="I1341" t="s">
        <v>60</v>
      </c>
      <c r="J1341" t="s">
        <v>63</v>
      </c>
    </row>
    <row r="1342" spans="1:10" x14ac:dyDescent="0.25">
      <c r="A1342" t="s">
        <v>132</v>
      </c>
      <c r="B1342" t="s">
        <v>14</v>
      </c>
      <c r="C1342" s="12" t="s">
        <v>109</v>
      </c>
      <c r="D1342" t="s">
        <v>4</v>
      </c>
      <c r="E1342" t="s">
        <v>12</v>
      </c>
      <c r="F1342" t="s">
        <v>8</v>
      </c>
      <c r="G1342" t="s">
        <v>180</v>
      </c>
      <c r="H1342" s="94">
        <v>3</v>
      </c>
      <c r="I1342" t="s">
        <v>60</v>
      </c>
      <c r="J1342" t="s">
        <v>11</v>
      </c>
    </row>
    <row r="1343" spans="1:10" x14ac:dyDescent="0.25">
      <c r="A1343" t="s">
        <v>132</v>
      </c>
      <c r="B1343" t="s">
        <v>14</v>
      </c>
      <c r="C1343" s="12" t="s">
        <v>109</v>
      </c>
      <c r="D1343" t="s">
        <v>4</v>
      </c>
      <c r="E1343" t="s">
        <v>12</v>
      </c>
      <c r="F1343" t="s">
        <v>8</v>
      </c>
      <c r="G1343" t="s">
        <v>180</v>
      </c>
      <c r="H1343" s="94">
        <v>5</v>
      </c>
      <c r="I1343" t="s">
        <v>107</v>
      </c>
      <c r="J1343" t="s">
        <v>13</v>
      </c>
    </row>
    <row r="1344" spans="1:10" x14ac:dyDescent="0.25">
      <c r="A1344" t="s">
        <v>132</v>
      </c>
      <c r="B1344" t="s">
        <v>14</v>
      </c>
      <c r="C1344" s="12" t="s">
        <v>109</v>
      </c>
      <c r="D1344" t="s">
        <v>4</v>
      </c>
      <c r="E1344" t="s">
        <v>12</v>
      </c>
      <c r="F1344" t="s">
        <v>8</v>
      </c>
      <c r="G1344" t="s">
        <v>180</v>
      </c>
      <c r="H1344" s="94">
        <v>5</v>
      </c>
      <c r="I1344" t="s">
        <v>107</v>
      </c>
      <c r="J1344" t="s">
        <v>63</v>
      </c>
    </row>
    <row r="1345" spans="1:10" x14ac:dyDescent="0.25">
      <c r="A1345" t="s">
        <v>132</v>
      </c>
      <c r="B1345" t="s">
        <v>14</v>
      </c>
      <c r="C1345" s="12" t="s">
        <v>109</v>
      </c>
      <c r="D1345" t="s">
        <v>4</v>
      </c>
      <c r="E1345" t="s">
        <v>12</v>
      </c>
      <c r="F1345" t="s">
        <v>8</v>
      </c>
      <c r="G1345" t="s">
        <v>180</v>
      </c>
      <c r="H1345" s="94">
        <v>5</v>
      </c>
      <c r="I1345" t="s">
        <v>107</v>
      </c>
      <c r="J1345" t="s">
        <v>11</v>
      </c>
    </row>
    <row r="1346" spans="1:10" x14ac:dyDescent="0.25">
      <c r="A1346" t="s">
        <v>132</v>
      </c>
      <c r="B1346" t="s">
        <v>14</v>
      </c>
      <c r="C1346" s="12" t="s">
        <v>109</v>
      </c>
      <c r="D1346" t="s">
        <v>4</v>
      </c>
      <c r="E1346" t="s">
        <v>12</v>
      </c>
      <c r="F1346" t="s">
        <v>8</v>
      </c>
      <c r="G1346" t="s">
        <v>180</v>
      </c>
      <c r="H1346" s="94">
        <v>5</v>
      </c>
      <c r="I1346" t="s">
        <v>62</v>
      </c>
      <c r="J1346" t="s">
        <v>13</v>
      </c>
    </row>
    <row r="1347" spans="1:10" x14ac:dyDescent="0.25">
      <c r="A1347" t="s">
        <v>132</v>
      </c>
      <c r="B1347" t="s">
        <v>14</v>
      </c>
      <c r="C1347" s="12" t="s">
        <v>109</v>
      </c>
      <c r="D1347" t="s">
        <v>4</v>
      </c>
      <c r="E1347" t="s">
        <v>12</v>
      </c>
      <c r="F1347" t="s">
        <v>8</v>
      </c>
      <c r="G1347" t="s">
        <v>180</v>
      </c>
      <c r="H1347" s="94">
        <v>5</v>
      </c>
      <c r="I1347" t="s">
        <v>62</v>
      </c>
      <c r="J1347" t="s">
        <v>63</v>
      </c>
    </row>
    <row r="1348" spans="1:10" x14ac:dyDescent="0.25">
      <c r="A1348" t="s">
        <v>132</v>
      </c>
      <c r="B1348" t="s">
        <v>14</v>
      </c>
      <c r="C1348" s="12" t="s">
        <v>109</v>
      </c>
      <c r="D1348" t="s">
        <v>4</v>
      </c>
      <c r="E1348" t="s">
        <v>12</v>
      </c>
      <c r="F1348" t="s">
        <v>8</v>
      </c>
      <c r="G1348" t="s">
        <v>180</v>
      </c>
      <c r="H1348" s="94">
        <v>5</v>
      </c>
      <c r="I1348" t="s">
        <v>62</v>
      </c>
      <c r="J1348" t="s">
        <v>11</v>
      </c>
    </row>
    <row r="1349" spans="1:10" x14ac:dyDescent="0.25">
      <c r="A1349" t="s">
        <v>132</v>
      </c>
      <c r="B1349" t="s">
        <v>14</v>
      </c>
      <c r="C1349" s="12" t="s">
        <v>109</v>
      </c>
      <c r="D1349" t="s">
        <v>4</v>
      </c>
      <c r="E1349" t="s">
        <v>12</v>
      </c>
      <c r="F1349" t="s">
        <v>8</v>
      </c>
      <c r="G1349" t="s">
        <v>180</v>
      </c>
      <c r="H1349" s="94">
        <v>5</v>
      </c>
      <c r="I1349" t="s">
        <v>60</v>
      </c>
      <c r="J1349" t="s">
        <v>13</v>
      </c>
    </row>
    <row r="1350" spans="1:10" x14ac:dyDescent="0.25">
      <c r="A1350" t="s">
        <v>132</v>
      </c>
      <c r="B1350" t="s">
        <v>14</v>
      </c>
      <c r="C1350" s="12" t="s">
        <v>109</v>
      </c>
      <c r="D1350" t="s">
        <v>4</v>
      </c>
      <c r="E1350" t="s">
        <v>12</v>
      </c>
      <c r="F1350" t="s">
        <v>8</v>
      </c>
      <c r="G1350" t="s">
        <v>180</v>
      </c>
      <c r="H1350" s="94">
        <v>5</v>
      </c>
      <c r="I1350" t="s">
        <v>60</v>
      </c>
      <c r="J1350" t="s">
        <v>63</v>
      </c>
    </row>
    <row r="1351" spans="1:10" x14ac:dyDescent="0.25">
      <c r="A1351" t="s">
        <v>132</v>
      </c>
      <c r="B1351" t="s">
        <v>14</v>
      </c>
      <c r="C1351" s="12" t="s">
        <v>109</v>
      </c>
      <c r="D1351" t="s">
        <v>4</v>
      </c>
      <c r="E1351" t="s">
        <v>12</v>
      </c>
      <c r="F1351" t="s">
        <v>8</v>
      </c>
      <c r="G1351" t="s">
        <v>180</v>
      </c>
      <c r="H1351" s="94">
        <v>5</v>
      </c>
      <c r="I1351" t="s">
        <v>60</v>
      </c>
      <c r="J1351" t="s">
        <v>11</v>
      </c>
    </row>
    <row r="1352" spans="1:10" x14ac:dyDescent="0.25">
      <c r="A1352" t="s">
        <v>132</v>
      </c>
      <c r="B1352" t="s">
        <v>14</v>
      </c>
      <c r="C1352" s="12" t="s">
        <v>109</v>
      </c>
      <c r="D1352" t="s">
        <v>4</v>
      </c>
      <c r="E1352" t="s">
        <v>6</v>
      </c>
      <c r="F1352" t="s">
        <v>72</v>
      </c>
      <c r="G1352" t="s">
        <v>180</v>
      </c>
      <c r="H1352" s="94">
        <v>3</v>
      </c>
      <c r="I1352" t="s">
        <v>107</v>
      </c>
      <c r="J1352" t="s">
        <v>13</v>
      </c>
    </row>
    <row r="1353" spans="1:10" x14ac:dyDescent="0.25">
      <c r="A1353" t="s">
        <v>132</v>
      </c>
      <c r="B1353" t="s">
        <v>14</v>
      </c>
      <c r="C1353" s="12" t="s">
        <v>109</v>
      </c>
      <c r="D1353" t="s">
        <v>4</v>
      </c>
      <c r="E1353" t="s">
        <v>6</v>
      </c>
      <c r="F1353" t="s">
        <v>72</v>
      </c>
      <c r="G1353" t="s">
        <v>180</v>
      </c>
      <c r="H1353" s="94">
        <v>3</v>
      </c>
      <c r="I1353" t="s">
        <v>107</v>
      </c>
      <c r="J1353" t="s">
        <v>63</v>
      </c>
    </row>
    <row r="1354" spans="1:10" x14ac:dyDescent="0.25">
      <c r="A1354" t="s">
        <v>132</v>
      </c>
      <c r="B1354" t="s">
        <v>14</v>
      </c>
      <c r="C1354" s="12" t="s">
        <v>109</v>
      </c>
      <c r="D1354" t="s">
        <v>4</v>
      </c>
      <c r="E1354" t="s">
        <v>6</v>
      </c>
      <c r="F1354" t="s">
        <v>72</v>
      </c>
      <c r="G1354" t="s">
        <v>180</v>
      </c>
      <c r="H1354" s="94">
        <v>3</v>
      </c>
      <c r="I1354" t="s">
        <v>107</v>
      </c>
      <c r="J1354" t="s">
        <v>11</v>
      </c>
    </row>
    <row r="1355" spans="1:10" x14ac:dyDescent="0.25">
      <c r="A1355" t="s">
        <v>132</v>
      </c>
      <c r="B1355" t="s">
        <v>14</v>
      </c>
      <c r="C1355" s="12" t="s">
        <v>109</v>
      </c>
      <c r="D1355" t="s">
        <v>4</v>
      </c>
      <c r="E1355" t="s">
        <v>6</v>
      </c>
      <c r="F1355" t="s">
        <v>72</v>
      </c>
      <c r="G1355" t="s">
        <v>180</v>
      </c>
      <c r="H1355" s="94">
        <v>3</v>
      </c>
      <c r="I1355" t="s">
        <v>62</v>
      </c>
      <c r="J1355" t="s">
        <v>13</v>
      </c>
    </row>
    <row r="1356" spans="1:10" x14ac:dyDescent="0.25">
      <c r="A1356" t="s">
        <v>132</v>
      </c>
      <c r="B1356" t="s">
        <v>14</v>
      </c>
      <c r="C1356" s="12" t="s">
        <v>109</v>
      </c>
      <c r="D1356" t="s">
        <v>4</v>
      </c>
      <c r="E1356" t="s">
        <v>6</v>
      </c>
      <c r="F1356" t="s">
        <v>72</v>
      </c>
      <c r="G1356" t="s">
        <v>180</v>
      </c>
      <c r="H1356" s="94">
        <v>3</v>
      </c>
      <c r="I1356" t="s">
        <v>62</v>
      </c>
      <c r="J1356" t="s">
        <v>63</v>
      </c>
    </row>
    <row r="1357" spans="1:10" x14ac:dyDescent="0.25">
      <c r="A1357" t="s">
        <v>132</v>
      </c>
      <c r="B1357" t="s">
        <v>14</v>
      </c>
      <c r="C1357" s="12" t="s">
        <v>109</v>
      </c>
      <c r="D1357" t="s">
        <v>4</v>
      </c>
      <c r="E1357" t="s">
        <v>6</v>
      </c>
      <c r="F1357" t="s">
        <v>72</v>
      </c>
      <c r="G1357" t="s">
        <v>180</v>
      </c>
      <c r="H1357" s="94">
        <v>3</v>
      </c>
      <c r="I1357" t="s">
        <v>62</v>
      </c>
      <c r="J1357" t="s">
        <v>11</v>
      </c>
    </row>
    <row r="1358" spans="1:10" x14ac:dyDescent="0.25">
      <c r="A1358" t="s">
        <v>132</v>
      </c>
      <c r="B1358" t="s">
        <v>14</v>
      </c>
      <c r="C1358" s="12" t="s">
        <v>109</v>
      </c>
      <c r="D1358" t="s">
        <v>4</v>
      </c>
      <c r="E1358" t="s">
        <v>6</v>
      </c>
      <c r="F1358" t="s">
        <v>72</v>
      </c>
      <c r="G1358" t="s">
        <v>180</v>
      </c>
      <c r="H1358" s="94">
        <v>3</v>
      </c>
      <c r="I1358" t="s">
        <v>60</v>
      </c>
      <c r="J1358" t="s">
        <v>13</v>
      </c>
    </row>
    <row r="1359" spans="1:10" x14ac:dyDescent="0.25">
      <c r="A1359" t="s">
        <v>132</v>
      </c>
      <c r="B1359" t="s">
        <v>14</v>
      </c>
      <c r="C1359" s="12" t="s">
        <v>109</v>
      </c>
      <c r="D1359" t="s">
        <v>4</v>
      </c>
      <c r="E1359" t="s">
        <v>6</v>
      </c>
      <c r="F1359" t="s">
        <v>72</v>
      </c>
      <c r="G1359" t="s">
        <v>180</v>
      </c>
      <c r="H1359" s="94">
        <v>3</v>
      </c>
      <c r="I1359" t="s">
        <v>60</v>
      </c>
      <c r="J1359" t="s">
        <v>63</v>
      </c>
    </row>
    <row r="1360" spans="1:10" x14ac:dyDescent="0.25">
      <c r="A1360" t="s">
        <v>132</v>
      </c>
      <c r="B1360" t="s">
        <v>14</v>
      </c>
      <c r="C1360" s="12" t="s">
        <v>109</v>
      </c>
      <c r="D1360" t="s">
        <v>4</v>
      </c>
      <c r="E1360" t="s">
        <v>6</v>
      </c>
      <c r="F1360" t="s">
        <v>72</v>
      </c>
      <c r="G1360" t="s">
        <v>180</v>
      </c>
      <c r="H1360" s="94">
        <v>3</v>
      </c>
      <c r="I1360" t="s">
        <v>60</v>
      </c>
      <c r="J1360" t="s">
        <v>11</v>
      </c>
    </row>
    <row r="1361" spans="1:10" x14ac:dyDescent="0.25">
      <c r="A1361" t="s">
        <v>132</v>
      </c>
      <c r="B1361" t="s">
        <v>14</v>
      </c>
      <c r="C1361" s="12" t="s">
        <v>109</v>
      </c>
      <c r="D1361" t="s">
        <v>4</v>
      </c>
      <c r="E1361" t="s">
        <v>6</v>
      </c>
      <c r="F1361" t="s">
        <v>72</v>
      </c>
      <c r="G1361" t="s">
        <v>180</v>
      </c>
      <c r="H1361" s="94">
        <v>5</v>
      </c>
      <c r="I1361" t="s">
        <v>107</v>
      </c>
      <c r="J1361" t="s">
        <v>13</v>
      </c>
    </row>
    <row r="1362" spans="1:10" x14ac:dyDescent="0.25">
      <c r="A1362" t="s">
        <v>132</v>
      </c>
      <c r="B1362" t="s">
        <v>14</v>
      </c>
      <c r="C1362" s="12" t="s">
        <v>109</v>
      </c>
      <c r="D1362" t="s">
        <v>4</v>
      </c>
      <c r="E1362" t="s">
        <v>6</v>
      </c>
      <c r="F1362" t="s">
        <v>72</v>
      </c>
      <c r="G1362" t="s">
        <v>180</v>
      </c>
      <c r="H1362" s="94">
        <v>5</v>
      </c>
      <c r="I1362" t="s">
        <v>107</v>
      </c>
      <c r="J1362" t="s">
        <v>63</v>
      </c>
    </row>
    <row r="1363" spans="1:10" x14ac:dyDescent="0.25">
      <c r="A1363" t="s">
        <v>132</v>
      </c>
      <c r="B1363" t="s">
        <v>14</v>
      </c>
      <c r="C1363" s="12" t="s">
        <v>109</v>
      </c>
      <c r="D1363" t="s">
        <v>4</v>
      </c>
      <c r="E1363" t="s">
        <v>6</v>
      </c>
      <c r="F1363" t="s">
        <v>72</v>
      </c>
      <c r="G1363" t="s">
        <v>180</v>
      </c>
      <c r="H1363" s="94">
        <v>5</v>
      </c>
      <c r="I1363" t="s">
        <v>107</v>
      </c>
      <c r="J1363" t="s">
        <v>11</v>
      </c>
    </row>
    <row r="1364" spans="1:10" x14ac:dyDescent="0.25">
      <c r="A1364" t="s">
        <v>132</v>
      </c>
      <c r="B1364" t="s">
        <v>14</v>
      </c>
      <c r="C1364" s="12" t="s">
        <v>109</v>
      </c>
      <c r="D1364" t="s">
        <v>4</v>
      </c>
      <c r="E1364" t="s">
        <v>6</v>
      </c>
      <c r="F1364" t="s">
        <v>72</v>
      </c>
      <c r="G1364" t="s">
        <v>180</v>
      </c>
      <c r="H1364" s="94">
        <v>5</v>
      </c>
      <c r="I1364" t="s">
        <v>62</v>
      </c>
      <c r="J1364" t="s">
        <v>13</v>
      </c>
    </row>
    <row r="1365" spans="1:10" x14ac:dyDescent="0.25">
      <c r="A1365" t="s">
        <v>132</v>
      </c>
      <c r="B1365" t="s">
        <v>14</v>
      </c>
      <c r="C1365" s="12" t="s">
        <v>109</v>
      </c>
      <c r="D1365" t="s">
        <v>4</v>
      </c>
      <c r="E1365" t="s">
        <v>6</v>
      </c>
      <c r="F1365" t="s">
        <v>72</v>
      </c>
      <c r="G1365" t="s">
        <v>180</v>
      </c>
      <c r="H1365" s="94">
        <v>5</v>
      </c>
      <c r="I1365" t="s">
        <v>62</v>
      </c>
      <c r="J1365" t="s">
        <v>63</v>
      </c>
    </row>
    <row r="1366" spans="1:10" x14ac:dyDescent="0.25">
      <c r="A1366" t="s">
        <v>132</v>
      </c>
      <c r="B1366" t="s">
        <v>14</v>
      </c>
      <c r="C1366" s="12" t="s">
        <v>109</v>
      </c>
      <c r="D1366" t="s">
        <v>4</v>
      </c>
      <c r="E1366" t="s">
        <v>6</v>
      </c>
      <c r="F1366" t="s">
        <v>72</v>
      </c>
      <c r="G1366" t="s">
        <v>180</v>
      </c>
      <c r="H1366" s="94">
        <v>5</v>
      </c>
      <c r="I1366" t="s">
        <v>62</v>
      </c>
      <c r="J1366" t="s">
        <v>11</v>
      </c>
    </row>
    <row r="1367" spans="1:10" x14ac:dyDescent="0.25">
      <c r="A1367" t="s">
        <v>132</v>
      </c>
      <c r="B1367" t="s">
        <v>14</v>
      </c>
      <c r="C1367" s="12" t="s">
        <v>109</v>
      </c>
      <c r="D1367" t="s">
        <v>4</v>
      </c>
      <c r="E1367" t="s">
        <v>6</v>
      </c>
      <c r="F1367" t="s">
        <v>72</v>
      </c>
      <c r="G1367" t="s">
        <v>180</v>
      </c>
      <c r="H1367" s="94">
        <v>5</v>
      </c>
      <c r="I1367" t="s">
        <v>60</v>
      </c>
      <c r="J1367" t="s">
        <v>13</v>
      </c>
    </row>
    <row r="1368" spans="1:10" x14ac:dyDescent="0.25">
      <c r="A1368" t="s">
        <v>132</v>
      </c>
      <c r="B1368" t="s">
        <v>14</v>
      </c>
      <c r="C1368" s="12" t="s">
        <v>109</v>
      </c>
      <c r="D1368" t="s">
        <v>4</v>
      </c>
      <c r="E1368" t="s">
        <v>6</v>
      </c>
      <c r="F1368" t="s">
        <v>72</v>
      </c>
      <c r="G1368" t="s">
        <v>180</v>
      </c>
      <c r="H1368" s="94">
        <v>5</v>
      </c>
      <c r="I1368" t="s">
        <v>60</v>
      </c>
      <c r="J1368" t="s">
        <v>63</v>
      </c>
    </row>
    <row r="1369" spans="1:10" x14ac:dyDescent="0.25">
      <c r="A1369" t="s">
        <v>132</v>
      </c>
      <c r="B1369" t="s">
        <v>14</v>
      </c>
      <c r="C1369" s="12" t="s">
        <v>109</v>
      </c>
      <c r="D1369" t="s">
        <v>4</v>
      </c>
      <c r="E1369" t="s">
        <v>6</v>
      </c>
      <c r="F1369" t="s">
        <v>72</v>
      </c>
      <c r="G1369" t="s">
        <v>180</v>
      </c>
      <c r="H1369" s="94">
        <v>5</v>
      </c>
      <c r="I1369" t="s">
        <v>60</v>
      </c>
      <c r="J1369" t="s">
        <v>11</v>
      </c>
    </row>
    <row r="1370" spans="1:10" x14ac:dyDescent="0.25">
      <c r="A1370" t="s">
        <v>132</v>
      </c>
      <c r="B1370" t="s">
        <v>14</v>
      </c>
      <c r="C1370" s="12" t="s">
        <v>109</v>
      </c>
      <c r="D1370" t="s">
        <v>4</v>
      </c>
      <c r="E1370" t="s">
        <v>6</v>
      </c>
      <c r="F1370" t="s">
        <v>16</v>
      </c>
      <c r="G1370" t="s">
        <v>180</v>
      </c>
      <c r="H1370" s="94">
        <v>3</v>
      </c>
      <c r="I1370" t="s">
        <v>107</v>
      </c>
      <c r="J1370" t="s">
        <v>13</v>
      </c>
    </row>
    <row r="1371" spans="1:10" x14ac:dyDescent="0.25">
      <c r="A1371" t="s">
        <v>132</v>
      </c>
      <c r="B1371" t="s">
        <v>14</v>
      </c>
      <c r="C1371" s="12" t="s">
        <v>109</v>
      </c>
      <c r="D1371" t="s">
        <v>4</v>
      </c>
      <c r="E1371" t="s">
        <v>6</v>
      </c>
      <c r="F1371" t="s">
        <v>16</v>
      </c>
      <c r="G1371" t="s">
        <v>180</v>
      </c>
      <c r="H1371" s="94">
        <v>3</v>
      </c>
      <c r="I1371" t="s">
        <v>107</v>
      </c>
      <c r="J1371" t="s">
        <v>63</v>
      </c>
    </row>
    <row r="1372" spans="1:10" x14ac:dyDescent="0.25">
      <c r="A1372" t="s">
        <v>132</v>
      </c>
      <c r="B1372" t="s">
        <v>14</v>
      </c>
      <c r="C1372" s="12" t="s">
        <v>109</v>
      </c>
      <c r="D1372" t="s">
        <v>4</v>
      </c>
      <c r="E1372" t="s">
        <v>6</v>
      </c>
      <c r="F1372" t="s">
        <v>16</v>
      </c>
      <c r="G1372" t="s">
        <v>180</v>
      </c>
      <c r="H1372" s="94">
        <v>3</v>
      </c>
      <c r="I1372" t="s">
        <v>107</v>
      </c>
      <c r="J1372" t="s">
        <v>11</v>
      </c>
    </row>
    <row r="1373" spans="1:10" x14ac:dyDescent="0.25">
      <c r="A1373" t="s">
        <v>132</v>
      </c>
      <c r="B1373" t="s">
        <v>14</v>
      </c>
      <c r="C1373" s="12" t="s">
        <v>109</v>
      </c>
      <c r="D1373" t="s">
        <v>4</v>
      </c>
      <c r="E1373" t="s">
        <v>6</v>
      </c>
      <c r="F1373" t="s">
        <v>16</v>
      </c>
      <c r="G1373" t="s">
        <v>180</v>
      </c>
      <c r="H1373" s="94">
        <v>3</v>
      </c>
      <c r="I1373" t="s">
        <v>62</v>
      </c>
      <c r="J1373" t="s">
        <v>13</v>
      </c>
    </row>
    <row r="1374" spans="1:10" x14ac:dyDescent="0.25">
      <c r="A1374" t="s">
        <v>132</v>
      </c>
      <c r="B1374" t="s">
        <v>14</v>
      </c>
      <c r="C1374" s="12" t="s">
        <v>109</v>
      </c>
      <c r="D1374" t="s">
        <v>4</v>
      </c>
      <c r="E1374" t="s">
        <v>6</v>
      </c>
      <c r="F1374" t="s">
        <v>16</v>
      </c>
      <c r="G1374" t="s">
        <v>180</v>
      </c>
      <c r="H1374" s="94">
        <v>3</v>
      </c>
      <c r="I1374" t="s">
        <v>62</v>
      </c>
      <c r="J1374" t="s">
        <v>63</v>
      </c>
    </row>
    <row r="1375" spans="1:10" x14ac:dyDescent="0.25">
      <c r="A1375" t="s">
        <v>132</v>
      </c>
      <c r="B1375" t="s">
        <v>14</v>
      </c>
      <c r="C1375" s="12" t="s">
        <v>109</v>
      </c>
      <c r="D1375" t="s">
        <v>4</v>
      </c>
      <c r="E1375" t="s">
        <v>6</v>
      </c>
      <c r="F1375" t="s">
        <v>16</v>
      </c>
      <c r="G1375" t="s">
        <v>180</v>
      </c>
      <c r="H1375" s="94">
        <v>3</v>
      </c>
      <c r="I1375" t="s">
        <v>62</v>
      </c>
      <c r="J1375" t="s">
        <v>11</v>
      </c>
    </row>
    <row r="1376" spans="1:10" x14ac:dyDescent="0.25">
      <c r="A1376" t="s">
        <v>132</v>
      </c>
      <c r="B1376" t="s">
        <v>14</v>
      </c>
      <c r="C1376" s="12" t="s">
        <v>109</v>
      </c>
      <c r="D1376" t="s">
        <v>4</v>
      </c>
      <c r="E1376" t="s">
        <v>6</v>
      </c>
      <c r="F1376" t="s">
        <v>16</v>
      </c>
      <c r="G1376" t="s">
        <v>180</v>
      </c>
      <c r="H1376" s="94">
        <v>3</v>
      </c>
      <c r="I1376" t="s">
        <v>60</v>
      </c>
      <c r="J1376" t="s">
        <v>13</v>
      </c>
    </row>
    <row r="1377" spans="1:10" x14ac:dyDescent="0.25">
      <c r="A1377" t="s">
        <v>132</v>
      </c>
      <c r="B1377" t="s">
        <v>14</v>
      </c>
      <c r="C1377" s="12" t="s">
        <v>109</v>
      </c>
      <c r="D1377" t="s">
        <v>4</v>
      </c>
      <c r="E1377" t="s">
        <v>6</v>
      </c>
      <c r="F1377" t="s">
        <v>16</v>
      </c>
      <c r="G1377" t="s">
        <v>180</v>
      </c>
      <c r="H1377" s="94">
        <v>3</v>
      </c>
      <c r="I1377" t="s">
        <v>60</v>
      </c>
      <c r="J1377" t="s">
        <v>63</v>
      </c>
    </row>
    <row r="1378" spans="1:10" x14ac:dyDescent="0.25">
      <c r="A1378" t="s">
        <v>132</v>
      </c>
      <c r="B1378" t="s">
        <v>14</v>
      </c>
      <c r="C1378" s="12" t="s">
        <v>109</v>
      </c>
      <c r="D1378" t="s">
        <v>4</v>
      </c>
      <c r="E1378" t="s">
        <v>6</v>
      </c>
      <c r="F1378" t="s">
        <v>16</v>
      </c>
      <c r="G1378" t="s">
        <v>180</v>
      </c>
      <c r="H1378" s="94">
        <v>3</v>
      </c>
      <c r="I1378" t="s">
        <v>60</v>
      </c>
      <c r="J1378" t="s">
        <v>11</v>
      </c>
    </row>
    <row r="1379" spans="1:10" x14ac:dyDescent="0.25">
      <c r="A1379" t="s">
        <v>132</v>
      </c>
      <c r="B1379" t="s">
        <v>14</v>
      </c>
      <c r="C1379" s="12" t="s">
        <v>109</v>
      </c>
      <c r="D1379" t="s">
        <v>4</v>
      </c>
      <c r="E1379" t="s">
        <v>6</v>
      </c>
      <c r="F1379" t="s">
        <v>16</v>
      </c>
      <c r="G1379" t="s">
        <v>180</v>
      </c>
      <c r="H1379" s="94">
        <v>5</v>
      </c>
      <c r="I1379" t="s">
        <v>107</v>
      </c>
      <c r="J1379" t="s">
        <v>13</v>
      </c>
    </row>
    <row r="1380" spans="1:10" x14ac:dyDescent="0.25">
      <c r="A1380" t="s">
        <v>132</v>
      </c>
      <c r="B1380" t="s">
        <v>14</v>
      </c>
      <c r="C1380" s="12" t="s">
        <v>109</v>
      </c>
      <c r="D1380" t="s">
        <v>4</v>
      </c>
      <c r="E1380" t="s">
        <v>6</v>
      </c>
      <c r="F1380" t="s">
        <v>16</v>
      </c>
      <c r="G1380" t="s">
        <v>180</v>
      </c>
      <c r="H1380" s="94">
        <v>5</v>
      </c>
      <c r="I1380" t="s">
        <v>107</v>
      </c>
      <c r="J1380" t="s">
        <v>63</v>
      </c>
    </row>
    <row r="1381" spans="1:10" x14ac:dyDescent="0.25">
      <c r="A1381" t="s">
        <v>132</v>
      </c>
      <c r="B1381" t="s">
        <v>14</v>
      </c>
      <c r="C1381" s="12" t="s">
        <v>109</v>
      </c>
      <c r="D1381" t="s">
        <v>4</v>
      </c>
      <c r="E1381" t="s">
        <v>6</v>
      </c>
      <c r="F1381" t="s">
        <v>16</v>
      </c>
      <c r="G1381" t="s">
        <v>180</v>
      </c>
      <c r="H1381" s="94">
        <v>5</v>
      </c>
      <c r="I1381" t="s">
        <v>107</v>
      </c>
      <c r="J1381" t="s">
        <v>11</v>
      </c>
    </row>
    <row r="1382" spans="1:10" x14ac:dyDescent="0.25">
      <c r="A1382" t="s">
        <v>132</v>
      </c>
      <c r="B1382" t="s">
        <v>14</v>
      </c>
      <c r="C1382" s="12" t="s">
        <v>109</v>
      </c>
      <c r="D1382" t="s">
        <v>4</v>
      </c>
      <c r="E1382" t="s">
        <v>6</v>
      </c>
      <c r="F1382" t="s">
        <v>16</v>
      </c>
      <c r="G1382" t="s">
        <v>180</v>
      </c>
      <c r="H1382" s="94">
        <v>5</v>
      </c>
      <c r="I1382" t="s">
        <v>62</v>
      </c>
      <c r="J1382" t="s">
        <v>13</v>
      </c>
    </row>
    <row r="1383" spans="1:10" x14ac:dyDescent="0.25">
      <c r="A1383" t="s">
        <v>132</v>
      </c>
      <c r="B1383" t="s">
        <v>14</v>
      </c>
      <c r="C1383" s="12" t="s">
        <v>109</v>
      </c>
      <c r="D1383" t="s">
        <v>4</v>
      </c>
      <c r="E1383" t="s">
        <v>6</v>
      </c>
      <c r="F1383" t="s">
        <v>16</v>
      </c>
      <c r="G1383" t="s">
        <v>180</v>
      </c>
      <c r="H1383" s="94">
        <v>5</v>
      </c>
      <c r="I1383" t="s">
        <v>62</v>
      </c>
      <c r="J1383" t="s">
        <v>63</v>
      </c>
    </row>
    <row r="1384" spans="1:10" x14ac:dyDescent="0.25">
      <c r="A1384" t="s">
        <v>132</v>
      </c>
      <c r="B1384" t="s">
        <v>14</v>
      </c>
      <c r="C1384" s="12" t="s">
        <v>109</v>
      </c>
      <c r="D1384" t="s">
        <v>4</v>
      </c>
      <c r="E1384" t="s">
        <v>6</v>
      </c>
      <c r="F1384" t="s">
        <v>16</v>
      </c>
      <c r="G1384" t="s">
        <v>180</v>
      </c>
      <c r="H1384" s="94">
        <v>5</v>
      </c>
      <c r="I1384" t="s">
        <v>62</v>
      </c>
      <c r="J1384" t="s">
        <v>11</v>
      </c>
    </row>
    <row r="1385" spans="1:10" x14ac:dyDescent="0.25">
      <c r="A1385" t="s">
        <v>132</v>
      </c>
      <c r="B1385" t="s">
        <v>14</v>
      </c>
      <c r="C1385" s="12" t="s">
        <v>109</v>
      </c>
      <c r="D1385" t="s">
        <v>4</v>
      </c>
      <c r="E1385" t="s">
        <v>6</v>
      </c>
      <c r="F1385" t="s">
        <v>16</v>
      </c>
      <c r="G1385" t="s">
        <v>180</v>
      </c>
      <c r="H1385" s="94">
        <v>5</v>
      </c>
      <c r="I1385" t="s">
        <v>60</v>
      </c>
      <c r="J1385" t="s">
        <v>13</v>
      </c>
    </row>
    <row r="1386" spans="1:10" x14ac:dyDescent="0.25">
      <c r="A1386" t="s">
        <v>132</v>
      </c>
      <c r="B1386" t="s">
        <v>14</v>
      </c>
      <c r="C1386" s="12" t="s">
        <v>109</v>
      </c>
      <c r="D1386" t="s">
        <v>4</v>
      </c>
      <c r="E1386" t="s">
        <v>6</v>
      </c>
      <c r="F1386" t="s">
        <v>16</v>
      </c>
      <c r="G1386" t="s">
        <v>180</v>
      </c>
      <c r="H1386" s="94">
        <v>5</v>
      </c>
      <c r="I1386" t="s">
        <v>60</v>
      </c>
      <c r="J1386" t="s">
        <v>63</v>
      </c>
    </row>
    <row r="1387" spans="1:10" x14ac:dyDescent="0.25">
      <c r="A1387" t="s">
        <v>132</v>
      </c>
      <c r="B1387" t="s">
        <v>14</v>
      </c>
      <c r="C1387" s="12" t="s">
        <v>109</v>
      </c>
      <c r="D1387" t="s">
        <v>4</v>
      </c>
      <c r="E1387" t="s">
        <v>6</v>
      </c>
      <c r="F1387" t="s">
        <v>16</v>
      </c>
      <c r="G1387" t="s">
        <v>180</v>
      </c>
      <c r="H1387" s="94">
        <v>5</v>
      </c>
      <c r="I1387" t="s">
        <v>60</v>
      </c>
      <c r="J1387" t="s">
        <v>11</v>
      </c>
    </row>
    <row r="1388" spans="1:10" x14ac:dyDescent="0.25">
      <c r="A1388" t="s">
        <v>132</v>
      </c>
      <c r="B1388" t="s">
        <v>14</v>
      </c>
      <c r="C1388" s="12" t="s">
        <v>109</v>
      </c>
      <c r="D1388" t="s">
        <v>4</v>
      </c>
      <c r="E1388" t="s">
        <v>6</v>
      </c>
      <c r="F1388" t="s">
        <v>8</v>
      </c>
      <c r="G1388" t="s">
        <v>180</v>
      </c>
      <c r="H1388" s="94">
        <v>3</v>
      </c>
      <c r="I1388" t="s">
        <v>107</v>
      </c>
      <c r="J1388" t="s">
        <v>13</v>
      </c>
    </row>
    <row r="1389" spans="1:10" x14ac:dyDescent="0.25">
      <c r="A1389" t="s">
        <v>132</v>
      </c>
      <c r="B1389" t="s">
        <v>14</v>
      </c>
      <c r="C1389" s="12" t="s">
        <v>109</v>
      </c>
      <c r="D1389" t="s">
        <v>4</v>
      </c>
      <c r="E1389" t="s">
        <v>6</v>
      </c>
      <c r="F1389" t="s">
        <v>8</v>
      </c>
      <c r="G1389" t="s">
        <v>180</v>
      </c>
      <c r="H1389" s="94">
        <v>3</v>
      </c>
      <c r="I1389" t="s">
        <v>107</v>
      </c>
      <c r="J1389" t="s">
        <v>63</v>
      </c>
    </row>
    <row r="1390" spans="1:10" x14ac:dyDescent="0.25">
      <c r="A1390" t="s">
        <v>132</v>
      </c>
      <c r="B1390" t="s">
        <v>14</v>
      </c>
      <c r="C1390" s="12" t="s">
        <v>109</v>
      </c>
      <c r="D1390" t="s">
        <v>4</v>
      </c>
      <c r="E1390" t="s">
        <v>6</v>
      </c>
      <c r="F1390" t="s">
        <v>8</v>
      </c>
      <c r="G1390" t="s">
        <v>180</v>
      </c>
      <c r="H1390" s="94">
        <v>3</v>
      </c>
      <c r="I1390" t="s">
        <v>107</v>
      </c>
      <c r="J1390" t="s">
        <v>11</v>
      </c>
    </row>
    <row r="1391" spans="1:10" x14ac:dyDescent="0.25">
      <c r="A1391" t="s">
        <v>132</v>
      </c>
      <c r="B1391" t="s">
        <v>14</v>
      </c>
      <c r="C1391" s="12" t="s">
        <v>109</v>
      </c>
      <c r="D1391" t="s">
        <v>4</v>
      </c>
      <c r="E1391" t="s">
        <v>6</v>
      </c>
      <c r="F1391" t="s">
        <v>8</v>
      </c>
      <c r="G1391" t="s">
        <v>180</v>
      </c>
      <c r="H1391" s="94">
        <v>3</v>
      </c>
      <c r="I1391" t="s">
        <v>62</v>
      </c>
      <c r="J1391" t="s">
        <v>13</v>
      </c>
    </row>
    <row r="1392" spans="1:10" x14ac:dyDescent="0.25">
      <c r="A1392" t="s">
        <v>132</v>
      </c>
      <c r="B1392" t="s">
        <v>14</v>
      </c>
      <c r="C1392" s="12" t="s">
        <v>109</v>
      </c>
      <c r="D1392" t="s">
        <v>4</v>
      </c>
      <c r="E1392" t="s">
        <v>6</v>
      </c>
      <c r="F1392" t="s">
        <v>8</v>
      </c>
      <c r="G1392" t="s">
        <v>180</v>
      </c>
      <c r="H1392" s="94">
        <v>3</v>
      </c>
      <c r="I1392" t="s">
        <v>62</v>
      </c>
      <c r="J1392" t="s">
        <v>63</v>
      </c>
    </row>
    <row r="1393" spans="1:10" x14ac:dyDescent="0.25">
      <c r="A1393" t="s">
        <v>132</v>
      </c>
      <c r="B1393" t="s">
        <v>14</v>
      </c>
      <c r="C1393" s="12" t="s">
        <v>109</v>
      </c>
      <c r="D1393" t="s">
        <v>4</v>
      </c>
      <c r="E1393" t="s">
        <v>6</v>
      </c>
      <c r="F1393" t="s">
        <v>8</v>
      </c>
      <c r="G1393" t="s">
        <v>180</v>
      </c>
      <c r="H1393" s="94">
        <v>3</v>
      </c>
      <c r="I1393" t="s">
        <v>62</v>
      </c>
      <c r="J1393" t="s">
        <v>11</v>
      </c>
    </row>
    <row r="1394" spans="1:10" x14ac:dyDescent="0.25">
      <c r="A1394" t="s">
        <v>132</v>
      </c>
      <c r="B1394" t="s">
        <v>14</v>
      </c>
      <c r="C1394" s="12" t="s">
        <v>109</v>
      </c>
      <c r="D1394" t="s">
        <v>4</v>
      </c>
      <c r="E1394" t="s">
        <v>6</v>
      </c>
      <c r="F1394" t="s">
        <v>8</v>
      </c>
      <c r="G1394" t="s">
        <v>180</v>
      </c>
      <c r="H1394" s="94">
        <v>3</v>
      </c>
      <c r="I1394" t="s">
        <v>60</v>
      </c>
      <c r="J1394" t="s">
        <v>13</v>
      </c>
    </row>
    <row r="1395" spans="1:10" x14ac:dyDescent="0.25">
      <c r="A1395" t="s">
        <v>132</v>
      </c>
      <c r="B1395" t="s">
        <v>14</v>
      </c>
      <c r="C1395" s="12" t="s">
        <v>109</v>
      </c>
      <c r="D1395" t="s">
        <v>4</v>
      </c>
      <c r="E1395" t="s">
        <v>6</v>
      </c>
      <c r="F1395" t="s">
        <v>8</v>
      </c>
      <c r="G1395" t="s">
        <v>180</v>
      </c>
      <c r="H1395" s="94">
        <v>3</v>
      </c>
      <c r="I1395" t="s">
        <v>60</v>
      </c>
      <c r="J1395" t="s">
        <v>63</v>
      </c>
    </row>
    <row r="1396" spans="1:10" x14ac:dyDescent="0.25">
      <c r="A1396" t="s">
        <v>132</v>
      </c>
      <c r="B1396" t="s">
        <v>14</v>
      </c>
      <c r="C1396" s="12" t="s">
        <v>109</v>
      </c>
      <c r="D1396" t="s">
        <v>4</v>
      </c>
      <c r="E1396" t="s">
        <v>6</v>
      </c>
      <c r="F1396" t="s">
        <v>8</v>
      </c>
      <c r="G1396" t="s">
        <v>180</v>
      </c>
      <c r="H1396" s="94">
        <v>3</v>
      </c>
      <c r="I1396" t="s">
        <v>60</v>
      </c>
      <c r="J1396" t="s">
        <v>11</v>
      </c>
    </row>
    <row r="1397" spans="1:10" x14ac:dyDescent="0.25">
      <c r="A1397" t="s">
        <v>132</v>
      </c>
      <c r="B1397" t="s">
        <v>14</v>
      </c>
      <c r="C1397" s="12" t="s">
        <v>109</v>
      </c>
      <c r="D1397" t="s">
        <v>4</v>
      </c>
      <c r="E1397" t="s">
        <v>6</v>
      </c>
      <c r="F1397" t="s">
        <v>8</v>
      </c>
      <c r="G1397" t="s">
        <v>180</v>
      </c>
      <c r="H1397" s="94">
        <v>5</v>
      </c>
      <c r="I1397" t="s">
        <v>107</v>
      </c>
      <c r="J1397" t="s">
        <v>13</v>
      </c>
    </row>
    <row r="1398" spans="1:10" x14ac:dyDescent="0.25">
      <c r="A1398" t="s">
        <v>132</v>
      </c>
      <c r="B1398" t="s">
        <v>14</v>
      </c>
      <c r="C1398" s="12" t="s">
        <v>109</v>
      </c>
      <c r="D1398" t="s">
        <v>4</v>
      </c>
      <c r="E1398" t="s">
        <v>6</v>
      </c>
      <c r="F1398" t="s">
        <v>8</v>
      </c>
      <c r="G1398" t="s">
        <v>180</v>
      </c>
      <c r="H1398" s="94">
        <v>5</v>
      </c>
      <c r="I1398" t="s">
        <v>107</v>
      </c>
      <c r="J1398" t="s">
        <v>63</v>
      </c>
    </row>
    <row r="1399" spans="1:10" x14ac:dyDescent="0.25">
      <c r="A1399" t="s">
        <v>132</v>
      </c>
      <c r="B1399" t="s">
        <v>14</v>
      </c>
      <c r="C1399" s="12" t="s">
        <v>109</v>
      </c>
      <c r="D1399" t="s">
        <v>4</v>
      </c>
      <c r="E1399" t="s">
        <v>6</v>
      </c>
      <c r="F1399" t="s">
        <v>8</v>
      </c>
      <c r="G1399" t="s">
        <v>180</v>
      </c>
      <c r="H1399" s="94">
        <v>5</v>
      </c>
      <c r="I1399" t="s">
        <v>107</v>
      </c>
      <c r="J1399" t="s">
        <v>11</v>
      </c>
    </row>
    <row r="1400" spans="1:10" x14ac:dyDescent="0.25">
      <c r="A1400" t="s">
        <v>132</v>
      </c>
      <c r="B1400" t="s">
        <v>14</v>
      </c>
      <c r="C1400" s="12" t="s">
        <v>109</v>
      </c>
      <c r="D1400" t="s">
        <v>4</v>
      </c>
      <c r="E1400" t="s">
        <v>6</v>
      </c>
      <c r="F1400" t="s">
        <v>8</v>
      </c>
      <c r="G1400" t="s">
        <v>180</v>
      </c>
      <c r="H1400" s="94">
        <v>5</v>
      </c>
      <c r="I1400" t="s">
        <v>62</v>
      </c>
      <c r="J1400" t="s">
        <v>13</v>
      </c>
    </row>
    <row r="1401" spans="1:10" x14ac:dyDescent="0.25">
      <c r="A1401" t="s">
        <v>132</v>
      </c>
      <c r="B1401" t="s">
        <v>14</v>
      </c>
      <c r="C1401" s="12" t="s">
        <v>109</v>
      </c>
      <c r="D1401" t="s">
        <v>4</v>
      </c>
      <c r="E1401" t="s">
        <v>6</v>
      </c>
      <c r="F1401" t="s">
        <v>8</v>
      </c>
      <c r="G1401" t="s">
        <v>180</v>
      </c>
      <c r="H1401" s="94">
        <v>5</v>
      </c>
      <c r="I1401" t="s">
        <v>62</v>
      </c>
      <c r="J1401" t="s">
        <v>63</v>
      </c>
    </row>
    <row r="1402" spans="1:10" x14ac:dyDescent="0.25">
      <c r="A1402" t="s">
        <v>132</v>
      </c>
      <c r="B1402" t="s">
        <v>14</v>
      </c>
      <c r="C1402" s="12" t="s">
        <v>109</v>
      </c>
      <c r="D1402" t="s">
        <v>4</v>
      </c>
      <c r="E1402" t="s">
        <v>6</v>
      </c>
      <c r="F1402" t="s">
        <v>8</v>
      </c>
      <c r="G1402" t="s">
        <v>180</v>
      </c>
      <c r="H1402" s="94">
        <v>5</v>
      </c>
      <c r="I1402" t="s">
        <v>62</v>
      </c>
      <c r="J1402" t="s">
        <v>11</v>
      </c>
    </row>
    <row r="1403" spans="1:10" x14ac:dyDescent="0.25">
      <c r="A1403" t="s">
        <v>132</v>
      </c>
      <c r="B1403" t="s">
        <v>14</v>
      </c>
      <c r="C1403" s="12" t="s">
        <v>109</v>
      </c>
      <c r="D1403" t="s">
        <v>4</v>
      </c>
      <c r="E1403" t="s">
        <v>6</v>
      </c>
      <c r="F1403" t="s">
        <v>8</v>
      </c>
      <c r="G1403" t="s">
        <v>180</v>
      </c>
      <c r="H1403" s="94">
        <v>5</v>
      </c>
      <c r="I1403" t="s">
        <v>60</v>
      </c>
      <c r="J1403" t="s">
        <v>13</v>
      </c>
    </row>
    <row r="1404" spans="1:10" x14ac:dyDescent="0.25">
      <c r="A1404" t="s">
        <v>132</v>
      </c>
      <c r="B1404" t="s">
        <v>14</v>
      </c>
      <c r="C1404" s="12" t="s">
        <v>109</v>
      </c>
      <c r="D1404" t="s">
        <v>4</v>
      </c>
      <c r="E1404" t="s">
        <v>6</v>
      </c>
      <c r="F1404" t="s">
        <v>8</v>
      </c>
      <c r="G1404" t="s">
        <v>180</v>
      </c>
      <c r="H1404" s="94">
        <v>5</v>
      </c>
      <c r="I1404" t="s">
        <v>60</v>
      </c>
      <c r="J1404" t="s">
        <v>63</v>
      </c>
    </row>
    <row r="1405" spans="1:10" x14ac:dyDescent="0.25">
      <c r="A1405" t="s">
        <v>132</v>
      </c>
      <c r="B1405" t="s">
        <v>14</v>
      </c>
      <c r="C1405" s="12" t="s">
        <v>109</v>
      </c>
      <c r="D1405" t="s">
        <v>4</v>
      </c>
      <c r="E1405" t="s">
        <v>6</v>
      </c>
      <c r="F1405" t="s">
        <v>8</v>
      </c>
      <c r="G1405" t="s">
        <v>180</v>
      </c>
      <c r="H1405" s="94">
        <v>5</v>
      </c>
      <c r="I1405" t="s">
        <v>60</v>
      </c>
      <c r="J1405" t="s">
        <v>11</v>
      </c>
    </row>
    <row r="1406" spans="1:10" x14ac:dyDescent="0.25">
      <c r="A1406" t="s">
        <v>132</v>
      </c>
      <c r="B1406" t="s">
        <v>167</v>
      </c>
      <c r="C1406" s="12" t="s">
        <v>109</v>
      </c>
      <c r="D1406" t="s">
        <v>4</v>
      </c>
      <c r="E1406" t="s">
        <v>12</v>
      </c>
      <c r="F1406" t="s">
        <v>72</v>
      </c>
      <c r="G1406" t="s">
        <v>180</v>
      </c>
      <c r="H1406" s="94">
        <v>3</v>
      </c>
      <c r="I1406" t="s">
        <v>107</v>
      </c>
      <c r="J1406" t="s">
        <v>13</v>
      </c>
    </row>
    <row r="1407" spans="1:10" x14ac:dyDescent="0.25">
      <c r="A1407" t="s">
        <v>132</v>
      </c>
      <c r="B1407" t="s">
        <v>167</v>
      </c>
      <c r="C1407" s="12" t="s">
        <v>109</v>
      </c>
      <c r="D1407" t="s">
        <v>4</v>
      </c>
      <c r="E1407" t="s">
        <v>12</v>
      </c>
      <c r="F1407" t="s">
        <v>72</v>
      </c>
      <c r="G1407" t="s">
        <v>180</v>
      </c>
      <c r="H1407" s="94">
        <v>3</v>
      </c>
      <c r="I1407" t="s">
        <v>107</v>
      </c>
      <c r="J1407" t="s">
        <v>63</v>
      </c>
    </row>
    <row r="1408" spans="1:10" x14ac:dyDescent="0.25">
      <c r="A1408" t="s">
        <v>132</v>
      </c>
      <c r="B1408" t="s">
        <v>167</v>
      </c>
      <c r="C1408" s="12" t="s">
        <v>109</v>
      </c>
      <c r="D1408" t="s">
        <v>4</v>
      </c>
      <c r="E1408" t="s">
        <v>12</v>
      </c>
      <c r="F1408" t="s">
        <v>72</v>
      </c>
      <c r="G1408" t="s">
        <v>180</v>
      </c>
      <c r="H1408" s="94">
        <v>3</v>
      </c>
      <c r="I1408" t="s">
        <v>107</v>
      </c>
      <c r="J1408" t="s">
        <v>11</v>
      </c>
    </row>
    <row r="1409" spans="1:10" x14ac:dyDescent="0.25">
      <c r="A1409" t="s">
        <v>132</v>
      </c>
      <c r="B1409" t="s">
        <v>167</v>
      </c>
      <c r="C1409" s="12" t="s">
        <v>109</v>
      </c>
      <c r="D1409" t="s">
        <v>4</v>
      </c>
      <c r="E1409" t="s">
        <v>12</v>
      </c>
      <c r="F1409" t="s">
        <v>72</v>
      </c>
      <c r="G1409" t="s">
        <v>180</v>
      </c>
      <c r="H1409" s="94">
        <v>3</v>
      </c>
      <c r="I1409" t="s">
        <v>62</v>
      </c>
      <c r="J1409" t="s">
        <v>13</v>
      </c>
    </row>
    <row r="1410" spans="1:10" x14ac:dyDescent="0.25">
      <c r="A1410" t="s">
        <v>132</v>
      </c>
      <c r="B1410" t="s">
        <v>167</v>
      </c>
      <c r="C1410" s="12" t="s">
        <v>109</v>
      </c>
      <c r="D1410" t="s">
        <v>4</v>
      </c>
      <c r="E1410" t="s">
        <v>12</v>
      </c>
      <c r="F1410" t="s">
        <v>72</v>
      </c>
      <c r="G1410" t="s">
        <v>180</v>
      </c>
      <c r="H1410" s="94">
        <v>3</v>
      </c>
      <c r="I1410" t="s">
        <v>62</v>
      </c>
      <c r="J1410" t="s">
        <v>63</v>
      </c>
    </row>
    <row r="1411" spans="1:10" x14ac:dyDescent="0.25">
      <c r="A1411" t="s">
        <v>132</v>
      </c>
      <c r="B1411" t="s">
        <v>167</v>
      </c>
      <c r="C1411" s="12" t="s">
        <v>109</v>
      </c>
      <c r="D1411" t="s">
        <v>4</v>
      </c>
      <c r="E1411" t="s">
        <v>12</v>
      </c>
      <c r="F1411" t="s">
        <v>72</v>
      </c>
      <c r="G1411" t="s">
        <v>180</v>
      </c>
      <c r="H1411" s="94">
        <v>3</v>
      </c>
      <c r="I1411" t="s">
        <v>62</v>
      </c>
      <c r="J1411" t="s">
        <v>11</v>
      </c>
    </row>
    <row r="1412" spans="1:10" x14ac:dyDescent="0.25">
      <c r="A1412" t="s">
        <v>132</v>
      </c>
      <c r="B1412" t="s">
        <v>167</v>
      </c>
      <c r="C1412" s="12" t="s">
        <v>109</v>
      </c>
      <c r="D1412" t="s">
        <v>4</v>
      </c>
      <c r="E1412" t="s">
        <v>12</v>
      </c>
      <c r="F1412" t="s">
        <v>72</v>
      </c>
      <c r="G1412" t="s">
        <v>180</v>
      </c>
      <c r="H1412" s="94">
        <v>3</v>
      </c>
      <c r="I1412" t="s">
        <v>60</v>
      </c>
      <c r="J1412" t="s">
        <v>13</v>
      </c>
    </row>
    <row r="1413" spans="1:10" x14ac:dyDescent="0.25">
      <c r="A1413" t="s">
        <v>132</v>
      </c>
      <c r="B1413" t="s">
        <v>167</v>
      </c>
      <c r="C1413" s="12" t="s">
        <v>109</v>
      </c>
      <c r="D1413" t="s">
        <v>4</v>
      </c>
      <c r="E1413" t="s">
        <v>12</v>
      </c>
      <c r="F1413" t="s">
        <v>72</v>
      </c>
      <c r="G1413" t="s">
        <v>180</v>
      </c>
      <c r="H1413" s="94">
        <v>3</v>
      </c>
      <c r="I1413" t="s">
        <v>60</v>
      </c>
      <c r="J1413" t="s">
        <v>63</v>
      </c>
    </row>
    <row r="1414" spans="1:10" x14ac:dyDescent="0.25">
      <c r="A1414" t="s">
        <v>132</v>
      </c>
      <c r="B1414" t="s">
        <v>167</v>
      </c>
      <c r="C1414" s="12" t="s">
        <v>109</v>
      </c>
      <c r="D1414" t="s">
        <v>4</v>
      </c>
      <c r="E1414" t="s">
        <v>12</v>
      </c>
      <c r="F1414" t="s">
        <v>72</v>
      </c>
      <c r="G1414" t="s">
        <v>180</v>
      </c>
      <c r="H1414" s="94">
        <v>3</v>
      </c>
      <c r="I1414" t="s">
        <v>60</v>
      </c>
      <c r="J1414" t="s">
        <v>11</v>
      </c>
    </row>
    <row r="1415" spans="1:10" x14ac:dyDescent="0.25">
      <c r="A1415" t="s">
        <v>132</v>
      </c>
      <c r="B1415" t="s">
        <v>167</v>
      </c>
      <c r="C1415" s="12" t="s">
        <v>109</v>
      </c>
      <c r="D1415" t="s">
        <v>4</v>
      </c>
      <c r="E1415" t="s">
        <v>12</v>
      </c>
      <c r="F1415" t="s">
        <v>72</v>
      </c>
      <c r="G1415" t="s">
        <v>180</v>
      </c>
      <c r="H1415" s="94">
        <v>5</v>
      </c>
      <c r="I1415" t="s">
        <v>107</v>
      </c>
      <c r="J1415" t="s">
        <v>13</v>
      </c>
    </row>
    <row r="1416" spans="1:10" x14ac:dyDescent="0.25">
      <c r="A1416" t="s">
        <v>132</v>
      </c>
      <c r="B1416" t="s">
        <v>167</v>
      </c>
      <c r="C1416" s="12" t="s">
        <v>109</v>
      </c>
      <c r="D1416" t="s">
        <v>4</v>
      </c>
      <c r="E1416" t="s">
        <v>12</v>
      </c>
      <c r="F1416" t="s">
        <v>72</v>
      </c>
      <c r="G1416" t="s">
        <v>180</v>
      </c>
      <c r="H1416" s="94">
        <v>5</v>
      </c>
      <c r="I1416" t="s">
        <v>107</v>
      </c>
      <c r="J1416" t="s">
        <v>63</v>
      </c>
    </row>
    <row r="1417" spans="1:10" x14ac:dyDescent="0.25">
      <c r="A1417" t="s">
        <v>132</v>
      </c>
      <c r="B1417" t="s">
        <v>167</v>
      </c>
      <c r="C1417" s="12" t="s">
        <v>109</v>
      </c>
      <c r="D1417" t="s">
        <v>4</v>
      </c>
      <c r="E1417" t="s">
        <v>12</v>
      </c>
      <c r="F1417" t="s">
        <v>72</v>
      </c>
      <c r="G1417" t="s">
        <v>180</v>
      </c>
      <c r="H1417" s="94">
        <v>5</v>
      </c>
      <c r="I1417" t="s">
        <v>107</v>
      </c>
      <c r="J1417" t="s">
        <v>11</v>
      </c>
    </row>
    <row r="1418" spans="1:10" x14ac:dyDescent="0.25">
      <c r="A1418" t="s">
        <v>132</v>
      </c>
      <c r="B1418" t="s">
        <v>167</v>
      </c>
      <c r="C1418" s="12" t="s">
        <v>109</v>
      </c>
      <c r="D1418" t="s">
        <v>4</v>
      </c>
      <c r="E1418" t="s">
        <v>12</v>
      </c>
      <c r="F1418" t="s">
        <v>72</v>
      </c>
      <c r="G1418" t="s">
        <v>180</v>
      </c>
      <c r="H1418" s="94">
        <v>5</v>
      </c>
      <c r="I1418" t="s">
        <v>62</v>
      </c>
      <c r="J1418" t="s">
        <v>13</v>
      </c>
    </row>
    <row r="1419" spans="1:10" x14ac:dyDescent="0.25">
      <c r="A1419" t="s">
        <v>132</v>
      </c>
      <c r="B1419" t="s">
        <v>167</v>
      </c>
      <c r="C1419" s="12" t="s">
        <v>109</v>
      </c>
      <c r="D1419" t="s">
        <v>4</v>
      </c>
      <c r="E1419" t="s">
        <v>12</v>
      </c>
      <c r="F1419" t="s">
        <v>72</v>
      </c>
      <c r="G1419" t="s">
        <v>180</v>
      </c>
      <c r="H1419" s="94">
        <v>5</v>
      </c>
      <c r="I1419" t="s">
        <v>62</v>
      </c>
      <c r="J1419" t="s">
        <v>63</v>
      </c>
    </row>
    <row r="1420" spans="1:10" x14ac:dyDescent="0.25">
      <c r="A1420" t="s">
        <v>132</v>
      </c>
      <c r="B1420" t="s">
        <v>167</v>
      </c>
      <c r="C1420" s="12" t="s">
        <v>109</v>
      </c>
      <c r="D1420" t="s">
        <v>4</v>
      </c>
      <c r="E1420" t="s">
        <v>12</v>
      </c>
      <c r="F1420" t="s">
        <v>72</v>
      </c>
      <c r="G1420" t="s">
        <v>180</v>
      </c>
      <c r="H1420" s="94">
        <v>5</v>
      </c>
      <c r="I1420" t="s">
        <v>62</v>
      </c>
      <c r="J1420" t="s">
        <v>11</v>
      </c>
    </row>
    <row r="1421" spans="1:10" x14ac:dyDescent="0.25">
      <c r="A1421" t="s">
        <v>132</v>
      </c>
      <c r="B1421" t="s">
        <v>167</v>
      </c>
      <c r="C1421" s="12" t="s">
        <v>109</v>
      </c>
      <c r="D1421" t="s">
        <v>4</v>
      </c>
      <c r="E1421" t="s">
        <v>12</v>
      </c>
      <c r="F1421" t="s">
        <v>72</v>
      </c>
      <c r="G1421" t="s">
        <v>180</v>
      </c>
      <c r="H1421" s="94">
        <v>5</v>
      </c>
      <c r="I1421" t="s">
        <v>60</v>
      </c>
      <c r="J1421" t="s">
        <v>13</v>
      </c>
    </row>
    <row r="1422" spans="1:10" x14ac:dyDescent="0.25">
      <c r="A1422" t="s">
        <v>132</v>
      </c>
      <c r="B1422" t="s">
        <v>167</v>
      </c>
      <c r="C1422" s="12" t="s">
        <v>109</v>
      </c>
      <c r="D1422" t="s">
        <v>4</v>
      </c>
      <c r="E1422" t="s">
        <v>12</v>
      </c>
      <c r="F1422" t="s">
        <v>72</v>
      </c>
      <c r="G1422" t="s">
        <v>180</v>
      </c>
      <c r="H1422" s="94">
        <v>5</v>
      </c>
      <c r="I1422" t="s">
        <v>60</v>
      </c>
      <c r="J1422" t="s">
        <v>63</v>
      </c>
    </row>
    <row r="1423" spans="1:10" x14ac:dyDescent="0.25">
      <c r="A1423" t="s">
        <v>132</v>
      </c>
      <c r="B1423" t="s">
        <v>167</v>
      </c>
      <c r="C1423" s="12" t="s">
        <v>109</v>
      </c>
      <c r="D1423" t="s">
        <v>4</v>
      </c>
      <c r="E1423" t="s">
        <v>12</v>
      </c>
      <c r="F1423" t="s">
        <v>72</v>
      </c>
      <c r="G1423" t="s">
        <v>180</v>
      </c>
      <c r="H1423" s="94">
        <v>5</v>
      </c>
      <c r="I1423" t="s">
        <v>60</v>
      </c>
      <c r="J1423" t="s">
        <v>11</v>
      </c>
    </row>
    <row r="1424" spans="1:10" x14ac:dyDescent="0.25">
      <c r="A1424" t="s">
        <v>132</v>
      </c>
      <c r="B1424" t="s">
        <v>167</v>
      </c>
      <c r="C1424" s="12" t="s">
        <v>109</v>
      </c>
      <c r="D1424" t="s">
        <v>4</v>
      </c>
      <c r="E1424" t="s">
        <v>12</v>
      </c>
      <c r="F1424" t="s">
        <v>16</v>
      </c>
      <c r="G1424" t="s">
        <v>180</v>
      </c>
      <c r="H1424" s="94">
        <v>3</v>
      </c>
      <c r="I1424" t="s">
        <v>107</v>
      </c>
      <c r="J1424" t="s">
        <v>13</v>
      </c>
    </row>
    <row r="1425" spans="1:10" x14ac:dyDescent="0.25">
      <c r="A1425" t="s">
        <v>132</v>
      </c>
      <c r="B1425" t="s">
        <v>167</v>
      </c>
      <c r="C1425" s="12" t="s">
        <v>109</v>
      </c>
      <c r="D1425" t="s">
        <v>4</v>
      </c>
      <c r="E1425" t="s">
        <v>12</v>
      </c>
      <c r="F1425" t="s">
        <v>16</v>
      </c>
      <c r="G1425" t="s">
        <v>180</v>
      </c>
      <c r="H1425" s="94">
        <v>3</v>
      </c>
      <c r="I1425" t="s">
        <v>107</v>
      </c>
      <c r="J1425" t="s">
        <v>63</v>
      </c>
    </row>
    <row r="1426" spans="1:10" x14ac:dyDescent="0.25">
      <c r="A1426" t="s">
        <v>132</v>
      </c>
      <c r="B1426" t="s">
        <v>167</v>
      </c>
      <c r="C1426" s="12" t="s">
        <v>109</v>
      </c>
      <c r="D1426" t="s">
        <v>4</v>
      </c>
      <c r="E1426" t="s">
        <v>12</v>
      </c>
      <c r="F1426" t="s">
        <v>16</v>
      </c>
      <c r="G1426" t="s">
        <v>180</v>
      </c>
      <c r="H1426" s="94">
        <v>3</v>
      </c>
      <c r="I1426" t="s">
        <v>107</v>
      </c>
      <c r="J1426" t="s">
        <v>11</v>
      </c>
    </row>
    <row r="1427" spans="1:10" x14ac:dyDescent="0.25">
      <c r="A1427" t="s">
        <v>132</v>
      </c>
      <c r="B1427" t="s">
        <v>167</v>
      </c>
      <c r="C1427" s="12" t="s">
        <v>109</v>
      </c>
      <c r="D1427" t="s">
        <v>4</v>
      </c>
      <c r="E1427" t="s">
        <v>12</v>
      </c>
      <c r="F1427" t="s">
        <v>16</v>
      </c>
      <c r="G1427" t="s">
        <v>180</v>
      </c>
      <c r="H1427" s="94">
        <v>3</v>
      </c>
      <c r="I1427" t="s">
        <v>62</v>
      </c>
      <c r="J1427" t="s">
        <v>13</v>
      </c>
    </row>
    <row r="1428" spans="1:10" x14ac:dyDescent="0.25">
      <c r="A1428" t="s">
        <v>132</v>
      </c>
      <c r="B1428" t="s">
        <v>167</v>
      </c>
      <c r="C1428" s="12" t="s">
        <v>109</v>
      </c>
      <c r="D1428" t="s">
        <v>4</v>
      </c>
      <c r="E1428" t="s">
        <v>12</v>
      </c>
      <c r="F1428" t="s">
        <v>16</v>
      </c>
      <c r="G1428" t="s">
        <v>180</v>
      </c>
      <c r="H1428" s="94">
        <v>3</v>
      </c>
      <c r="I1428" t="s">
        <v>62</v>
      </c>
      <c r="J1428" t="s">
        <v>63</v>
      </c>
    </row>
    <row r="1429" spans="1:10" x14ac:dyDescent="0.25">
      <c r="A1429" t="s">
        <v>132</v>
      </c>
      <c r="B1429" t="s">
        <v>167</v>
      </c>
      <c r="C1429" s="12" t="s">
        <v>109</v>
      </c>
      <c r="D1429" t="s">
        <v>4</v>
      </c>
      <c r="E1429" t="s">
        <v>12</v>
      </c>
      <c r="F1429" t="s">
        <v>16</v>
      </c>
      <c r="G1429" t="s">
        <v>180</v>
      </c>
      <c r="H1429" s="94">
        <v>3</v>
      </c>
      <c r="I1429" t="s">
        <v>62</v>
      </c>
      <c r="J1429" t="s">
        <v>11</v>
      </c>
    </row>
    <row r="1430" spans="1:10" x14ac:dyDescent="0.25">
      <c r="A1430" t="s">
        <v>132</v>
      </c>
      <c r="B1430" t="s">
        <v>167</v>
      </c>
      <c r="C1430" s="12" t="s">
        <v>109</v>
      </c>
      <c r="D1430" t="s">
        <v>4</v>
      </c>
      <c r="E1430" t="s">
        <v>12</v>
      </c>
      <c r="F1430" t="s">
        <v>16</v>
      </c>
      <c r="G1430" t="s">
        <v>180</v>
      </c>
      <c r="H1430" s="94">
        <v>3</v>
      </c>
      <c r="I1430" t="s">
        <v>60</v>
      </c>
      <c r="J1430" t="s">
        <v>13</v>
      </c>
    </row>
    <row r="1431" spans="1:10" x14ac:dyDescent="0.25">
      <c r="A1431" t="s">
        <v>132</v>
      </c>
      <c r="B1431" t="s">
        <v>167</v>
      </c>
      <c r="C1431" s="12" t="s">
        <v>109</v>
      </c>
      <c r="D1431" t="s">
        <v>4</v>
      </c>
      <c r="E1431" t="s">
        <v>12</v>
      </c>
      <c r="F1431" t="s">
        <v>16</v>
      </c>
      <c r="G1431" t="s">
        <v>180</v>
      </c>
      <c r="H1431" s="94">
        <v>3</v>
      </c>
      <c r="I1431" t="s">
        <v>60</v>
      </c>
      <c r="J1431" t="s">
        <v>63</v>
      </c>
    </row>
    <row r="1432" spans="1:10" x14ac:dyDescent="0.25">
      <c r="A1432" t="s">
        <v>132</v>
      </c>
      <c r="B1432" t="s">
        <v>167</v>
      </c>
      <c r="C1432" s="12" t="s">
        <v>109</v>
      </c>
      <c r="D1432" t="s">
        <v>4</v>
      </c>
      <c r="E1432" t="s">
        <v>12</v>
      </c>
      <c r="F1432" t="s">
        <v>16</v>
      </c>
      <c r="G1432" t="s">
        <v>180</v>
      </c>
      <c r="H1432" s="94">
        <v>3</v>
      </c>
      <c r="I1432" t="s">
        <v>60</v>
      </c>
      <c r="J1432" t="s">
        <v>11</v>
      </c>
    </row>
    <row r="1433" spans="1:10" x14ac:dyDescent="0.25">
      <c r="A1433" t="s">
        <v>132</v>
      </c>
      <c r="B1433" t="s">
        <v>167</v>
      </c>
      <c r="C1433" s="12" t="s">
        <v>109</v>
      </c>
      <c r="D1433" t="s">
        <v>4</v>
      </c>
      <c r="E1433" t="s">
        <v>12</v>
      </c>
      <c r="F1433" t="s">
        <v>16</v>
      </c>
      <c r="G1433" t="s">
        <v>180</v>
      </c>
      <c r="H1433" s="94">
        <v>5</v>
      </c>
      <c r="I1433" t="s">
        <v>107</v>
      </c>
      <c r="J1433" t="s">
        <v>13</v>
      </c>
    </row>
    <row r="1434" spans="1:10" x14ac:dyDescent="0.25">
      <c r="A1434" t="s">
        <v>132</v>
      </c>
      <c r="B1434" t="s">
        <v>167</v>
      </c>
      <c r="C1434" s="12" t="s">
        <v>109</v>
      </c>
      <c r="D1434" t="s">
        <v>4</v>
      </c>
      <c r="E1434" t="s">
        <v>12</v>
      </c>
      <c r="F1434" t="s">
        <v>16</v>
      </c>
      <c r="G1434" t="s">
        <v>180</v>
      </c>
      <c r="H1434" s="94">
        <v>5</v>
      </c>
      <c r="I1434" t="s">
        <v>107</v>
      </c>
      <c r="J1434" t="s">
        <v>63</v>
      </c>
    </row>
    <row r="1435" spans="1:10" x14ac:dyDescent="0.25">
      <c r="A1435" t="s">
        <v>132</v>
      </c>
      <c r="B1435" t="s">
        <v>167</v>
      </c>
      <c r="C1435" s="12" t="s">
        <v>109</v>
      </c>
      <c r="D1435" t="s">
        <v>4</v>
      </c>
      <c r="E1435" t="s">
        <v>12</v>
      </c>
      <c r="F1435" t="s">
        <v>16</v>
      </c>
      <c r="G1435" t="s">
        <v>180</v>
      </c>
      <c r="H1435" s="94">
        <v>5</v>
      </c>
      <c r="I1435" t="s">
        <v>107</v>
      </c>
      <c r="J1435" t="s">
        <v>11</v>
      </c>
    </row>
    <row r="1436" spans="1:10" x14ac:dyDescent="0.25">
      <c r="A1436" t="s">
        <v>132</v>
      </c>
      <c r="B1436" t="s">
        <v>167</v>
      </c>
      <c r="C1436" s="12" t="s">
        <v>109</v>
      </c>
      <c r="D1436" t="s">
        <v>4</v>
      </c>
      <c r="E1436" t="s">
        <v>12</v>
      </c>
      <c r="F1436" t="s">
        <v>16</v>
      </c>
      <c r="G1436" t="s">
        <v>180</v>
      </c>
      <c r="H1436" s="94">
        <v>5</v>
      </c>
      <c r="I1436" t="s">
        <v>62</v>
      </c>
      <c r="J1436" t="s">
        <v>13</v>
      </c>
    </row>
    <row r="1437" spans="1:10" x14ac:dyDescent="0.25">
      <c r="A1437" t="s">
        <v>132</v>
      </c>
      <c r="B1437" t="s">
        <v>167</v>
      </c>
      <c r="C1437" s="12" t="s">
        <v>109</v>
      </c>
      <c r="D1437" t="s">
        <v>4</v>
      </c>
      <c r="E1437" t="s">
        <v>12</v>
      </c>
      <c r="F1437" t="s">
        <v>16</v>
      </c>
      <c r="G1437" t="s">
        <v>180</v>
      </c>
      <c r="H1437" s="94">
        <v>5</v>
      </c>
      <c r="I1437" t="s">
        <v>62</v>
      </c>
      <c r="J1437" t="s">
        <v>63</v>
      </c>
    </row>
    <row r="1438" spans="1:10" x14ac:dyDescent="0.25">
      <c r="A1438" t="s">
        <v>132</v>
      </c>
      <c r="B1438" t="s">
        <v>167</v>
      </c>
      <c r="C1438" s="12" t="s">
        <v>109</v>
      </c>
      <c r="D1438" t="s">
        <v>4</v>
      </c>
      <c r="E1438" t="s">
        <v>12</v>
      </c>
      <c r="F1438" t="s">
        <v>16</v>
      </c>
      <c r="G1438" t="s">
        <v>180</v>
      </c>
      <c r="H1438" s="94">
        <v>5</v>
      </c>
      <c r="I1438" t="s">
        <v>62</v>
      </c>
      <c r="J1438" t="s">
        <v>11</v>
      </c>
    </row>
    <row r="1439" spans="1:10" x14ac:dyDescent="0.25">
      <c r="A1439" t="s">
        <v>132</v>
      </c>
      <c r="B1439" t="s">
        <v>167</v>
      </c>
      <c r="C1439" s="12" t="s">
        <v>109</v>
      </c>
      <c r="D1439" t="s">
        <v>4</v>
      </c>
      <c r="E1439" t="s">
        <v>12</v>
      </c>
      <c r="F1439" t="s">
        <v>16</v>
      </c>
      <c r="G1439" t="s">
        <v>180</v>
      </c>
      <c r="H1439" s="94">
        <v>5</v>
      </c>
      <c r="I1439" t="s">
        <v>60</v>
      </c>
      <c r="J1439" t="s">
        <v>13</v>
      </c>
    </row>
    <row r="1440" spans="1:10" x14ac:dyDescent="0.25">
      <c r="A1440" t="s">
        <v>132</v>
      </c>
      <c r="B1440" t="s">
        <v>167</v>
      </c>
      <c r="C1440" s="12" t="s">
        <v>109</v>
      </c>
      <c r="D1440" t="s">
        <v>4</v>
      </c>
      <c r="E1440" t="s">
        <v>12</v>
      </c>
      <c r="F1440" t="s">
        <v>16</v>
      </c>
      <c r="G1440" t="s">
        <v>180</v>
      </c>
      <c r="H1440" s="94">
        <v>5</v>
      </c>
      <c r="I1440" t="s">
        <v>60</v>
      </c>
      <c r="J1440" t="s">
        <v>63</v>
      </c>
    </row>
    <row r="1441" spans="1:10" x14ac:dyDescent="0.25">
      <c r="A1441" t="s">
        <v>132</v>
      </c>
      <c r="B1441" t="s">
        <v>167</v>
      </c>
      <c r="C1441" s="12" t="s">
        <v>109</v>
      </c>
      <c r="D1441" t="s">
        <v>4</v>
      </c>
      <c r="E1441" t="s">
        <v>12</v>
      </c>
      <c r="F1441" t="s">
        <v>16</v>
      </c>
      <c r="G1441" t="s">
        <v>180</v>
      </c>
      <c r="H1441" s="94">
        <v>5</v>
      </c>
      <c r="I1441" t="s">
        <v>60</v>
      </c>
      <c r="J1441" t="s">
        <v>11</v>
      </c>
    </row>
    <row r="1442" spans="1:10" x14ac:dyDescent="0.25">
      <c r="A1442" t="s">
        <v>132</v>
      </c>
      <c r="B1442" t="s">
        <v>167</v>
      </c>
      <c r="C1442" s="12" t="s">
        <v>109</v>
      </c>
      <c r="D1442" t="s">
        <v>4</v>
      </c>
      <c r="E1442" t="s">
        <v>12</v>
      </c>
      <c r="F1442" t="s">
        <v>8</v>
      </c>
      <c r="G1442" t="s">
        <v>180</v>
      </c>
      <c r="H1442" s="94">
        <v>3</v>
      </c>
      <c r="I1442" t="s">
        <v>107</v>
      </c>
      <c r="J1442" t="s">
        <v>13</v>
      </c>
    </row>
    <row r="1443" spans="1:10" x14ac:dyDescent="0.25">
      <c r="A1443" t="s">
        <v>132</v>
      </c>
      <c r="B1443" t="s">
        <v>167</v>
      </c>
      <c r="C1443" s="12" t="s">
        <v>109</v>
      </c>
      <c r="D1443" t="s">
        <v>4</v>
      </c>
      <c r="E1443" t="s">
        <v>12</v>
      </c>
      <c r="F1443" t="s">
        <v>8</v>
      </c>
      <c r="G1443" t="s">
        <v>180</v>
      </c>
      <c r="H1443" s="94">
        <v>3</v>
      </c>
      <c r="I1443" t="s">
        <v>107</v>
      </c>
      <c r="J1443" t="s">
        <v>63</v>
      </c>
    </row>
    <row r="1444" spans="1:10" x14ac:dyDescent="0.25">
      <c r="A1444" t="s">
        <v>132</v>
      </c>
      <c r="B1444" t="s">
        <v>167</v>
      </c>
      <c r="C1444" s="12" t="s">
        <v>109</v>
      </c>
      <c r="D1444" t="s">
        <v>4</v>
      </c>
      <c r="E1444" t="s">
        <v>12</v>
      </c>
      <c r="F1444" t="s">
        <v>8</v>
      </c>
      <c r="G1444" t="s">
        <v>180</v>
      </c>
      <c r="H1444" s="94">
        <v>3</v>
      </c>
      <c r="I1444" t="s">
        <v>107</v>
      </c>
      <c r="J1444" t="s">
        <v>11</v>
      </c>
    </row>
    <row r="1445" spans="1:10" x14ac:dyDescent="0.25">
      <c r="A1445" t="s">
        <v>132</v>
      </c>
      <c r="B1445" t="s">
        <v>167</v>
      </c>
      <c r="C1445" s="12" t="s">
        <v>109</v>
      </c>
      <c r="D1445" t="s">
        <v>4</v>
      </c>
      <c r="E1445" t="s">
        <v>12</v>
      </c>
      <c r="F1445" t="s">
        <v>8</v>
      </c>
      <c r="G1445" t="s">
        <v>180</v>
      </c>
      <c r="H1445" s="94">
        <v>3</v>
      </c>
      <c r="I1445" t="s">
        <v>62</v>
      </c>
      <c r="J1445" t="s">
        <v>13</v>
      </c>
    </row>
    <row r="1446" spans="1:10" x14ac:dyDescent="0.25">
      <c r="A1446" t="s">
        <v>132</v>
      </c>
      <c r="B1446" t="s">
        <v>167</v>
      </c>
      <c r="C1446" s="12" t="s">
        <v>109</v>
      </c>
      <c r="D1446" t="s">
        <v>4</v>
      </c>
      <c r="E1446" t="s">
        <v>12</v>
      </c>
      <c r="F1446" t="s">
        <v>8</v>
      </c>
      <c r="G1446" t="s">
        <v>180</v>
      </c>
      <c r="H1446" s="94">
        <v>3</v>
      </c>
      <c r="I1446" t="s">
        <v>62</v>
      </c>
      <c r="J1446" t="s">
        <v>63</v>
      </c>
    </row>
    <row r="1447" spans="1:10" x14ac:dyDescent="0.25">
      <c r="A1447" t="s">
        <v>132</v>
      </c>
      <c r="B1447" t="s">
        <v>167</v>
      </c>
      <c r="C1447" s="12" t="s">
        <v>109</v>
      </c>
      <c r="D1447" t="s">
        <v>4</v>
      </c>
      <c r="E1447" t="s">
        <v>12</v>
      </c>
      <c r="F1447" t="s">
        <v>8</v>
      </c>
      <c r="G1447" t="s">
        <v>180</v>
      </c>
      <c r="H1447" s="94">
        <v>3</v>
      </c>
      <c r="I1447" t="s">
        <v>62</v>
      </c>
      <c r="J1447" t="s">
        <v>11</v>
      </c>
    </row>
    <row r="1448" spans="1:10" x14ac:dyDescent="0.25">
      <c r="A1448" t="s">
        <v>132</v>
      </c>
      <c r="B1448" t="s">
        <v>167</v>
      </c>
      <c r="C1448" s="12" t="s">
        <v>109</v>
      </c>
      <c r="D1448" t="s">
        <v>4</v>
      </c>
      <c r="E1448" t="s">
        <v>12</v>
      </c>
      <c r="F1448" t="s">
        <v>8</v>
      </c>
      <c r="G1448" t="s">
        <v>180</v>
      </c>
      <c r="H1448" s="94">
        <v>3</v>
      </c>
      <c r="I1448" t="s">
        <v>60</v>
      </c>
      <c r="J1448" t="s">
        <v>13</v>
      </c>
    </row>
    <row r="1449" spans="1:10" x14ac:dyDescent="0.25">
      <c r="A1449" t="s">
        <v>132</v>
      </c>
      <c r="B1449" t="s">
        <v>167</v>
      </c>
      <c r="C1449" s="12" t="s">
        <v>109</v>
      </c>
      <c r="D1449" t="s">
        <v>4</v>
      </c>
      <c r="E1449" t="s">
        <v>12</v>
      </c>
      <c r="F1449" t="s">
        <v>8</v>
      </c>
      <c r="G1449" t="s">
        <v>180</v>
      </c>
      <c r="H1449" s="94">
        <v>3</v>
      </c>
      <c r="I1449" t="s">
        <v>60</v>
      </c>
      <c r="J1449" t="s">
        <v>63</v>
      </c>
    </row>
    <row r="1450" spans="1:10" x14ac:dyDescent="0.25">
      <c r="A1450" t="s">
        <v>132</v>
      </c>
      <c r="B1450" t="s">
        <v>167</v>
      </c>
      <c r="C1450" s="12" t="s">
        <v>109</v>
      </c>
      <c r="D1450" t="s">
        <v>4</v>
      </c>
      <c r="E1450" t="s">
        <v>12</v>
      </c>
      <c r="F1450" t="s">
        <v>8</v>
      </c>
      <c r="G1450" t="s">
        <v>180</v>
      </c>
      <c r="H1450" s="94">
        <v>3</v>
      </c>
      <c r="I1450" t="s">
        <v>60</v>
      </c>
      <c r="J1450" t="s">
        <v>11</v>
      </c>
    </row>
    <row r="1451" spans="1:10" x14ac:dyDescent="0.25">
      <c r="A1451" t="s">
        <v>132</v>
      </c>
      <c r="B1451" t="s">
        <v>167</v>
      </c>
      <c r="C1451" s="12" t="s">
        <v>109</v>
      </c>
      <c r="D1451" t="s">
        <v>4</v>
      </c>
      <c r="E1451" t="s">
        <v>12</v>
      </c>
      <c r="F1451" t="s">
        <v>8</v>
      </c>
      <c r="G1451" t="s">
        <v>180</v>
      </c>
      <c r="H1451" s="94">
        <v>5</v>
      </c>
      <c r="I1451" t="s">
        <v>107</v>
      </c>
      <c r="J1451" t="s">
        <v>13</v>
      </c>
    </row>
    <row r="1452" spans="1:10" x14ac:dyDescent="0.25">
      <c r="A1452" t="s">
        <v>132</v>
      </c>
      <c r="B1452" t="s">
        <v>167</v>
      </c>
      <c r="C1452" s="12" t="s">
        <v>109</v>
      </c>
      <c r="D1452" t="s">
        <v>4</v>
      </c>
      <c r="E1452" t="s">
        <v>12</v>
      </c>
      <c r="F1452" t="s">
        <v>8</v>
      </c>
      <c r="G1452" t="s">
        <v>180</v>
      </c>
      <c r="H1452" s="94">
        <v>5</v>
      </c>
      <c r="I1452" t="s">
        <v>107</v>
      </c>
      <c r="J1452" t="s">
        <v>63</v>
      </c>
    </row>
    <row r="1453" spans="1:10" x14ac:dyDescent="0.25">
      <c r="A1453" t="s">
        <v>132</v>
      </c>
      <c r="B1453" t="s">
        <v>167</v>
      </c>
      <c r="C1453" s="12" t="s">
        <v>109</v>
      </c>
      <c r="D1453" t="s">
        <v>4</v>
      </c>
      <c r="E1453" t="s">
        <v>12</v>
      </c>
      <c r="F1453" t="s">
        <v>8</v>
      </c>
      <c r="G1453" t="s">
        <v>180</v>
      </c>
      <c r="H1453" s="94">
        <v>5</v>
      </c>
      <c r="I1453" t="s">
        <v>107</v>
      </c>
      <c r="J1453" t="s">
        <v>11</v>
      </c>
    </row>
    <row r="1454" spans="1:10" x14ac:dyDescent="0.25">
      <c r="A1454" t="s">
        <v>132</v>
      </c>
      <c r="B1454" t="s">
        <v>167</v>
      </c>
      <c r="C1454" s="12" t="s">
        <v>109</v>
      </c>
      <c r="D1454" t="s">
        <v>4</v>
      </c>
      <c r="E1454" t="s">
        <v>12</v>
      </c>
      <c r="F1454" t="s">
        <v>8</v>
      </c>
      <c r="G1454" t="s">
        <v>180</v>
      </c>
      <c r="H1454" s="94">
        <v>5</v>
      </c>
      <c r="I1454" t="s">
        <v>62</v>
      </c>
      <c r="J1454" t="s">
        <v>13</v>
      </c>
    </row>
    <row r="1455" spans="1:10" x14ac:dyDescent="0.25">
      <c r="A1455" t="s">
        <v>132</v>
      </c>
      <c r="B1455" t="s">
        <v>167</v>
      </c>
      <c r="C1455" s="12" t="s">
        <v>109</v>
      </c>
      <c r="D1455" t="s">
        <v>4</v>
      </c>
      <c r="E1455" t="s">
        <v>12</v>
      </c>
      <c r="F1455" t="s">
        <v>8</v>
      </c>
      <c r="G1455" t="s">
        <v>180</v>
      </c>
      <c r="H1455" s="94">
        <v>5</v>
      </c>
      <c r="I1455" t="s">
        <v>62</v>
      </c>
      <c r="J1455" t="s">
        <v>63</v>
      </c>
    </row>
    <row r="1456" spans="1:10" x14ac:dyDescent="0.25">
      <c r="A1456" t="s">
        <v>132</v>
      </c>
      <c r="B1456" t="s">
        <v>167</v>
      </c>
      <c r="C1456" s="12" t="s">
        <v>109</v>
      </c>
      <c r="D1456" t="s">
        <v>4</v>
      </c>
      <c r="E1456" t="s">
        <v>12</v>
      </c>
      <c r="F1456" t="s">
        <v>8</v>
      </c>
      <c r="G1456" t="s">
        <v>180</v>
      </c>
      <c r="H1456" s="94">
        <v>5</v>
      </c>
      <c r="I1456" t="s">
        <v>62</v>
      </c>
      <c r="J1456" t="s">
        <v>11</v>
      </c>
    </row>
    <row r="1457" spans="1:10" x14ac:dyDescent="0.25">
      <c r="A1457" t="s">
        <v>132</v>
      </c>
      <c r="B1457" t="s">
        <v>167</v>
      </c>
      <c r="C1457" s="12" t="s">
        <v>109</v>
      </c>
      <c r="D1457" t="s">
        <v>4</v>
      </c>
      <c r="E1457" t="s">
        <v>12</v>
      </c>
      <c r="F1457" t="s">
        <v>8</v>
      </c>
      <c r="G1457" t="s">
        <v>180</v>
      </c>
      <c r="H1457" s="94">
        <v>5</v>
      </c>
      <c r="I1457" t="s">
        <v>60</v>
      </c>
      <c r="J1457" t="s">
        <v>13</v>
      </c>
    </row>
    <row r="1458" spans="1:10" x14ac:dyDescent="0.25">
      <c r="A1458" t="s">
        <v>132</v>
      </c>
      <c r="B1458" t="s">
        <v>167</v>
      </c>
      <c r="C1458" s="12" t="s">
        <v>109</v>
      </c>
      <c r="D1458" t="s">
        <v>4</v>
      </c>
      <c r="E1458" t="s">
        <v>12</v>
      </c>
      <c r="F1458" t="s">
        <v>8</v>
      </c>
      <c r="G1458" t="s">
        <v>180</v>
      </c>
      <c r="H1458" s="94">
        <v>5</v>
      </c>
      <c r="I1458" t="s">
        <v>60</v>
      </c>
      <c r="J1458" t="s">
        <v>63</v>
      </c>
    </row>
    <row r="1459" spans="1:10" x14ac:dyDescent="0.25">
      <c r="A1459" t="s">
        <v>132</v>
      </c>
      <c r="B1459" t="s">
        <v>167</v>
      </c>
      <c r="C1459" s="12" t="s">
        <v>109</v>
      </c>
      <c r="D1459" t="s">
        <v>4</v>
      </c>
      <c r="E1459" t="s">
        <v>12</v>
      </c>
      <c r="F1459" t="s">
        <v>8</v>
      </c>
      <c r="G1459" t="s">
        <v>180</v>
      </c>
      <c r="H1459" s="94">
        <v>5</v>
      </c>
      <c r="I1459" t="s">
        <v>60</v>
      </c>
      <c r="J1459" t="s">
        <v>11</v>
      </c>
    </row>
    <row r="1460" spans="1:10" x14ac:dyDescent="0.25">
      <c r="A1460" t="s">
        <v>132</v>
      </c>
      <c r="B1460" t="s">
        <v>167</v>
      </c>
      <c r="C1460" s="12" t="s">
        <v>109</v>
      </c>
      <c r="D1460" t="s">
        <v>4</v>
      </c>
      <c r="E1460" t="s">
        <v>6</v>
      </c>
      <c r="F1460" t="s">
        <v>72</v>
      </c>
      <c r="G1460" t="s">
        <v>180</v>
      </c>
      <c r="H1460" s="94">
        <v>3</v>
      </c>
      <c r="I1460" t="s">
        <v>107</v>
      </c>
      <c r="J1460" t="s">
        <v>13</v>
      </c>
    </row>
    <row r="1461" spans="1:10" x14ac:dyDescent="0.25">
      <c r="A1461" t="s">
        <v>132</v>
      </c>
      <c r="B1461" t="s">
        <v>167</v>
      </c>
      <c r="C1461" s="12" t="s">
        <v>109</v>
      </c>
      <c r="D1461" t="s">
        <v>4</v>
      </c>
      <c r="E1461" t="s">
        <v>6</v>
      </c>
      <c r="F1461" t="s">
        <v>72</v>
      </c>
      <c r="G1461" t="s">
        <v>180</v>
      </c>
      <c r="H1461" s="94">
        <v>3</v>
      </c>
      <c r="I1461" t="s">
        <v>107</v>
      </c>
      <c r="J1461" t="s">
        <v>63</v>
      </c>
    </row>
    <row r="1462" spans="1:10" x14ac:dyDescent="0.25">
      <c r="A1462" t="s">
        <v>132</v>
      </c>
      <c r="B1462" t="s">
        <v>167</v>
      </c>
      <c r="C1462" s="12" t="s">
        <v>109</v>
      </c>
      <c r="D1462" t="s">
        <v>4</v>
      </c>
      <c r="E1462" t="s">
        <v>6</v>
      </c>
      <c r="F1462" t="s">
        <v>72</v>
      </c>
      <c r="G1462" t="s">
        <v>180</v>
      </c>
      <c r="H1462" s="94">
        <v>3</v>
      </c>
      <c r="I1462" t="s">
        <v>107</v>
      </c>
      <c r="J1462" t="s">
        <v>11</v>
      </c>
    </row>
    <row r="1463" spans="1:10" x14ac:dyDescent="0.25">
      <c r="A1463" t="s">
        <v>132</v>
      </c>
      <c r="B1463" t="s">
        <v>167</v>
      </c>
      <c r="C1463" s="12" t="s">
        <v>109</v>
      </c>
      <c r="D1463" t="s">
        <v>4</v>
      </c>
      <c r="E1463" t="s">
        <v>6</v>
      </c>
      <c r="F1463" t="s">
        <v>72</v>
      </c>
      <c r="G1463" t="s">
        <v>180</v>
      </c>
      <c r="H1463" s="94">
        <v>3</v>
      </c>
      <c r="I1463" t="s">
        <v>62</v>
      </c>
      <c r="J1463" t="s">
        <v>13</v>
      </c>
    </row>
    <row r="1464" spans="1:10" x14ac:dyDescent="0.25">
      <c r="A1464" t="s">
        <v>132</v>
      </c>
      <c r="B1464" t="s">
        <v>167</v>
      </c>
      <c r="C1464" s="12" t="s">
        <v>109</v>
      </c>
      <c r="D1464" t="s">
        <v>4</v>
      </c>
      <c r="E1464" t="s">
        <v>6</v>
      </c>
      <c r="F1464" t="s">
        <v>72</v>
      </c>
      <c r="G1464" t="s">
        <v>180</v>
      </c>
      <c r="H1464" s="94">
        <v>3</v>
      </c>
      <c r="I1464" t="s">
        <v>62</v>
      </c>
      <c r="J1464" t="s">
        <v>63</v>
      </c>
    </row>
    <row r="1465" spans="1:10" x14ac:dyDescent="0.25">
      <c r="A1465" t="s">
        <v>132</v>
      </c>
      <c r="B1465" t="s">
        <v>167</v>
      </c>
      <c r="C1465" s="12" t="s">
        <v>109</v>
      </c>
      <c r="D1465" t="s">
        <v>4</v>
      </c>
      <c r="E1465" t="s">
        <v>6</v>
      </c>
      <c r="F1465" t="s">
        <v>72</v>
      </c>
      <c r="G1465" t="s">
        <v>180</v>
      </c>
      <c r="H1465" s="94">
        <v>3</v>
      </c>
      <c r="I1465" t="s">
        <v>62</v>
      </c>
      <c r="J1465" t="s">
        <v>11</v>
      </c>
    </row>
    <row r="1466" spans="1:10" x14ac:dyDescent="0.25">
      <c r="A1466" t="s">
        <v>132</v>
      </c>
      <c r="B1466" t="s">
        <v>167</v>
      </c>
      <c r="C1466" s="12" t="s">
        <v>109</v>
      </c>
      <c r="D1466" t="s">
        <v>4</v>
      </c>
      <c r="E1466" t="s">
        <v>6</v>
      </c>
      <c r="F1466" t="s">
        <v>72</v>
      </c>
      <c r="G1466" t="s">
        <v>180</v>
      </c>
      <c r="H1466" s="94">
        <v>3</v>
      </c>
      <c r="I1466" t="s">
        <v>60</v>
      </c>
      <c r="J1466" t="s">
        <v>13</v>
      </c>
    </row>
    <row r="1467" spans="1:10" x14ac:dyDescent="0.25">
      <c r="A1467" t="s">
        <v>132</v>
      </c>
      <c r="B1467" t="s">
        <v>167</v>
      </c>
      <c r="C1467" s="12" t="s">
        <v>109</v>
      </c>
      <c r="D1467" t="s">
        <v>4</v>
      </c>
      <c r="E1467" t="s">
        <v>6</v>
      </c>
      <c r="F1467" t="s">
        <v>72</v>
      </c>
      <c r="G1467" t="s">
        <v>180</v>
      </c>
      <c r="H1467" s="94">
        <v>3</v>
      </c>
      <c r="I1467" t="s">
        <v>60</v>
      </c>
      <c r="J1467" t="s">
        <v>63</v>
      </c>
    </row>
    <row r="1468" spans="1:10" x14ac:dyDescent="0.25">
      <c r="A1468" t="s">
        <v>132</v>
      </c>
      <c r="B1468" t="s">
        <v>167</v>
      </c>
      <c r="C1468" s="12" t="s">
        <v>109</v>
      </c>
      <c r="D1468" t="s">
        <v>4</v>
      </c>
      <c r="E1468" t="s">
        <v>6</v>
      </c>
      <c r="F1468" t="s">
        <v>72</v>
      </c>
      <c r="G1468" t="s">
        <v>180</v>
      </c>
      <c r="H1468" s="94">
        <v>3</v>
      </c>
      <c r="I1468" t="s">
        <v>60</v>
      </c>
      <c r="J1468" t="s">
        <v>11</v>
      </c>
    </row>
    <row r="1469" spans="1:10" x14ac:dyDescent="0.25">
      <c r="A1469" t="s">
        <v>132</v>
      </c>
      <c r="B1469" t="s">
        <v>167</v>
      </c>
      <c r="C1469" s="12" t="s">
        <v>109</v>
      </c>
      <c r="D1469" t="s">
        <v>4</v>
      </c>
      <c r="E1469" t="s">
        <v>6</v>
      </c>
      <c r="F1469" t="s">
        <v>72</v>
      </c>
      <c r="G1469" t="s">
        <v>180</v>
      </c>
      <c r="H1469" s="94">
        <v>5</v>
      </c>
      <c r="I1469" t="s">
        <v>107</v>
      </c>
      <c r="J1469" t="s">
        <v>13</v>
      </c>
    </row>
    <row r="1470" spans="1:10" x14ac:dyDescent="0.25">
      <c r="A1470" t="s">
        <v>132</v>
      </c>
      <c r="B1470" t="s">
        <v>167</v>
      </c>
      <c r="C1470" s="12" t="s">
        <v>109</v>
      </c>
      <c r="D1470" t="s">
        <v>4</v>
      </c>
      <c r="E1470" t="s">
        <v>6</v>
      </c>
      <c r="F1470" t="s">
        <v>72</v>
      </c>
      <c r="G1470" t="s">
        <v>180</v>
      </c>
      <c r="H1470" s="94">
        <v>5</v>
      </c>
      <c r="I1470" t="s">
        <v>107</v>
      </c>
      <c r="J1470" t="s">
        <v>63</v>
      </c>
    </row>
    <row r="1471" spans="1:10" x14ac:dyDescent="0.25">
      <c r="A1471" t="s">
        <v>132</v>
      </c>
      <c r="B1471" t="s">
        <v>167</v>
      </c>
      <c r="C1471" s="12" t="s">
        <v>109</v>
      </c>
      <c r="D1471" t="s">
        <v>4</v>
      </c>
      <c r="E1471" t="s">
        <v>6</v>
      </c>
      <c r="F1471" t="s">
        <v>72</v>
      </c>
      <c r="G1471" t="s">
        <v>180</v>
      </c>
      <c r="H1471" s="94">
        <v>5</v>
      </c>
      <c r="I1471" t="s">
        <v>107</v>
      </c>
      <c r="J1471" t="s">
        <v>11</v>
      </c>
    </row>
    <row r="1472" spans="1:10" x14ac:dyDescent="0.25">
      <c r="A1472" t="s">
        <v>132</v>
      </c>
      <c r="B1472" t="s">
        <v>167</v>
      </c>
      <c r="C1472" s="12" t="s">
        <v>109</v>
      </c>
      <c r="D1472" t="s">
        <v>4</v>
      </c>
      <c r="E1472" t="s">
        <v>6</v>
      </c>
      <c r="F1472" t="s">
        <v>72</v>
      </c>
      <c r="G1472" t="s">
        <v>180</v>
      </c>
      <c r="H1472" s="94">
        <v>5</v>
      </c>
      <c r="I1472" t="s">
        <v>62</v>
      </c>
      <c r="J1472" t="s">
        <v>13</v>
      </c>
    </row>
    <row r="1473" spans="1:10" x14ac:dyDescent="0.25">
      <c r="A1473" t="s">
        <v>132</v>
      </c>
      <c r="B1473" t="s">
        <v>167</v>
      </c>
      <c r="C1473" s="12" t="s">
        <v>109</v>
      </c>
      <c r="D1473" t="s">
        <v>4</v>
      </c>
      <c r="E1473" t="s">
        <v>6</v>
      </c>
      <c r="F1473" t="s">
        <v>72</v>
      </c>
      <c r="G1473" t="s">
        <v>180</v>
      </c>
      <c r="H1473" s="94">
        <v>5</v>
      </c>
      <c r="I1473" t="s">
        <v>62</v>
      </c>
      <c r="J1473" t="s">
        <v>63</v>
      </c>
    </row>
    <row r="1474" spans="1:10" x14ac:dyDescent="0.25">
      <c r="A1474" t="s">
        <v>132</v>
      </c>
      <c r="B1474" t="s">
        <v>167</v>
      </c>
      <c r="C1474" s="12" t="s">
        <v>109</v>
      </c>
      <c r="D1474" t="s">
        <v>4</v>
      </c>
      <c r="E1474" t="s">
        <v>6</v>
      </c>
      <c r="F1474" t="s">
        <v>72</v>
      </c>
      <c r="G1474" t="s">
        <v>180</v>
      </c>
      <c r="H1474" s="94">
        <v>5</v>
      </c>
      <c r="I1474" t="s">
        <v>62</v>
      </c>
      <c r="J1474" t="s">
        <v>11</v>
      </c>
    </row>
    <row r="1475" spans="1:10" x14ac:dyDescent="0.25">
      <c r="A1475" t="s">
        <v>132</v>
      </c>
      <c r="B1475" t="s">
        <v>167</v>
      </c>
      <c r="C1475" s="12" t="s">
        <v>109</v>
      </c>
      <c r="D1475" t="s">
        <v>4</v>
      </c>
      <c r="E1475" t="s">
        <v>6</v>
      </c>
      <c r="F1475" t="s">
        <v>72</v>
      </c>
      <c r="G1475" t="s">
        <v>180</v>
      </c>
      <c r="H1475" s="94">
        <v>5</v>
      </c>
      <c r="I1475" t="s">
        <v>60</v>
      </c>
      <c r="J1475" t="s">
        <v>13</v>
      </c>
    </row>
    <row r="1476" spans="1:10" x14ac:dyDescent="0.25">
      <c r="A1476" t="s">
        <v>132</v>
      </c>
      <c r="B1476" t="s">
        <v>167</v>
      </c>
      <c r="C1476" s="12" t="s">
        <v>109</v>
      </c>
      <c r="D1476" t="s">
        <v>4</v>
      </c>
      <c r="E1476" t="s">
        <v>6</v>
      </c>
      <c r="F1476" t="s">
        <v>72</v>
      </c>
      <c r="G1476" t="s">
        <v>180</v>
      </c>
      <c r="H1476" s="94">
        <v>5</v>
      </c>
      <c r="I1476" t="s">
        <v>60</v>
      </c>
      <c r="J1476" t="s">
        <v>63</v>
      </c>
    </row>
    <row r="1477" spans="1:10" x14ac:dyDescent="0.25">
      <c r="A1477" t="s">
        <v>132</v>
      </c>
      <c r="B1477" t="s">
        <v>167</v>
      </c>
      <c r="C1477" s="12" t="s">
        <v>109</v>
      </c>
      <c r="D1477" t="s">
        <v>4</v>
      </c>
      <c r="E1477" t="s">
        <v>6</v>
      </c>
      <c r="F1477" t="s">
        <v>72</v>
      </c>
      <c r="G1477" t="s">
        <v>180</v>
      </c>
      <c r="H1477" s="94">
        <v>5</v>
      </c>
      <c r="I1477" t="s">
        <v>60</v>
      </c>
      <c r="J1477" t="s">
        <v>11</v>
      </c>
    </row>
    <row r="1478" spans="1:10" x14ac:dyDescent="0.25">
      <c r="A1478" t="s">
        <v>132</v>
      </c>
      <c r="B1478" t="s">
        <v>167</v>
      </c>
      <c r="C1478" s="12" t="s">
        <v>109</v>
      </c>
      <c r="D1478" t="s">
        <v>4</v>
      </c>
      <c r="E1478" t="s">
        <v>6</v>
      </c>
      <c r="F1478" t="s">
        <v>16</v>
      </c>
      <c r="G1478" t="s">
        <v>180</v>
      </c>
      <c r="H1478" s="94">
        <v>3</v>
      </c>
      <c r="I1478" t="s">
        <v>107</v>
      </c>
      <c r="J1478" t="s">
        <v>13</v>
      </c>
    </row>
    <row r="1479" spans="1:10" x14ac:dyDescent="0.25">
      <c r="A1479" t="s">
        <v>132</v>
      </c>
      <c r="B1479" t="s">
        <v>167</v>
      </c>
      <c r="C1479" s="12" t="s">
        <v>109</v>
      </c>
      <c r="D1479" t="s">
        <v>4</v>
      </c>
      <c r="E1479" t="s">
        <v>6</v>
      </c>
      <c r="F1479" t="s">
        <v>16</v>
      </c>
      <c r="G1479" t="s">
        <v>180</v>
      </c>
      <c r="H1479" s="94">
        <v>3</v>
      </c>
      <c r="I1479" t="s">
        <v>107</v>
      </c>
      <c r="J1479" t="s">
        <v>63</v>
      </c>
    </row>
    <row r="1480" spans="1:10" x14ac:dyDescent="0.25">
      <c r="A1480" t="s">
        <v>132</v>
      </c>
      <c r="B1480" t="s">
        <v>167</v>
      </c>
      <c r="C1480" s="12" t="s">
        <v>109</v>
      </c>
      <c r="D1480" t="s">
        <v>4</v>
      </c>
      <c r="E1480" t="s">
        <v>6</v>
      </c>
      <c r="F1480" t="s">
        <v>16</v>
      </c>
      <c r="G1480" t="s">
        <v>180</v>
      </c>
      <c r="H1480" s="94">
        <v>3</v>
      </c>
      <c r="I1480" t="s">
        <v>107</v>
      </c>
      <c r="J1480" t="s">
        <v>11</v>
      </c>
    </row>
    <row r="1481" spans="1:10" x14ac:dyDescent="0.25">
      <c r="A1481" t="s">
        <v>132</v>
      </c>
      <c r="B1481" t="s">
        <v>167</v>
      </c>
      <c r="C1481" s="12" t="s">
        <v>109</v>
      </c>
      <c r="D1481" t="s">
        <v>4</v>
      </c>
      <c r="E1481" t="s">
        <v>6</v>
      </c>
      <c r="F1481" t="s">
        <v>16</v>
      </c>
      <c r="G1481" t="s">
        <v>180</v>
      </c>
      <c r="H1481" s="94">
        <v>3</v>
      </c>
      <c r="I1481" t="s">
        <v>62</v>
      </c>
      <c r="J1481" t="s">
        <v>13</v>
      </c>
    </row>
    <row r="1482" spans="1:10" x14ac:dyDescent="0.25">
      <c r="A1482" t="s">
        <v>132</v>
      </c>
      <c r="B1482" t="s">
        <v>167</v>
      </c>
      <c r="C1482" s="12" t="s">
        <v>109</v>
      </c>
      <c r="D1482" t="s">
        <v>4</v>
      </c>
      <c r="E1482" t="s">
        <v>6</v>
      </c>
      <c r="F1482" t="s">
        <v>16</v>
      </c>
      <c r="G1482" t="s">
        <v>180</v>
      </c>
      <c r="H1482" s="94">
        <v>3</v>
      </c>
      <c r="I1482" t="s">
        <v>62</v>
      </c>
      <c r="J1482" t="s">
        <v>63</v>
      </c>
    </row>
    <row r="1483" spans="1:10" x14ac:dyDescent="0.25">
      <c r="A1483" t="s">
        <v>132</v>
      </c>
      <c r="B1483" t="s">
        <v>167</v>
      </c>
      <c r="C1483" s="12" t="s">
        <v>109</v>
      </c>
      <c r="D1483" t="s">
        <v>4</v>
      </c>
      <c r="E1483" t="s">
        <v>6</v>
      </c>
      <c r="F1483" t="s">
        <v>16</v>
      </c>
      <c r="G1483" t="s">
        <v>180</v>
      </c>
      <c r="H1483" s="94">
        <v>3</v>
      </c>
      <c r="I1483" t="s">
        <v>62</v>
      </c>
      <c r="J1483" t="s">
        <v>11</v>
      </c>
    </row>
    <row r="1484" spans="1:10" x14ac:dyDescent="0.25">
      <c r="A1484" t="s">
        <v>132</v>
      </c>
      <c r="B1484" t="s">
        <v>167</v>
      </c>
      <c r="C1484" s="12" t="s">
        <v>109</v>
      </c>
      <c r="D1484" t="s">
        <v>4</v>
      </c>
      <c r="E1484" t="s">
        <v>6</v>
      </c>
      <c r="F1484" t="s">
        <v>16</v>
      </c>
      <c r="G1484" t="s">
        <v>180</v>
      </c>
      <c r="H1484" s="94">
        <v>3</v>
      </c>
      <c r="I1484" t="s">
        <v>60</v>
      </c>
      <c r="J1484" t="s">
        <v>13</v>
      </c>
    </row>
    <row r="1485" spans="1:10" x14ac:dyDescent="0.25">
      <c r="A1485" t="s">
        <v>132</v>
      </c>
      <c r="B1485" t="s">
        <v>167</v>
      </c>
      <c r="C1485" s="12" t="s">
        <v>109</v>
      </c>
      <c r="D1485" t="s">
        <v>4</v>
      </c>
      <c r="E1485" t="s">
        <v>6</v>
      </c>
      <c r="F1485" t="s">
        <v>16</v>
      </c>
      <c r="G1485" t="s">
        <v>180</v>
      </c>
      <c r="H1485" s="94">
        <v>3</v>
      </c>
      <c r="I1485" t="s">
        <v>60</v>
      </c>
      <c r="J1485" t="s">
        <v>63</v>
      </c>
    </row>
    <row r="1486" spans="1:10" x14ac:dyDescent="0.25">
      <c r="A1486" t="s">
        <v>132</v>
      </c>
      <c r="B1486" t="s">
        <v>167</v>
      </c>
      <c r="C1486" s="12" t="s">
        <v>109</v>
      </c>
      <c r="D1486" t="s">
        <v>4</v>
      </c>
      <c r="E1486" t="s">
        <v>6</v>
      </c>
      <c r="F1486" t="s">
        <v>16</v>
      </c>
      <c r="G1486" t="s">
        <v>180</v>
      </c>
      <c r="H1486" s="94">
        <v>3</v>
      </c>
      <c r="I1486" t="s">
        <v>60</v>
      </c>
      <c r="J1486" t="s">
        <v>11</v>
      </c>
    </row>
    <row r="1487" spans="1:10" x14ac:dyDescent="0.25">
      <c r="A1487" t="s">
        <v>132</v>
      </c>
      <c r="B1487" t="s">
        <v>167</v>
      </c>
      <c r="C1487" s="12" t="s">
        <v>109</v>
      </c>
      <c r="D1487" t="s">
        <v>4</v>
      </c>
      <c r="E1487" t="s">
        <v>6</v>
      </c>
      <c r="F1487" t="s">
        <v>16</v>
      </c>
      <c r="G1487" t="s">
        <v>180</v>
      </c>
      <c r="H1487" s="94">
        <v>5</v>
      </c>
      <c r="I1487" t="s">
        <v>107</v>
      </c>
      <c r="J1487" t="s">
        <v>13</v>
      </c>
    </row>
    <row r="1488" spans="1:10" x14ac:dyDescent="0.25">
      <c r="A1488" t="s">
        <v>132</v>
      </c>
      <c r="B1488" t="s">
        <v>167</v>
      </c>
      <c r="C1488" s="12" t="s">
        <v>109</v>
      </c>
      <c r="D1488" t="s">
        <v>4</v>
      </c>
      <c r="E1488" t="s">
        <v>6</v>
      </c>
      <c r="F1488" t="s">
        <v>16</v>
      </c>
      <c r="G1488" t="s">
        <v>180</v>
      </c>
      <c r="H1488" s="94">
        <v>5</v>
      </c>
      <c r="I1488" t="s">
        <v>107</v>
      </c>
      <c r="J1488" t="s">
        <v>63</v>
      </c>
    </row>
    <row r="1489" spans="1:10" x14ac:dyDescent="0.25">
      <c r="A1489" t="s">
        <v>132</v>
      </c>
      <c r="B1489" t="s">
        <v>167</v>
      </c>
      <c r="C1489" s="12" t="s">
        <v>109</v>
      </c>
      <c r="D1489" t="s">
        <v>4</v>
      </c>
      <c r="E1489" t="s">
        <v>6</v>
      </c>
      <c r="F1489" t="s">
        <v>16</v>
      </c>
      <c r="G1489" t="s">
        <v>180</v>
      </c>
      <c r="H1489" s="94">
        <v>5</v>
      </c>
      <c r="I1489" t="s">
        <v>107</v>
      </c>
      <c r="J1489" t="s">
        <v>11</v>
      </c>
    </row>
    <row r="1490" spans="1:10" x14ac:dyDescent="0.25">
      <c r="A1490" t="s">
        <v>132</v>
      </c>
      <c r="B1490" t="s">
        <v>167</v>
      </c>
      <c r="C1490" s="12" t="s">
        <v>109</v>
      </c>
      <c r="D1490" t="s">
        <v>4</v>
      </c>
      <c r="E1490" t="s">
        <v>6</v>
      </c>
      <c r="F1490" t="s">
        <v>16</v>
      </c>
      <c r="G1490" t="s">
        <v>180</v>
      </c>
      <c r="H1490" s="94">
        <v>5</v>
      </c>
      <c r="I1490" t="s">
        <v>62</v>
      </c>
      <c r="J1490" t="s">
        <v>13</v>
      </c>
    </row>
    <row r="1491" spans="1:10" x14ac:dyDescent="0.25">
      <c r="A1491" t="s">
        <v>132</v>
      </c>
      <c r="B1491" t="s">
        <v>167</v>
      </c>
      <c r="C1491" s="12" t="s">
        <v>109</v>
      </c>
      <c r="D1491" t="s">
        <v>4</v>
      </c>
      <c r="E1491" t="s">
        <v>6</v>
      </c>
      <c r="F1491" t="s">
        <v>16</v>
      </c>
      <c r="G1491" t="s">
        <v>180</v>
      </c>
      <c r="H1491" s="94">
        <v>5</v>
      </c>
      <c r="I1491" t="s">
        <v>62</v>
      </c>
      <c r="J1491" t="s">
        <v>63</v>
      </c>
    </row>
    <row r="1492" spans="1:10" x14ac:dyDescent="0.25">
      <c r="A1492" t="s">
        <v>132</v>
      </c>
      <c r="B1492" t="s">
        <v>167</v>
      </c>
      <c r="C1492" s="12" t="s">
        <v>109</v>
      </c>
      <c r="D1492" t="s">
        <v>4</v>
      </c>
      <c r="E1492" t="s">
        <v>6</v>
      </c>
      <c r="F1492" t="s">
        <v>16</v>
      </c>
      <c r="G1492" t="s">
        <v>180</v>
      </c>
      <c r="H1492" s="94">
        <v>5</v>
      </c>
      <c r="I1492" t="s">
        <v>62</v>
      </c>
      <c r="J1492" t="s">
        <v>11</v>
      </c>
    </row>
    <row r="1493" spans="1:10" x14ac:dyDescent="0.25">
      <c r="A1493" t="s">
        <v>132</v>
      </c>
      <c r="B1493" t="s">
        <v>167</v>
      </c>
      <c r="C1493" s="12" t="s">
        <v>109</v>
      </c>
      <c r="D1493" t="s">
        <v>4</v>
      </c>
      <c r="E1493" t="s">
        <v>6</v>
      </c>
      <c r="F1493" t="s">
        <v>16</v>
      </c>
      <c r="G1493" t="s">
        <v>180</v>
      </c>
      <c r="H1493" s="94">
        <v>5</v>
      </c>
      <c r="I1493" t="s">
        <v>60</v>
      </c>
      <c r="J1493" t="s">
        <v>13</v>
      </c>
    </row>
    <row r="1494" spans="1:10" x14ac:dyDescent="0.25">
      <c r="A1494" t="s">
        <v>132</v>
      </c>
      <c r="B1494" t="s">
        <v>167</v>
      </c>
      <c r="C1494" s="12" t="s">
        <v>109</v>
      </c>
      <c r="D1494" t="s">
        <v>4</v>
      </c>
      <c r="E1494" t="s">
        <v>6</v>
      </c>
      <c r="F1494" t="s">
        <v>16</v>
      </c>
      <c r="G1494" t="s">
        <v>180</v>
      </c>
      <c r="H1494" s="94">
        <v>5</v>
      </c>
      <c r="I1494" t="s">
        <v>60</v>
      </c>
      <c r="J1494" t="s">
        <v>63</v>
      </c>
    </row>
    <row r="1495" spans="1:10" x14ac:dyDescent="0.25">
      <c r="A1495" t="s">
        <v>132</v>
      </c>
      <c r="B1495" t="s">
        <v>167</v>
      </c>
      <c r="C1495" s="12" t="s">
        <v>109</v>
      </c>
      <c r="D1495" t="s">
        <v>4</v>
      </c>
      <c r="E1495" t="s">
        <v>6</v>
      </c>
      <c r="F1495" t="s">
        <v>16</v>
      </c>
      <c r="G1495" t="s">
        <v>180</v>
      </c>
      <c r="H1495" s="94">
        <v>5</v>
      </c>
      <c r="I1495" t="s">
        <v>60</v>
      </c>
      <c r="J1495" t="s">
        <v>11</v>
      </c>
    </row>
    <row r="1496" spans="1:10" x14ac:dyDescent="0.25">
      <c r="A1496" t="s">
        <v>132</v>
      </c>
      <c r="B1496" t="s">
        <v>167</v>
      </c>
      <c r="C1496" s="12" t="s">
        <v>109</v>
      </c>
      <c r="D1496" t="s">
        <v>4</v>
      </c>
      <c r="E1496" t="s">
        <v>6</v>
      </c>
      <c r="F1496" t="s">
        <v>8</v>
      </c>
      <c r="G1496" t="s">
        <v>180</v>
      </c>
      <c r="H1496" s="94">
        <v>3</v>
      </c>
      <c r="I1496" t="s">
        <v>107</v>
      </c>
      <c r="J1496" t="s">
        <v>13</v>
      </c>
    </row>
    <row r="1497" spans="1:10" x14ac:dyDescent="0.25">
      <c r="A1497" t="s">
        <v>132</v>
      </c>
      <c r="B1497" t="s">
        <v>167</v>
      </c>
      <c r="C1497" s="12" t="s">
        <v>109</v>
      </c>
      <c r="D1497" t="s">
        <v>4</v>
      </c>
      <c r="E1497" t="s">
        <v>6</v>
      </c>
      <c r="F1497" t="s">
        <v>8</v>
      </c>
      <c r="G1497" t="s">
        <v>180</v>
      </c>
      <c r="H1497" s="94">
        <v>3</v>
      </c>
      <c r="I1497" t="s">
        <v>107</v>
      </c>
      <c r="J1497" t="s">
        <v>63</v>
      </c>
    </row>
    <row r="1498" spans="1:10" x14ac:dyDescent="0.25">
      <c r="A1498" t="s">
        <v>132</v>
      </c>
      <c r="B1498" t="s">
        <v>167</v>
      </c>
      <c r="C1498" s="12" t="s">
        <v>109</v>
      </c>
      <c r="D1498" t="s">
        <v>4</v>
      </c>
      <c r="E1498" t="s">
        <v>6</v>
      </c>
      <c r="F1498" t="s">
        <v>8</v>
      </c>
      <c r="G1498" t="s">
        <v>180</v>
      </c>
      <c r="H1498" s="94">
        <v>3</v>
      </c>
      <c r="I1498" t="s">
        <v>107</v>
      </c>
      <c r="J1498" t="s">
        <v>11</v>
      </c>
    </row>
    <row r="1499" spans="1:10" x14ac:dyDescent="0.25">
      <c r="A1499" t="s">
        <v>132</v>
      </c>
      <c r="B1499" t="s">
        <v>167</v>
      </c>
      <c r="C1499" s="12" t="s">
        <v>109</v>
      </c>
      <c r="D1499" t="s">
        <v>4</v>
      </c>
      <c r="E1499" t="s">
        <v>6</v>
      </c>
      <c r="F1499" t="s">
        <v>8</v>
      </c>
      <c r="G1499" t="s">
        <v>180</v>
      </c>
      <c r="H1499" s="94">
        <v>3</v>
      </c>
      <c r="I1499" t="s">
        <v>62</v>
      </c>
      <c r="J1499" t="s">
        <v>13</v>
      </c>
    </row>
    <row r="1500" spans="1:10" x14ac:dyDescent="0.25">
      <c r="A1500" t="s">
        <v>132</v>
      </c>
      <c r="B1500" t="s">
        <v>167</v>
      </c>
      <c r="C1500" s="12" t="s">
        <v>109</v>
      </c>
      <c r="D1500" t="s">
        <v>4</v>
      </c>
      <c r="E1500" t="s">
        <v>6</v>
      </c>
      <c r="F1500" t="s">
        <v>8</v>
      </c>
      <c r="G1500" t="s">
        <v>180</v>
      </c>
      <c r="H1500" s="94">
        <v>3</v>
      </c>
      <c r="I1500" t="s">
        <v>62</v>
      </c>
      <c r="J1500" t="s">
        <v>63</v>
      </c>
    </row>
    <row r="1501" spans="1:10" x14ac:dyDescent="0.25">
      <c r="A1501" t="s">
        <v>132</v>
      </c>
      <c r="B1501" t="s">
        <v>167</v>
      </c>
      <c r="C1501" s="12" t="s">
        <v>109</v>
      </c>
      <c r="D1501" t="s">
        <v>4</v>
      </c>
      <c r="E1501" t="s">
        <v>6</v>
      </c>
      <c r="F1501" t="s">
        <v>8</v>
      </c>
      <c r="G1501" t="s">
        <v>180</v>
      </c>
      <c r="H1501" s="94">
        <v>3</v>
      </c>
      <c r="I1501" t="s">
        <v>62</v>
      </c>
      <c r="J1501" t="s">
        <v>11</v>
      </c>
    </row>
    <row r="1502" spans="1:10" x14ac:dyDescent="0.25">
      <c r="A1502" t="s">
        <v>132</v>
      </c>
      <c r="B1502" t="s">
        <v>167</v>
      </c>
      <c r="C1502" s="12" t="s">
        <v>109</v>
      </c>
      <c r="D1502" t="s">
        <v>4</v>
      </c>
      <c r="E1502" t="s">
        <v>6</v>
      </c>
      <c r="F1502" t="s">
        <v>8</v>
      </c>
      <c r="G1502" t="s">
        <v>180</v>
      </c>
      <c r="H1502" s="94">
        <v>3</v>
      </c>
      <c r="I1502" t="s">
        <v>60</v>
      </c>
      <c r="J1502" t="s">
        <v>13</v>
      </c>
    </row>
    <row r="1503" spans="1:10" x14ac:dyDescent="0.25">
      <c r="A1503" t="s">
        <v>132</v>
      </c>
      <c r="B1503" t="s">
        <v>167</v>
      </c>
      <c r="C1503" s="12" t="s">
        <v>109</v>
      </c>
      <c r="D1503" t="s">
        <v>4</v>
      </c>
      <c r="E1503" t="s">
        <v>6</v>
      </c>
      <c r="F1503" t="s">
        <v>8</v>
      </c>
      <c r="G1503" t="s">
        <v>180</v>
      </c>
      <c r="H1503" s="94">
        <v>3</v>
      </c>
      <c r="I1503" t="s">
        <v>60</v>
      </c>
      <c r="J1503" t="s">
        <v>63</v>
      </c>
    </row>
    <row r="1504" spans="1:10" x14ac:dyDescent="0.25">
      <c r="A1504" t="s">
        <v>132</v>
      </c>
      <c r="B1504" t="s">
        <v>167</v>
      </c>
      <c r="C1504" s="12" t="s">
        <v>109</v>
      </c>
      <c r="D1504" t="s">
        <v>4</v>
      </c>
      <c r="E1504" t="s">
        <v>6</v>
      </c>
      <c r="F1504" t="s">
        <v>8</v>
      </c>
      <c r="G1504" t="s">
        <v>180</v>
      </c>
      <c r="H1504" s="94">
        <v>3</v>
      </c>
      <c r="I1504" t="s">
        <v>60</v>
      </c>
      <c r="J1504" t="s">
        <v>11</v>
      </c>
    </row>
    <row r="1505" spans="1:10" x14ac:dyDescent="0.25">
      <c r="A1505" t="s">
        <v>132</v>
      </c>
      <c r="B1505" t="s">
        <v>167</v>
      </c>
      <c r="C1505" s="12" t="s">
        <v>109</v>
      </c>
      <c r="D1505" t="s">
        <v>4</v>
      </c>
      <c r="E1505" t="s">
        <v>6</v>
      </c>
      <c r="F1505" t="s">
        <v>8</v>
      </c>
      <c r="G1505" t="s">
        <v>180</v>
      </c>
      <c r="H1505" s="94">
        <v>5</v>
      </c>
      <c r="I1505" t="s">
        <v>107</v>
      </c>
      <c r="J1505" t="s">
        <v>13</v>
      </c>
    </row>
    <row r="1506" spans="1:10" x14ac:dyDescent="0.25">
      <c r="A1506" t="s">
        <v>132</v>
      </c>
      <c r="B1506" t="s">
        <v>167</v>
      </c>
      <c r="C1506" s="12" t="s">
        <v>109</v>
      </c>
      <c r="D1506" t="s">
        <v>4</v>
      </c>
      <c r="E1506" t="s">
        <v>6</v>
      </c>
      <c r="F1506" t="s">
        <v>8</v>
      </c>
      <c r="G1506" t="s">
        <v>180</v>
      </c>
      <c r="H1506" s="94">
        <v>5</v>
      </c>
      <c r="I1506" t="s">
        <v>107</v>
      </c>
      <c r="J1506" t="s">
        <v>63</v>
      </c>
    </row>
    <row r="1507" spans="1:10" x14ac:dyDescent="0.25">
      <c r="A1507" t="s">
        <v>132</v>
      </c>
      <c r="B1507" t="s">
        <v>167</v>
      </c>
      <c r="C1507" s="12" t="s">
        <v>109</v>
      </c>
      <c r="D1507" t="s">
        <v>4</v>
      </c>
      <c r="E1507" t="s">
        <v>6</v>
      </c>
      <c r="F1507" t="s">
        <v>8</v>
      </c>
      <c r="G1507" t="s">
        <v>180</v>
      </c>
      <c r="H1507" s="94">
        <v>5</v>
      </c>
      <c r="I1507" t="s">
        <v>107</v>
      </c>
      <c r="J1507" t="s">
        <v>11</v>
      </c>
    </row>
    <row r="1508" spans="1:10" x14ac:dyDescent="0.25">
      <c r="A1508" t="s">
        <v>132</v>
      </c>
      <c r="B1508" t="s">
        <v>167</v>
      </c>
      <c r="C1508" s="12" t="s">
        <v>109</v>
      </c>
      <c r="D1508" t="s">
        <v>4</v>
      </c>
      <c r="E1508" t="s">
        <v>6</v>
      </c>
      <c r="F1508" t="s">
        <v>8</v>
      </c>
      <c r="G1508" t="s">
        <v>180</v>
      </c>
      <c r="H1508" s="94">
        <v>5</v>
      </c>
      <c r="I1508" t="s">
        <v>62</v>
      </c>
      <c r="J1508" t="s">
        <v>13</v>
      </c>
    </row>
    <row r="1509" spans="1:10" x14ac:dyDescent="0.25">
      <c r="A1509" t="s">
        <v>132</v>
      </c>
      <c r="B1509" t="s">
        <v>167</v>
      </c>
      <c r="C1509" s="12" t="s">
        <v>109</v>
      </c>
      <c r="D1509" t="s">
        <v>4</v>
      </c>
      <c r="E1509" t="s">
        <v>6</v>
      </c>
      <c r="F1509" t="s">
        <v>8</v>
      </c>
      <c r="G1509" t="s">
        <v>180</v>
      </c>
      <c r="H1509" s="94">
        <v>5</v>
      </c>
      <c r="I1509" t="s">
        <v>62</v>
      </c>
      <c r="J1509" t="s">
        <v>63</v>
      </c>
    </row>
    <row r="1510" spans="1:10" x14ac:dyDescent="0.25">
      <c r="A1510" t="s">
        <v>132</v>
      </c>
      <c r="B1510" t="s">
        <v>167</v>
      </c>
      <c r="C1510" s="12" t="s">
        <v>109</v>
      </c>
      <c r="D1510" t="s">
        <v>4</v>
      </c>
      <c r="E1510" t="s">
        <v>6</v>
      </c>
      <c r="F1510" t="s">
        <v>8</v>
      </c>
      <c r="G1510" t="s">
        <v>180</v>
      </c>
      <c r="H1510" s="94">
        <v>5</v>
      </c>
      <c r="I1510" t="s">
        <v>62</v>
      </c>
      <c r="J1510" t="s">
        <v>11</v>
      </c>
    </row>
    <row r="1511" spans="1:10" x14ac:dyDescent="0.25">
      <c r="A1511" t="s">
        <v>132</v>
      </c>
      <c r="B1511" t="s">
        <v>167</v>
      </c>
      <c r="C1511" s="12" t="s">
        <v>109</v>
      </c>
      <c r="D1511" t="s">
        <v>4</v>
      </c>
      <c r="E1511" t="s">
        <v>6</v>
      </c>
      <c r="F1511" t="s">
        <v>8</v>
      </c>
      <c r="G1511" t="s">
        <v>180</v>
      </c>
      <c r="H1511" s="94">
        <v>5</v>
      </c>
      <c r="I1511" t="s">
        <v>60</v>
      </c>
      <c r="J1511" t="s">
        <v>13</v>
      </c>
    </row>
    <row r="1512" spans="1:10" x14ac:dyDescent="0.25">
      <c r="A1512" t="s">
        <v>132</v>
      </c>
      <c r="B1512" t="s">
        <v>167</v>
      </c>
      <c r="C1512" s="12" t="s">
        <v>109</v>
      </c>
      <c r="D1512" t="s">
        <v>4</v>
      </c>
      <c r="E1512" t="s">
        <v>6</v>
      </c>
      <c r="F1512" t="s">
        <v>8</v>
      </c>
      <c r="G1512" t="s">
        <v>180</v>
      </c>
      <c r="H1512" s="94">
        <v>5</v>
      </c>
      <c r="I1512" t="s">
        <v>60</v>
      </c>
      <c r="J1512" t="s">
        <v>63</v>
      </c>
    </row>
    <row r="1513" spans="1:10" x14ac:dyDescent="0.25">
      <c r="A1513" t="s">
        <v>132</v>
      </c>
      <c r="B1513" t="s">
        <v>167</v>
      </c>
      <c r="C1513" s="12" t="s">
        <v>109</v>
      </c>
      <c r="D1513" t="s">
        <v>4</v>
      </c>
      <c r="E1513" t="s">
        <v>6</v>
      </c>
      <c r="F1513" t="s">
        <v>8</v>
      </c>
      <c r="G1513" t="s">
        <v>180</v>
      </c>
      <c r="H1513" s="94">
        <v>5</v>
      </c>
      <c r="I1513" t="s">
        <v>60</v>
      </c>
      <c r="J1513" t="s">
        <v>11</v>
      </c>
    </row>
    <row r="1514" spans="1:10" x14ac:dyDescent="0.25">
      <c r="A1514" t="s">
        <v>132</v>
      </c>
      <c r="B1514" t="s">
        <v>168</v>
      </c>
      <c r="C1514" s="12" t="s">
        <v>109</v>
      </c>
      <c r="D1514" t="s">
        <v>4</v>
      </c>
      <c r="E1514" t="s">
        <v>12</v>
      </c>
      <c r="F1514" t="s">
        <v>72</v>
      </c>
      <c r="G1514" t="s">
        <v>180</v>
      </c>
      <c r="H1514" s="94">
        <v>3</v>
      </c>
      <c r="I1514" t="s">
        <v>107</v>
      </c>
      <c r="J1514" t="s">
        <v>13</v>
      </c>
    </row>
    <row r="1515" spans="1:10" x14ac:dyDescent="0.25">
      <c r="A1515" t="s">
        <v>132</v>
      </c>
      <c r="B1515" t="s">
        <v>168</v>
      </c>
      <c r="C1515" s="12" t="s">
        <v>109</v>
      </c>
      <c r="D1515" t="s">
        <v>4</v>
      </c>
      <c r="E1515" t="s">
        <v>12</v>
      </c>
      <c r="F1515" t="s">
        <v>72</v>
      </c>
      <c r="G1515" t="s">
        <v>180</v>
      </c>
      <c r="H1515" s="94">
        <v>3</v>
      </c>
      <c r="I1515" t="s">
        <v>107</v>
      </c>
      <c r="J1515" t="s">
        <v>63</v>
      </c>
    </row>
    <row r="1516" spans="1:10" x14ac:dyDescent="0.25">
      <c r="A1516" t="s">
        <v>132</v>
      </c>
      <c r="B1516" t="s">
        <v>168</v>
      </c>
      <c r="C1516" s="12" t="s">
        <v>109</v>
      </c>
      <c r="D1516" t="s">
        <v>4</v>
      </c>
      <c r="E1516" t="s">
        <v>12</v>
      </c>
      <c r="F1516" t="s">
        <v>72</v>
      </c>
      <c r="G1516" t="s">
        <v>180</v>
      </c>
      <c r="H1516" s="94">
        <v>3</v>
      </c>
      <c r="I1516" t="s">
        <v>107</v>
      </c>
      <c r="J1516" t="s">
        <v>11</v>
      </c>
    </row>
    <row r="1517" spans="1:10" x14ac:dyDescent="0.25">
      <c r="A1517" t="s">
        <v>132</v>
      </c>
      <c r="B1517" t="s">
        <v>168</v>
      </c>
      <c r="C1517" s="12" t="s">
        <v>109</v>
      </c>
      <c r="D1517" t="s">
        <v>4</v>
      </c>
      <c r="E1517" t="s">
        <v>12</v>
      </c>
      <c r="F1517" t="s">
        <v>72</v>
      </c>
      <c r="G1517" t="s">
        <v>180</v>
      </c>
      <c r="H1517" s="94">
        <v>3</v>
      </c>
      <c r="I1517" t="s">
        <v>62</v>
      </c>
      <c r="J1517" t="s">
        <v>13</v>
      </c>
    </row>
    <row r="1518" spans="1:10" x14ac:dyDescent="0.25">
      <c r="A1518" t="s">
        <v>132</v>
      </c>
      <c r="B1518" t="s">
        <v>168</v>
      </c>
      <c r="C1518" s="12" t="s">
        <v>109</v>
      </c>
      <c r="D1518" t="s">
        <v>4</v>
      </c>
      <c r="E1518" t="s">
        <v>12</v>
      </c>
      <c r="F1518" t="s">
        <v>72</v>
      </c>
      <c r="G1518" t="s">
        <v>180</v>
      </c>
      <c r="H1518" s="94">
        <v>3</v>
      </c>
      <c r="I1518" t="s">
        <v>62</v>
      </c>
      <c r="J1518" t="s">
        <v>63</v>
      </c>
    </row>
    <row r="1519" spans="1:10" x14ac:dyDescent="0.25">
      <c r="A1519" t="s">
        <v>132</v>
      </c>
      <c r="B1519" t="s">
        <v>168</v>
      </c>
      <c r="C1519" s="12" t="s">
        <v>109</v>
      </c>
      <c r="D1519" t="s">
        <v>4</v>
      </c>
      <c r="E1519" t="s">
        <v>12</v>
      </c>
      <c r="F1519" t="s">
        <v>72</v>
      </c>
      <c r="G1519" t="s">
        <v>180</v>
      </c>
      <c r="H1519" s="94">
        <v>3</v>
      </c>
      <c r="I1519" t="s">
        <v>62</v>
      </c>
      <c r="J1519" t="s">
        <v>11</v>
      </c>
    </row>
    <row r="1520" spans="1:10" x14ac:dyDescent="0.25">
      <c r="A1520" t="s">
        <v>132</v>
      </c>
      <c r="B1520" t="s">
        <v>168</v>
      </c>
      <c r="C1520" s="12" t="s">
        <v>109</v>
      </c>
      <c r="D1520" t="s">
        <v>4</v>
      </c>
      <c r="E1520" t="s">
        <v>12</v>
      </c>
      <c r="F1520" t="s">
        <v>72</v>
      </c>
      <c r="G1520" t="s">
        <v>180</v>
      </c>
      <c r="H1520" s="94">
        <v>3</v>
      </c>
      <c r="I1520" t="s">
        <v>60</v>
      </c>
      <c r="J1520" t="s">
        <v>13</v>
      </c>
    </row>
    <row r="1521" spans="1:10" x14ac:dyDescent="0.25">
      <c r="A1521" t="s">
        <v>132</v>
      </c>
      <c r="B1521" t="s">
        <v>168</v>
      </c>
      <c r="C1521" s="12" t="s">
        <v>109</v>
      </c>
      <c r="D1521" t="s">
        <v>4</v>
      </c>
      <c r="E1521" t="s">
        <v>12</v>
      </c>
      <c r="F1521" t="s">
        <v>72</v>
      </c>
      <c r="G1521" t="s">
        <v>180</v>
      </c>
      <c r="H1521" s="94">
        <v>3</v>
      </c>
      <c r="I1521" t="s">
        <v>60</v>
      </c>
      <c r="J1521" t="s">
        <v>63</v>
      </c>
    </row>
    <row r="1522" spans="1:10" x14ac:dyDescent="0.25">
      <c r="A1522" t="s">
        <v>132</v>
      </c>
      <c r="B1522" t="s">
        <v>168</v>
      </c>
      <c r="C1522" s="12" t="s">
        <v>109</v>
      </c>
      <c r="D1522" t="s">
        <v>4</v>
      </c>
      <c r="E1522" t="s">
        <v>12</v>
      </c>
      <c r="F1522" t="s">
        <v>72</v>
      </c>
      <c r="G1522" t="s">
        <v>180</v>
      </c>
      <c r="H1522" s="94">
        <v>3</v>
      </c>
      <c r="I1522" t="s">
        <v>60</v>
      </c>
      <c r="J1522" t="s">
        <v>11</v>
      </c>
    </row>
    <row r="1523" spans="1:10" x14ac:dyDescent="0.25">
      <c r="A1523" t="s">
        <v>132</v>
      </c>
      <c r="B1523" t="s">
        <v>168</v>
      </c>
      <c r="C1523" s="12" t="s">
        <v>109</v>
      </c>
      <c r="D1523" t="s">
        <v>4</v>
      </c>
      <c r="E1523" t="s">
        <v>12</v>
      </c>
      <c r="F1523" t="s">
        <v>72</v>
      </c>
      <c r="G1523" t="s">
        <v>180</v>
      </c>
      <c r="H1523" s="94">
        <v>5</v>
      </c>
      <c r="I1523" t="s">
        <v>107</v>
      </c>
      <c r="J1523" t="s">
        <v>13</v>
      </c>
    </row>
    <row r="1524" spans="1:10" x14ac:dyDescent="0.25">
      <c r="A1524" t="s">
        <v>132</v>
      </c>
      <c r="B1524" t="s">
        <v>168</v>
      </c>
      <c r="C1524" s="12" t="s">
        <v>109</v>
      </c>
      <c r="D1524" t="s">
        <v>4</v>
      </c>
      <c r="E1524" t="s">
        <v>12</v>
      </c>
      <c r="F1524" t="s">
        <v>72</v>
      </c>
      <c r="G1524" t="s">
        <v>180</v>
      </c>
      <c r="H1524" s="94">
        <v>5</v>
      </c>
      <c r="I1524" t="s">
        <v>107</v>
      </c>
      <c r="J1524" t="s">
        <v>63</v>
      </c>
    </row>
    <row r="1525" spans="1:10" x14ac:dyDescent="0.25">
      <c r="A1525" t="s">
        <v>132</v>
      </c>
      <c r="B1525" t="s">
        <v>168</v>
      </c>
      <c r="C1525" s="12" t="s">
        <v>109</v>
      </c>
      <c r="D1525" t="s">
        <v>4</v>
      </c>
      <c r="E1525" t="s">
        <v>12</v>
      </c>
      <c r="F1525" t="s">
        <v>72</v>
      </c>
      <c r="G1525" t="s">
        <v>180</v>
      </c>
      <c r="H1525" s="94">
        <v>5</v>
      </c>
      <c r="I1525" t="s">
        <v>107</v>
      </c>
      <c r="J1525" t="s">
        <v>11</v>
      </c>
    </row>
    <row r="1526" spans="1:10" x14ac:dyDescent="0.25">
      <c r="A1526" t="s">
        <v>132</v>
      </c>
      <c r="B1526" t="s">
        <v>168</v>
      </c>
      <c r="C1526" s="12" t="s">
        <v>109</v>
      </c>
      <c r="D1526" t="s">
        <v>4</v>
      </c>
      <c r="E1526" t="s">
        <v>12</v>
      </c>
      <c r="F1526" t="s">
        <v>72</v>
      </c>
      <c r="G1526" t="s">
        <v>180</v>
      </c>
      <c r="H1526" s="94">
        <v>5</v>
      </c>
      <c r="I1526" t="s">
        <v>62</v>
      </c>
      <c r="J1526" t="s">
        <v>13</v>
      </c>
    </row>
    <row r="1527" spans="1:10" x14ac:dyDescent="0.25">
      <c r="A1527" t="s">
        <v>132</v>
      </c>
      <c r="B1527" t="s">
        <v>168</v>
      </c>
      <c r="C1527" s="12" t="s">
        <v>109</v>
      </c>
      <c r="D1527" t="s">
        <v>4</v>
      </c>
      <c r="E1527" t="s">
        <v>12</v>
      </c>
      <c r="F1527" t="s">
        <v>72</v>
      </c>
      <c r="G1527" t="s">
        <v>180</v>
      </c>
      <c r="H1527" s="94">
        <v>5</v>
      </c>
      <c r="I1527" t="s">
        <v>62</v>
      </c>
      <c r="J1527" t="s">
        <v>63</v>
      </c>
    </row>
    <row r="1528" spans="1:10" x14ac:dyDescent="0.25">
      <c r="A1528" t="s">
        <v>132</v>
      </c>
      <c r="B1528" t="s">
        <v>168</v>
      </c>
      <c r="C1528" s="12" t="s">
        <v>109</v>
      </c>
      <c r="D1528" t="s">
        <v>4</v>
      </c>
      <c r="E1528" t="s">
        <v>12</v>
      </c>
      <c r="F1528" t="s">
        <v>72</v>
      </c>
      <c r="G1528" t="s">
        <v>180</v>
      </c>
      <c r="H1528" s="94">
        <v>5</v>
      </c>
      <c r="I1528" t="s">
        <v>62</v>
      </c>
      <c r="J1528" t="s">
        <v>11</v>
      </c>
    </row>
    <row r="1529" spans="1:10" x14ac:dyDescent="0.25">
      <c r="A1529" t="s">
        <v>132</v>
      </c>
      <c r="B1529" t="s">
        <v>168</v>
      </c>
      <c r="C1529" s="12" t="s">
        <v>109</v>
      </c>
      <c r="D1529" t="s">
        <v>4</v>
      </c>
      <c r="E1529" t="s">
        <v>12</v>
      </c>
      <c r="F1529" t="s">
        <v>72</v>
      </c>
      <c r="G1529" t="s">
        <v>180</v>
      </c>
      <c r="H1529" s="94">
        <v>5</v>
      </c>
      <c r="I1529" t="s">
        <v>60</v>
      </c>
      <c r="J1529" t="s">
        <v>13</v>
      </c>
    </row>
    <row r="1530" spans="1:10" x14ac:dyDescent="0.25">
      <c r="A1530" t="s">
        <v>132</v>
      </c>
      <c r="B1530" t="s">
        <v>168</v>
      </c>
      <c r="C1530" s="12" t="s">
        <v>109</v>
      </c>
      <c r="D1530" t="s">
        <v>4</v>
      </c>
      <c r="E1530" t="s">
        <v>12</v>
      </c>
      <c r="F1530" t="s">
        <v>72</v>
      </c>
      <c r="G1530" t="s">
        <v>180</v>
      </c>
      <c r="H1530" s="94">
        <v>5</v>
      </c>
      <c r="I1530" t="s">
        <v>60</v>
      </c>
      <c r="J1530" t="s">
        <v>63</v>
      </c>
    </row>
    <row r="1531" spans="1:10" x14ac:dyDescent="0.25">
      <c r="A1531" t="s">
        <v>132</v>
      </c>
      <c r="B1531" t="s">
        <v>168</v>
      </c>
      <c r="C1531" s="12" t="s">
        <v>109</v>
      </c>
      <c r="D1531" t="s">
        <v>4</v>
      </c>
      <c r="E1531" t="s">
        <v>12</v>
      </c>
      <c r="F1531" t="s">
        <v>72</v>
      </c>
      <c r="G1531" t="s">
        <v>180</v>
      </c>
      <c r="H1531" s="94">
        <v>5</v>
      </c>
      <c r="I1531" t="s">
        <v>60</v>
      </c>
      <c r="J1531" t="s">
        <v>11</v>
      </c>
    </row>
    <row r="1532" spans="1:10" x14ac:dyDescent="0.25">
      <c r="A1532" t="s">
        <v>132</v>
      </c>
      <c r="B1532" t="s">
        <v>168</v>
      </c>
      <c r="C1532" s="12" t="s">
        <v>109</v>
      </c>
      <c r="D1532" t="s">
        <v>4</v>
      </c>
      <c r="E1532" t="s">
        <v>12</v>
      </c>
      <c r="F1532" t="s">
        <v>16</v>
      </c>
      <c r="G1532" t="s">
        <v>180</v>
      </c>
      <c r="H1532" s="94">
        <v>3</v>
      </c>
      <c r="I1532" t="s">
        <v>107</v>
      </c>
      <c r="J1532" t="s">
        <v>13</v>
      </c>
    </row>
    <row r="1533" spans="1:10" x14ac:dyDescent="0.25">
      <c r="A1533" t="s">
        <v>132</v>
      </c>
      <c r="B1533" t="s">
        <v>168</v>
      </c>
      <c r="C1533" s="12" t="s">
        <v>109</v>
      </c>
      <c r="D1533" t="s">
        <v>4</v>
      </c>
      <c r="E1533" t="s">
        <v>12</v>
      </c>
      <c r="F1533" t="s">
        <v>16</v>
      </c>
      <c r="G1533" t="s">
        <v>180</v>
      </c>
      <c r="H1533" s="94">
        <v>3</v>
      </c>
      <c r="I1533" t="s">
        <v>107</v>
      </c>
      <c r="J1533" t="s">
        <v>63</v>
      </c>
    </row>
    <row r="1534" spans="1:10" x14ac:dyDescent="0.25">
      <c r="A1534" t="s">
        <v>132</v>
      </c>
      <c r="B1534" t="s">
        <v>168</v>
      </c>
      <c r="C1534" s="12" t="s">
        <v>109</v>
      </c>
      <c r="D1534" t="s">
        <v>4</v>
      </c>
      <c r="E1534" t="s">
        <v>12</v>
      </c>
      <c r="F1534" t="s">
        <v>16</v>
      </c>
      <c r="G1534" t="s">
        <v>180</v>
      </c>
      <c r="H1534" s="94">
        <v>3</v>
      </c>
      <c r="I1534" t="s">
        <v>107</v>
      </c>
      <c r="J1534" t="s">
        <v>11</v>
      </c>
    </row>
    <row r="1535" spans="1:10" x14ac:dyDescent="0.25">
      <c r="A1535" t="s">
        <v>132</v>
      </c>
      <c r="B1535" t="s">
        <v>168</v>
      </c>
      <c r="C1535" s="12" t="s">
        <v>109</v>
      </c>
      <c r="D1535" t="s">
        <v>4</v>
      </c>
      <c r="E1535" t="s">
        <v>12</v>
      </c>
      <c r="F1535" t="s">
        <v>16</v>
      </c>
      <c r="G1535" t="s">
        <v>180</v>
      </c>
      <c r="H1535" s="94">
        <v>3</v>
      </c>
      <c r="I1535" t="s">
        <v>62</v>
      </c>
      <c r="J1535" t="s">
        <v>13</v>
      </c>
    </row>
    <row r="1536" spans="1:10" x14ac:dyDescent="0.25">
      <c r="A1536" t="s">
        <v>132</v>
      </c>
      <c r="B1536" t="s">
        <v>168</v>
      </c>
      <c r="C1536" s="12" t="s">
        <v>109</v>
      </c>
      <c r="D1536" t="s">
        <v>4</v>
      </c>
      <c r="E1536" t="s">
        <v>12</v>
      </c>
      <c r="F1536" t="s">
        <v>16</v>
      </c>
      <c r="G1536" t="s">
        <v>180</v>
      </c>
      <c r="H1536" s="94">
        <v>3</v>
      </c>
      <c r="I1536" t="s">
        <v>62</v>
      </c>
      <c r="J1536" t="s">
        <v>63</v>
      </c>
    </row>
    <row r="1537" spans="1:10" x14ac:dyDescent="0.25">
      <c r="A1537" t="s">
        <v>132</v>
      </c>
      <c r="B1537" t="s">
        <v>168</v>
      </c>
      <c r="C1537" s="12" t="s">
        <v>109</v>
      </c>
      <c r="D1537" t="s">
        <v>4</v>
      </c>
      <c r="E1537" t="s">
        <v>12</v>
      </c>
      <c r="F1537" t="s">
        <v>16</v>
      </c>
      <c r="G1537" t="s">
        <v>180</v>
      </c>
      <c r="H1537" s="94">
        <v>3</v>
      </c>
      <c r="I1537" t="s">
        <v>62</v>
      </c>
      <c r="J1537" t="s">
        <v>11</v>
      </c>
    </row>
    <row r="1538" spans="1:10" x14ac:dyDescent="0.25">
      <c r="A1538" t="s">
        <v>132</v>
      </c>
      <c r="B1538" t="s">
        <v>168</v>
      </c>
      <c r="C1538" s="12" t="s">
        <v>109</v>
      </c>
      <c r="D1538" t="s">
        <v>4</v>
      </c>
      <c r="E1538" t="s">
        <v>12</v>
      </c>
      <c r="F1538" t="s">
        <v>16</v>
      </c>
      <c r="G1538" t="s">
        <v>180</v>
      </c>
      <c r="H1538" s="94">
        <v>3</v>
      </c>
      <c r="I1538" t="s">
        <v>60</v>
      </c>
      <c r="J1538" t="s">
        <v>13</v>
      </c>
    </row>
    <row r="1539" spans="1:10" x14ac:dyDescent="0.25">
      <c r="A1539" t="s">
        <v>132</v>
      </c>
      <c r="B1539" t="s">
        <v>168</v>
      </c>
      <c r="C1539" s="12" t="s">
        <v>109</v>
      </c>
      <c r="D1539" t="s">
        <v>4</v>
      </c>
      <c r="E1539" t="s">
        <v>12</v>
      </c>
      <c r="F1539" t="s">
        <v>16</v>
      </c>
      <c r="G1539" t="s">
        <v>180</v>
      </c>
      <c r="H1539" s="94">
        <v>3</v>
      </c>
      <c r="I1539" t="s">
        <v>60</v>
      </c>
      <c r="J1539" t="s">
        <v>63</v>
      </c>
    </row>
    <row r="1540" spans="1:10" x14ac:dyDescent="0.25">
      <c r="A1540" t="s">
        <v>132</v>
      </c>
      <c r="B1540" t="s">
        <v>168</v>
      </c>
      <c r="C1540" s="12" t="s">
        <v>109</v>
      </c>
      <c r="D1540" t="s">
        <v>4</v>
      </c>
      <c r="E1540" t="s">
        <v>12</v>
      </c>
      <c r="F1540" t="s">
        <v>16</v>
      </c>
      <c r="G1540" t="s">
        <v>180</v>
      </c>
      <c r="H1540" s="94">
        <v>3</v>
      </c>
      <c r="I1540" t="s">
        <v>60</v>
      </c>
      <c r="J1540" t="s">
        <v>11</v>
      </c>
    </row>
    <row r="1541" spans="1:10" x14ac:dyDescent="0.25">
      <c r="A1541" t="s">
        <v>132</v>
      </c>
      <c r="B1541" t="s">
        <v>168</v>
      </c>
      <c r="C1541" s="12" t="s">
        <v>109</v>
      </c>
      <c r="D1541" t="s">
        <v>4</v>
      </c>
      <c r="E1541" t="s">
        <v>12</v>
      </c>
      <c r="F1541" t="s">
        <v>16</v>
      </c>
      <c r="G1541" t="s">
        <v>180</v>
      </c>
      <c r="H1541" s="94">
        <v>5</v>
      </c>
      <c r="I1541" t="s">
        <v>107</v>
      </c>
      <c r="J1541" t="s">
        <v>13</v>
      </c>
    </row>
    <row r="1542" spans="1:10" x14ac:dyDescent="0.25">
      <c r="A1542" t="s">
        <v>132</v>
      </c>
      <c r="B1542" t="s">
        <v>168</v>
      </c>
      <c r="C1542" s="12" t="s">
        <v>109</v>
      </c>
      <c r="D1542" t="s">
        <v>4</v>
      </c>
      <c r="E1542" t="s">
        <v>12</v>
      </c>
      <c r="F1542" t="s">
        <v>16</v>
      </c>
      <c r="G1542" t="s">
        <v>180</v>
      </c>
      <c r="H1542" s="94">
        <v>5</v>
      </c>
      <c r="I1542" t="s">
        <v>107</v>
      </c>
      <c r="J1542" t="s">
        <v>63</v>
      </c>
    </row>
    <row r="1543" spans="1:10" x14ac:dyDescent="0.25">
      <c r="A1543" t="s">
        <v>132</v>
      </c>
      <c r="B1543" t="s">
        <v>168</v>
      </c>
      <c r="C1543" s="12" t="s">
        <v>109</v>
      </c>
      <c r="D1543" t="s">
        <v>4</v>
      </c>
      <c r="E1543" t="s">
        <v>12</v>
      </c>
      <c r="F1543" t="s">
        <v>16</v>
      </c>
      <c r="G1543" t="s">
        <v>180</v>
      </c>
      <c r="H1543" s="94">
        <v>5</v>
      </c>
      <c r="I1543" t="s">
        <v>107</v>
      </c>
      <c r="J1543" t="s">
        <v>11</v>
      </c>
    </row>
    <row r="1544" spans="1:10" x14ac:dyDescent="0.25">
      <c r="A1544" t="s">
        <v>132</v>
      </c>
      <c r="B1544" t="s">
        <v>168</v>
      </c>
      <c r="C1544" s="12" t="s">
        <v>109</v>
      </c>
      <c r="D1544" t="s">
        <v>4</v>
      </c>
      <c r="E1544" t="s">
        <v>12</v>
      </c>
      <c r="F1544" t="s">
        <v>16</v>
      </c>
      <c r="G1544" t="s">
        <v>180</v>
      </c>
      <c r="H1544" s="94">
        <v>5</v>
      </c>
      <c r="I1544" t="s">
        <v>62</v>
      </c>
      <c r="J1544" t="s">
        <v>13</v>
      </c>
    </row>
    <row r="1545" spans="1:10" x14ac:dyDescent="0.25">
      <c r="A1545" t="s">
        <v>132</v>
      </c>
      <c r="B1545" t="s">
        <v>168</v>
      </c>
      <c r="C1545" s="12" t="s">
        <v>109</v>
      </c>
      <c r="D1545" t="s">
        <v>4</v>
      </c>
      <c r="E1545" t="s">
        <v>12</v>
      </c>
      <c r="F1545" t="s">
        <v>16</v>
      </c>
      <c r="G1545" t="s">
        <v>180</v>
      </c>
      <c r="H1545" s="94">
        <v>5</v>
      </c>
      <c r="I1545" t="s">
        <v>62</v>
      </c>
      <c r="J1545" t="s">
        <v>63</v>
      </c>
    </row>
    <row r="1546" spans="1:10" x14ac:dyDescent="0.25">
      <c r="A1546" t="s">
        <v>132</v>
      </c>
      <c r="B1546" t="s">
        <v>168</v>
      </c>
      <c r="C1546" s="12" t="s">
        <v>109</v>
      </c>
      <c r="D1546" t="s">
        <v>4</v>
      </c>
      <c r="E1546" t="s">
        <v>12</v>
      </c>
      <c r="F1546" t="s">
        <v>16</v>
      </c>
      <c r="G1546" t="s">
        <v>180</v>
      </c>
      <c r="H1546" s="94">
        <v>5</v>
      </c>
      <c r="I1546" t="s">
        <v>62</v>
      </c>
      <c r="J1546" t="s">
        <v>11</v>
      </c>
    </row>
    <row r="1547" spans="1:10" x14ac:dyDescent="0.25">
      <c r="A1547" t="s">
        <v>132</v>
      </c>
      <c r="B1547" t="s">
        <v>168</v>
      </c>
      <c r="C1547" s="12" t="s">
        <v>109</v>
      </c>
      <c r="D1547" t="s">
        <v>4</v>
      </c>
      <c r="E1547" t="s">
        <v>12</v>
      </c>
      <c r="F1547" t="s">
        <v>16</v>
      </c>
      <c r="G1547" t="s">
        <v>180</v>
      </c>
      <c r="H1547" s="94">
        <v>5</v>
      </c>
      <c r="I1547" t="s">
        <v>60</v>
      </c>
      <c r="J1547" t="s">
        <v>13</v>
      </c>
    </row>
    <row r="1548" spans="1:10" x14ac:dyDescent="0.25">
      <c r="A1548" t="s">
        <v>132</v>
      </c>
      <c r="B1548" t="s">
        <v>168</v>
      </c>
      <c r="C1548" s="12" t="s">
        <v>109</v>
      </c>
      <c r="D1548" t="s">
        <v>4</v>
      </c>
      <c r="E1548" t="s">
        <v>12</v>
      </c>
      <c r="F1548" t="s">
        <v>16</v>
      </c>
      <c r="G1548" t="s">
        <v>180</v>
      </c>
      <c r="H1548" s="94">
        <v>5</v>
      </c>
      <c r="I1548" t="s">
        <v>60</v>
      </c>
      <c r="J1548" t="s">
        <v>63</v>
      </c>
    </row>
    <row r="1549" spans="1:10" x14ac:dyDescent="0.25">
      <c r="A1549" t="s">
        <v>132</v>
      </c>
      <c r="B1549" t="s">
        <v>168</v>
      </c>
      <c r="C1549" s="12" t="s">
        <v>109</v>
      </c>
      <c r="D1549" t="s">
        <v>4</v>
      </c>
      <c r="E1549" t="s">
        <v>12</v>
      </c>
      <c r="F1549" t="s">
        <v>16</v>
      </c>
      <c r="G1549" t="s">
        <v>180</v>
      </c>
      <c r="H1549" s="94">
        <v>5</v>
      </c>
      <c r="I1549" t="s">
        <v>60</v>
      </c>
      <c r="J1549" t="s">
        <v>11</v>
      </c>
    </row>
    <row r="1550" spans="1:10" x14ac:dyDescent="0.25">
      <c r="A1550" t="s">
        <v>132</v>
      </c>
      <c r="B1550" t="s">
        <v>168</v>
      </c>
      <c r="C1550" s="12" t="s">
        <v>109</v>
      </c>
      <c r="D1550" t="s">
        <v>4</v>
      </c>
      <c r="E1550" t="s">
        <v>12</v>
      </c>
      <c r="F1550" t="s">
        <v>8</v>
      </c>
      <c r="G1550" t="s">
        <v>180</v>
      </c>
      <c r="H1550" s="94">
        <v>3</v>
      </c>
      <c r="I1550" t="s">
        <v>107</v>
      </c>
      <c r="J1550" t="s">
        <v>13</v>
      </c>
    </row>
    <row r="1551" spans="1:10" x14ac:dyDescent="0.25">
      <c r="A1551" t="s">
        <v>132</v>
      </c>
      <c r="B1551" t="s">
        <v>168</v>
      </c>
      <c r="C1551" s="12" t="s">
        <v>109</v>
      </c>
      <c r="D1551" t="s">
        <v>4</v>
      </c>
      <c r="E1551" t="s">
        <v>12</v>
      </c>
      <c r="F1551" t="s">
        <v>8</v>
      </c>
      <c r="G1551" t="s">
        <v>180</v>
      </c>
      <c r="H1551" s="94">
        <v>3</v>
      </c>
      <c r="I1551" t="s">
        <v>107</v>
      </c>
      <c r="J1551" t="s">
        <v>63</v>
      </c>
    </row>
    <row r="1552" spans="1:10" x14ac:dyDescent="0.25">
      <c r="A1552" t="s">
        <v>132</v>
      </c>
      <c r="B1552" t="s">
        <v>168</v>
      </c>
      <c r="C1552" s="12" t="s">
        <v>109</v>
      </c>
      <c r="D1552" t="s">
        <v>4</v>
      </c>
      <c r="E1552" t="s">
        <v>12</v>
      </c>
      <c r="F1552" t="s">
        <v>8</v>
      </c>
      <c r="G1552" t="s">
        <v>180</v>
      </c>
      <c r="H1552" s="94">
        <v>3</v>
      </c>
      <c r="I1552" t="s">
        <v>107</v>
      </c>
      <c r="J1552" t="s">
        <v>11</v>
      </c>
    </row>
    <row r="1553" spans="1:10" x14ac:dyDescent="0.25">
      <c r="A1553" t="s">
        <v>132</v>
      </c>
      <c r="B1553" t="s">
        <v>168</v>
      </c>
      <c r="C1553" s="12" t="s">
        <v>109</v>
      </c>
      <c r="D1553" t="s">
        <v>4</v>
      </c>
      <c r="E1553" t="s">
        <v>12</v>
      </c>
      <c r="F1553" t="s">
        <v>8</v>
      </c>
      <c r="G1553" t="s">
        <v>180</v>
      </c>
      <c r="H1553" s="94">
        <v>3</v>
      </c>
      <c r="I1553" t="s">
        <v>62</v>
      </c>
      <c r="J1553" t="s">
        <v>13</v>
      </c>
    </row>
    <row r="1554" spans="1:10" x14ac:dyDescent="0.25">
      <c r="A1554" t="s">
        <v>132</v>
      </c>
      <c r="B1554" t="s">
        <v>168</v>
      </c>
      <c r="C1554" s="12" t="s">
        <v>109</v>
      </c>
      <c r="D1554" t="s">
        <v>4</v>
      </c>
      <c r="E1554" t="s">
        <v>12</v>
      </c>
      <c r="F1554" t="s">
        <v>8</v>
      </c>
      <c r="G1554" t="s">
        <v>180</v>
      </c>
      <c r="H1554" s="94">
        <v>3</v>
      </c>
      <c r="I1554" t="s">
        <v>62</v>
      </c>
      <c r="J1554" t="s">
        <v>63</v>
      </c>
    </row>
    <row r="1555" spans="1:10" x14ac:dyDescent="0.25">
      <c r="A1555" t="s">
        <v>132</v>
      </c>
      <c r="B1555" t="s">
        <v>168</v>
      </c>
      <c r="C1555" s="12" t="s">
        <v>109</v>
      </c>
      <c r="D1555" t="s">
        <v>4</v>
      </c>
      <c r="E1555" t="s">
        <v>12</v>
      </c>
      <c r="F1555" t="s">
        <v>8</v>
      </c>
      <c r="G1555" t="s">
        <v>180</v>
      </c>
      <c r="H1555" s="94">
        <v>3</v>
      </c>
      <c r="I1555" t="s">
        <v>62</v>
      </c>
      <c r="J1555" t="s">
        <v>11</v>
      </c>
    </row>
    <row r="1556" spans="1:10" x14ac:dyDescent="0.25">
      <c r="A1556" t="s">
        <v>132</v>
      </c>
      <c r="B1556" t="s">
        <v>168</v>
      </c>
      <c r="C1556" s="12" t="s">
        <v>109</v>
      </c>
      <c r="D1556" t="s">
        <v>4</v>
      </c>
      <c r="E1556" t="s">
        <v>12</v>
      </c>
      <c r="F1556" t="s">
        <v>8</v>
      </c>
      <c r="G1556" t="s">
        <v>180</v>
      </c>
      <c r="H1556" s="94">
        <v>3</v>
      </c>
      <c r="I1556" t="s">
        <v>60</v>
      </c>
      <c r="J1556" t="s">
        <v>13</v>
      </c>
    </row>
    <row r="1557" spans="1:10" x14ac:dyDescent="0.25">
      <c r="A1557" t="s">
        <v>132</v>
      </c>
      <c r="B1557" t="s">
        <v>168</v>
      </c>
      <c r="C1557" s="12" t="s">
        <v>109</v>
      </c>
      <c r="D1557" t="s">
        <v>4</v>
      </c>
      <c r="E1557" t="s">
        <v>12</v>
      </c>
      <c r="F1557" t="s">
        <v>8</v>
      </c>
      <c r="G1557" t="s">
        <v>180</v>
      </c>
      <c r="H1557" s="94">
        <v>3</v>
      </c>
      <c r="I1557" t="s">
        <v>60</v>
      </c>
      <c r="J1557" t="s">
        <v>63</v>
      </c>
    </row>
    <row r="1558" spans="1:10" x14ac:dyDescent="0.25">
      <c r="A1558" t="s">
        <v>132</v>
      </c>
      <c r="B1558" t="s">
        <v>168</v>
      </c>
      <c r="C1558" s="12" t="s">
        <v>109</v>
      </c>
      <c r="D1558" t="s">
        <v>4</v>
      </c>
      <c r="E1558" t="s">
        <v>12</v>
      </c>
      <c r="F1558" t="s">
        <v>8</v>
      </c>
      <c r="G1558" t="s">
        <v>180</v>
      </c>
      <c r="H1558" s="94">
        <v>3</v>
      </c>
      <c r="I1558" t="s">
        <v>60</v>
      </c>
      <c r="J1558" t="s">
        <v>11</v>
      </c>
    </row>
    <row r="1559" spans="1:10" x14ac:dyDescent="0.25">
      <c r="A1559" t="s">
        <v>132</v>
      </c>
      <c r="B1559" t="s">
        <v>168</v>
      </c>
      <c r="C1559" s="12" t="s">
        <v>109</v>
      </c>
      <c r="D1559" t="s">
        <v>4</v>
      </c>
      <c r="E1559" t="s">
        <v>12</v>
      </c>
      <c r="F1559" t="s">
        <v>8</v>
      </c>
      <c r="G1559" t="s">
        <v>180</v>
      </c>
      <c r="H1559" s="94">
        <v>5</v>
      </c>
      <c r="I1559" t="s">
        <v>107</v>
      </c>
      <c r="J1559" t="s">
        <v>13</v>
      </c>
    </row>
    <row r="1560" spans="1:10" x14ac:dyDescent="0.25">
      <c r="A1560" t="s">
        <v>132</v>
      </c>
      <c r="B1560" t="s">
        <v>168</v>
      </c>
      <c r="C1560" s="12" t="s">
        <v>109</v>
      </c>
      <c r="D1560" t="s">
        <v>4</v>
      </c>
      <c r="E1560" t="s">
        <v>12</v>
      </c>
      <c r="F1560" t="s">
        <v>8</v>
      </c>
      <c r="G1560" t="s">
        <v>180</v>
      </c>
      <c r="H1560" s="94">
        <v>5</v>
      </c>
      <c r="I1560" t="s">
        <v>107</v>
      </c>
      <c r="J1560" t="s">
        <v>63</v>
      </c>
    </row>
    <row r="1561" spans="1:10" x14ac:dyDescent="0.25">
      <c r="A1561" t="s">
        <v>132</v>
      </c>
      <c r="B1561" t="s">
        <v>168</v>
      </c>
      <c r="C1561" s="12" t="s">
        <v>109</v>
      </c>
      <c r="D1561" t="s">
        <v>4</v>
      </c>
      <c r="E1561" t="s">
        <v>12</v>
      </c>
      <c r="F1561" t="s">
        <v>8</v>
      </c>
      <c r="G1561" t="s">
        <v>180</v>
      </c>
      <c r="H1561" s="94">
        <v>5</v>
      </c>
      <c r="I1561" t="s">
        <v>107</v>
      </c>
      <c r="J1561" t="s">
        <v>11</v>
      </c>
    </row>
    <row r="1562" spans="1:10" x14ac:dyDescent="0.25">
      <c r="A1562" t="s">
        <v>132</v>
      </c>
      <c r="B1562" t="s">
        <v>168</v>
      </c>
      <c r="C1562" s="12" t="s">
        <v>109</v>
      </c>
      <c r="D1562" t="s">
        <v>4</v>
      </c>
      <c r="E1562" t="s">
        <v>12</v>
      </c>
      <c r="F1562" t="s">
        <v>8</v>
      </c>
      <c r="G1562" t="s">
        <v>180</v>
      </c>
      <c r="H1562" s="94">
        <v>5</v>
      </c>
      <c r="I1562" t="s">
        <v>62</v>
      </c>
      <c r="J1562" t="s">
        <v>13</v>
      </c>
    </row>
    <row r="1563" spans="1:10" x14ac:dyDescent="0.25">
      <c r="A1563" t="s">
        <v>132</v>
      </c>
      <c r="B1563" t="s">
        <v>168</v>
      </c>
      <c r="C1563" s="12" t="s">
        <v>109</v>
      </c>
      <c r="D1563" t="s">
        <v>4</v>
      </c>
      <c r="E1563" t="s">
        <v>12</v>
      </c>
      <c r="F1563" t="s">
        <v>8</v>
      </c>
      <c r="G1563" t="s">
        <v>180</v>
      </c>
      <c r="H1563" s="94">
        <v>5</v>
      </c>
      <c r="I1563" t="s">
        <v>62</v>
      </c>
      <c r="J1563" t="s">
        <v>63</v>
      </c>
    </row>
    <row r="1564" spans="1:10" x14ac:dyDescent="0.25">
      <c r="A1564" t="s">
        <v>132</v>
      </c>
      <c r="B1564" t="s">
        <v>168</v>
      </c>
      <c r="C1564" s="12" t="s">
        <v>109</v>
      </c>
      <c r="D1564" t="s">
        <v>4</v>
      </c>
      <c r="E1564" t="s">
        <v>12</v>
      </c>
      <c r="F1564" t="s">
        <v>8</v>
      </c>
      <c r="G1564" t="s">
        <v>180</v>
      </c>
      <c r="H1564" s="94">
        <v>5</v>
      </c>
      <c r="I1564" t="s">
        <v>62</v>
      </c>
      <c r="J1564" t="s">
        <v>11</v>
      </c>
    </row>
    <row r="1565" spans="1:10" x14ac:dyDescent="0.25">
      <c r="A1565" t="s">
        <v>132</v>
      </c>
      <c r="B1565" t="s">
        <v>168</v>
      </c>
      <c r="C1565" s="12" t="s">
        <v>109</v>
      </c>
      <c r="D1565" t="s">
        <v>4</v>
      </c>
      <c r="E1565" t="s">
        <v>12</v>
      </c>
      <c r="F1565" t="s">
        <v>8</v>
      </c>
      <c r="G1565" t="s">
        <v>180</v>
      </c>
      <c r="H1565" s="94">
        <v>5</v>
      </c>
      <c r="I1565" t="s">
        <v>60</v>
      </c>
      <c r="J1565" t="s">
        <v>13</v>
      </c>
    </row>
    <row r="1566" spans="1:10" x14ac:dyDescent="0.25">
      <c r="A1566" t="s">
        <v>132</v>
      </c>
      <c r="B1566" t="s">
        <v>168</v>
      </c>
      <c r="C1566" s="12" t="s">
        <v>109</v>
      </c>
      <c r="D1566" t="s">
        <v>4</v>
      </c>
      <c r="E1566" t="s">
        <v>12</v>
      </c>
      <c r="F1566" t="s">
        <v>8</v>
      </c>
      <c r="G1566" t="s">
        <v>180</v>
      </c>
      <c r="H1566" s="94">
        <v>5</v>
      </c>
      <c r="I1566" t="s">
        <v>60</v>
      </c>
      <c r="J1566" t="s">
        <v>63</v>
      </c>
    </row>
    <row r="1567" spans="1:10" x14ac:dyDescent="0.25">
      <c r="A1567" t="s">
        <v>132</v>
      </c>
      <c r="B1567" t="s">
        <v>168</v>
      </c>
      <c r="C1567" s="12" t="s">
        <v>109</v>
      </c>
      <c r="D1567" t="s">
        <v>4</v>
      </c>
      <c r="E1567" t="s">
        <v>12</v>
      </c>
      <c r="F1567" t="s">
        <v>8</v>
      </c>
      <c r="G1567" t="s">
        <v>180</v>
      </c>
      <c r="H1567" s="94">
        <v>5</v>
      </c>
      <c r="I1567" t="s">
        <v>60</v>
      </c>
      <c r="J1567" t="s">
        <v>11</v>
      </c>
    </row>
    <row r="1568" spans="1:10" x14ac:dyDescent="0.25">
      <c r="A1568" t="s">
        <v>132</v>
      </c>
      <c r="B1568" t="s">
        <v>168</v>
      </c>
      <c r="C1568" s="12" t="s">
        <v>109</v>
      </c>
      <c r="D1568" t="s">
        <v>4</v>
      </c>
      <c r="E1568" t="s">
        <v>6</v>
      </c>
      <c r="F1568" t="s">
        <v>72</v>
      </c>
      <c r="G1568" t="s">
        <v>180</v>
      </c>
      <c r="H1568" s="94">
        <v>3</v>
      </c>
      <c r="I1568" t="s">
        <v>107</v>
      </c>
      <c r="J1568" t="s">
        <v>13</v>
      </c>
    </row>
    <row r="1569" spans="1:10" x14ac:dyDescent="0.25">
      <c r="A1569" t="s">
        <v>132</v>
      </c>
      <c r="B1569" t="s">
        <v>168</v>
      </c>
      <c r="C1569" s="12" t="s">
        <v>109</v>
      </c>
      <c r="D1569" t="s">
        <v>4</v>
      </c>
      <c r="E1569" t="s">
        <v>6</v>
      </c>
      <c r="F1569" t="s">
        <v>72</v>
      </c>
      <c r="G1569" t="s">
        <v>180</v>
      </c>
      <c r="H1569" s="94">
        <v>3</v>
      </c>
      <c r="I1569" t="s">
        <v>107</v>
      </c>
      <c r="J1569" t="s">
        <v>63</v>
      </c>
    </row>
    <row r="1570" spans="1:10" x14ac:dyDescent="0.25">
      <c r="A1570" t="s">
        <v>132</v>
      </c>
      <c r="B1570" t="s">
        <v>168</v>
      </c>
      <c r="C1570" s="12" t="s">
        <v>109</v>
      </c>
      <c r="D1570" t="s">
        <v>4</v>
      </c>
      <c r="E1570" t="s">
        <v>6</v>
      </c>
      <c r="F1570" t="s">
        <v>72</v>
      </c>
      <c r="G1570" t="s">
        <v>180</v>
      </c>
      <c r="H1570" s="94">
        <v>3</v>
      </c>
      <c r="I1570" t="s">
        <v>107</v>
      </c>
      <c r="J1570" t="s">
        <v>11</v>
      </c>
    </row>
    <row r="1571" spans="1:10" x14ac:dyDescent="0.25">
      <c r="A1571" t="s">
        <v>132</v>
      </c>
      <c r="B1571" t="s">
        <v>168</v>
      </c>
      <c r="C1571" s="12" t="s">
        <v>109</v>
      </c>
      <c r="D1571" t="s">
        <v>4</v>
      </c>
      <c r="E1571" t="s">
        <v>6</v>
      </c>
      <c r="F1571" t="s">
        <v>72</v>
      </c>
      <c r="G1571" t="s">
        <v>180</v>
      </c>
      <c r="H1571" s="94">
        <v>3</v>
      </c>
      <c r="I1571" t="s">
        <v>62</v>
      </c>
      <c r="J1571" t="s">
        <v>13</v>
      </c>
    </row>
    <row r="1572" spans="1:10" x14ac:dyDescent="0.25">
      <c r="A1572" t="s">
        <v>132</v>
      </c>
      <c r="B1572" t="s">
        <v>168</v>
      </c>
      <c r="C1572" s="12" t="s">
        <v>109</v>
      </c>
      <c r="D1572" t="s">
        <v>4</v>
      </c>
      <c r="E1572" t="s">
        <v>6</v>
      </c>
      <c r="F1572" t="s">
        <v>72</v>
      </c>
      <c r="G1572" t="s">
        <v>180</v>
      </c>
      <c r="H1572" s="94">
        <v>3</v>
      </c>
      <c r="I1572" t="s">
        <v>62</v>
      </c>
      <c r="J1572" t="s">
        <v>63</v>
      </c>
    </row>
    <row r="1573" spans="1:10" x14ac:dyDescent="0.25">
      <c r="A1573" t="s">
        <v>132</v>
      </c>
      <c r="B1573" t="s">
        <v>168</v>
      </c>
      <c r="C1573" s="12" t="s">
        <v>109</v>
      </c>
      <c r="D1573" t="s">
        <v>4</v>
      </c>
      <c r="E1573" t="s">
        <v>6</v>
      </c>
      <c r="F1573" t="s">
        <v>72</v>
      </c>
      <c r="G1573" t="s">
        <v>180</v>
      </c>
      <c r="H1573" s="94">
        <v>3</v>
      </c>
      <c r="I1573" t="s">
        <v>62</v>
      </c>
      <c r="J1573" t="s">
        <v>11</v>
      </c>
    </row>
    <row r="1574" spans="1:10" x14ac:dyDescent="0.25">
      <c r="A1574" t="s">
        <v>132</v>
      </c>
      <c r="B1574" t="s">
        <v>168</v>
      </c>
      <c r="C1574" s="12" t="s">
        <v>109</v>
      </c>
      <c r="D1574" t="s">
        <v>4</v>
      </c>
      <c r="E1574" t="s">
        <v>6</v>
      </c>
      <c r="F1574" t="s">
        <v>72</v>
      </c>
      <c r="G1574" t="s">
        <v>180</v>
      </c>
      <c r="H1574" s="94">
        <v>3</v>
      </c>
      <c r="I1574" t="s">
        <v>60</v>
      </c>
      <c r="J1574" t="s">
        <v>13</v>
      </c>
    </row>
    <row r="1575" spans="1:10" x14ac:dyDescent="0.25">
      <c r="A1575" t="s">
        <v>132</v>
      </c>
      <c r="B1575" t="s">
        <v>168</v>
      </c>
      <c r="C1575" s="12" t="s">
        <v>109</v>
      </c>
      <c r="D1575" t="s">
        <v>4</v>
      </c>
      <c r="E1575" t="s">
        <v>6</v>
      </c>
      <c r="F1575" t="s">
        <v>72</v>
      </c>
      <c r="G1575" t="s">
        <v>180</v>
      </c>
      <c r="H1575" s="94">
        <v>3</v>
      </c>
      <c r="I1575" t="s">
        <v>60</v>
      </c>
      <c r="J1575" t="s">
        <v>63</v>
      </c>
    </row>
    <row r="1576" spans="1:10" x14ac:dyDescent="0.25">
      <c r="A1576" t="s">
        <v>132</v>
      </c>
      <c r="B1576" t="s">
        <v>168</v>
      </c>
      <c r="C1576" s="12" t="s">
        <v>109</v>
      </c>
      <c r="D1576" t="s">
        <v>4</v>
      </c>
      <c r="E1576" t="s">
        <v>6</v>
      </c>
      <c r="F1576" t="s">
        <v>72</v>
      </c>
      <c r="G1576" t="s">
        <v>180</v>
      </c>
      <c r="H1576" s="94">
        <v>3</v>
      </c>
      <c r="I1576" t="s">
        <v>60</v>
      </c>
      <c r="J1576" t="s">
        <v>11</v>
      </c>
    </row>
    <row r="1577" spans="1:10" x14ac:dyDescent="0.25">
      <c r="A1577" t="s">
        <v>132</v>
      </c>
      <c r="B1577" t="s">
        <v>168</v>
      </c>
      <c r="C1577" s="12" t="s">
        <v>109</v>
      </c>
      <c r="D1577" t="s">
        <v>4</v>
      </c>
      <c r="E1577" t="s">
        <v>6</v>
      </c>
      <c r="F1577" t="s">
        <v>72</v>
      </c>
      <c r="G1577" t="s">
        <v>180</v>
      </c>
      <c r="H1577" s="94">
        <v>5</v>
      </c>
      <c r="I1577" t="s">
        <v>107</v>
      </c>
      <c r="J1577" t="s">
        <v>13</v>
      </c>
    </row>
    <row r="1578" spans="1:10" x14ac:dyDescent="0.25">
      <c r="A1578" t="s">
        <v>132</v>
      </c>
      <c r="B1578" t="s">
        <v>168</v>
      </c>
      <c r="C1578" s="12" t="s">
        <v>109</v>
      </c>
      <c r="D1578" t="s">
        <v>4</v>
      </c>
      <c r="E1578" t="s">
        <v>6</v>
      </c>
      <c r="F1578" t="s">
        <v>72</v>
      </c>
      <c r="G1578" t="s">
        <v>180</v>
      </c>
      <c r="H1578" s="94">
        <v>5</v>
      </c>
      <c r="I1578" t="s">
        <v>107</v>
      </c>
      <c r="J1578" t="s">
        <v>63</v>
      </c>
    </row>
    <row r="1579" spans="1:10" x14ac:dyDescent="0.25">
      <c r="A1579" t="s">
        <v>132</v>
      </c>
      <c r="B1579" t="s">
        <v>168</v>
      </c>
      <c r="C1579" s="12" t="s">
        <v>109</v>
      </c>
      <c r="D1579" t="s">
        <v>4</v>
      </c>
      <c r="E1579" t="s">
        <v>6</v>
      </c>
      <c r="F1579" t="s">
        <v>72</v>
      </c>
      <c r="G1579" t="s">
        <v>180</v>
      </c>
      <c r="H1579" s="94">
        <v>5</v>
      </c>
      <c r="I1579" t="s">
        <v>107</v>
      </c>
      <c r="J1579" t="s">
        <v>11</v>
      </c>
    </row>
    <row r="1580" spans="1:10" x14ac:dyDescent="0.25">
      <c r="A1580" t="s">
        <v>132</v>
      </c>
      <c r="B1580" t="s">
        <v>168</v>
      </c>
      <c r="C1580" s="12" t="s">
        <v>109</v>
      </c>
      <c r="D1580" t="s">
        <v>4</v>
      </c>
      <c r="E1580" t="s">
        <v>6</v>
      </c>
      <c r="F1580" t="s">
        <v>72</v>
      </c>
      <c r="G1580" t="s">
        <v>180</v>
      </c>
      <c r="H1580" s="94">
        <v>5</v>
      </c>
      <c r="I1580" t="s">
        <v>62</v>
      </c>
      <c r="J1580" t="s">
        <v>13</v>
      </c>
    </row>
    <row r="1581" spans="1:10" x14ac:dyDescent="0.25">
      <c r="A1581" t="s">
        <v>132</v>
      </c>
      <c r="B1581" t="s">
        <v>168</v>
      </c>
      <c r="C1581" s="12" t="s">
        <v>109</v>
      </c>
      <c r="D1581" t="s">
        <v>4</v>
      </c>
      <c r="E1581" t="s">
        <v>6</v>
      </c>
      <c r="F1581" t="s">
        <v>72</v>
      </c>
      <c r="G1581" t="s">
        <v>180</v>
      </c>
      <c r="H1581" s="94">
        <v>5</v>
      </c>
      <c r="I1581" t="s">
        <v>62</v>
      </c>
      <c r="J1581" t="s">
        <v>63</v>
      </c>
    </row>
    <row r="1582" spans="1:10" x14ac:dyDescent="0.25">
      <c r="A1582" t="s">
        <v>132</v>
      </c>
      <c r="B1582" t="s">
        <v>168</v>
      </c>
      <c r="C1582" s="12" t="s">
        <v>109</v>
      </c>
      <c r="D1582" t="s">
        <v>4</v>
      </c>
      <c r="E1582" t="s">
        <v>6</v>
      </c>
      <c r="F1582" t="s">
        <v>72</v>
      </c>
      <c r="G1582" t="s">
        <v>180</v>
      </c>
      <c r="H1582" s="94">
        <v>5</v>
      </c>
      <c r="I1582" t="s">
        <v>62</v>
      </c>
      <c r="J1582" t="s">
        <v>11</v>
      </c>
    </row>
    <row r="1583" spans="1:10" x14ac:dyDescent="0.25">
      <c r="A1583" t="s">
        <v>132</v>
      </c>
      <c r="B1583" t="s">
        <v>168</v>
      </c>
      <c r="C1583" s="12" t="s">
        <v>109</v>
      </c>
      <c r="D1583" t="s">
        <v>4</v>
      </c>
      <c r="E1583" t="s">
        <v>6</v>
      </c>
      <c r="F1583" t="s">
        <v>72</v>
      </c>
      <c r="G1583" t="s">
        <v>180</v>
      </c>
      <c r="H1583" s="94">
        <v>5</v>
      </c>
      <c r="I1583" t="s">
        <v>60</v>
      </c>
      <c r="J1583" t="s">
        <v>13</v>
      </c>
    </row>
    <row r="1584" spans="1:10" x14ac:dyDescent="0.25">
      <c r="A1584" t="s">
        <v>132</v>
      </c>
      <c r="B1584" t="s">
        <v>168</v>
      </c>
      <c r="C1584" s="12" t="s">
        <v>109</v>
      </c>
      <c r="D1584" t="s">
        <v>4</v>
      </c>
      <c r="E1584" t="s">
        <v>6</v>
      </c>
      <c r="F1584" t="s">
        <v>72</v>
      </c>
      <c r="G1584" t="s">
        <v>180</v>
      </c>
      <c r="H1584" s="94">
        <v>5</v>
      </c>
      <c r="I1584" t="s">
        <v>60</v>
      </c>
      <c r="J1584" t="s">
        <v>63</v>
      </c>
    </row>
    <row r="1585" spans="1:10" x14ac:dyDescent="0.25">
      <c r="A1585" t="s">
        <v>132</v>
      </c>
      <c r="B1585" t="s">
        <v>168</v>
      </c>
      <c r="C1585" s="12" t="s">
        <v>109</v>
      </c>
      <c r="D1585" t="s">
        <v>4</v>
      </c>
      <c r="E1585" t="s">
        <v>6</v>
      </c>
      <c r="F1585" t="s">
        <v>72</v>
      </c>
      <c r="G1585" t="s">
        <v>180</v>
      </c>
      <c r="H1585" s="94">
        <v>5</v>
      </c>
      <c r="I1585" t="s">
        <v>60</v>
      </c>
      <c r="J1585" t="s">
        <v>11</v>
      </c>
    </row>
    <row r="1586" spans="1:10" x14ac:dyDescent="0.25">
      <c r="A1586" t="s">
        <v>132</v>
      </c>
      <c r="B1586" t="s">
        <v>168</v>
      </c>
      <c r="C1586" s="12" t="s">
        <v>109</v>
      </c>
      <c r="D1586" t="s">
        <v>4</v>
      </c>
      <c r="E1586" t="s">
        <v>6</v>
      </c>
      <c r="F1586" t="s">
        <v>16</v>
      </c>
      <c r="G1586" t="s">
        <v>180</v>
      </c>
      <c r="H1586" s="94">
        <v>3</v>
      </c>
      <c r="I1586" t="s">
        <v>107</v>
      </c>
      <c r="J1586" t="s">
        <v>13</v>
      </c>
    </row>
    <row r="1587" spans="1:10" x14ac:dyDescent="0.25">
      <c r="A1587" t="s">
        <v>132</v>
      </c>
      <c r="B1587" t="s">
        <v>168</v>
      </c>
      <c r="C1587" s="12" t="s">
        <v>109</v>
      </c>
      <c r="D1587" t="s">
        <v>4</v>
      </c>
      <c r="E1587" t="s">
        <v>6</v>
      </c>
      <c r="F1587" t="s">
        <v>16</v>
      </c>
      <c r="G1587" t="s">
        <v>180</v>
      </c>
      <c r="H1587" s="94">
        <v>3</v>
      </c>
      <c r="I1587" t="s">
        <v>107</v>
      </c>
      <c r="J1587" t="s">
        <v>63</v>
      </c>
    </row>
    <row r="1588" spans="1:10" x14ac:dyDescent="0.25">
      <c r="A1588" t="s">
        <v>132</v>
      </c>
      <c r="B1588" t="s">
        <v>168</v>
      </c>
      <c r="C1588" s="12" t="s">
        <v>109</v>
      </c>
      <c r="D1588" t="s">
        <v>4</v>
      </c>
      <c r="E1588" t="s">
        <v>6</v>
      </c>
      <c r="F1588" t="s">
        <v>16</v>
      </c>
      <c r="G1588" t="s">
        <v>180</v>
      </c>
      <c r="H1588" s="94">
        <v>3</v>
      </c>
      <c r="I1588" t="s">
        <v>107</v>
      </c>
      <c r="J1588" t="s">
        <v>11</v>
      </c>
    </row>
    <row r="1589" spans="1:10" x14ac:dyDescent="0.25">
      <c r="A1589" t="s">
        <v>132</v>
      </c>
      <c r="B1589" t="s">
        <v>168</v>
      </c>
      <c r="C1589" s="12" t="s">
        <v>109</v>
      </c>
      <c r="D1589" t="s">
        <v>4</v>
      </c>
      <c r="E1589" t="s">
        <v>6</v>
      </c>
      <c r="F1589" t="s">
        <v>16</v>
      </c>
      <c r="G1589" t="s">
        <v>180</v>
      </c>
      <c r="H1589" s="94">
        <v>3</v>
      </c>
      <c r="I1589" t="s">
        <v>62</v>
      </c>
      <c r="J1589" t="s">
        <v>13</v>
      </c>
    </row>
    <row r="1590" spans="1:10" x14ac:dyDescent="0.25">
      <c r="A1590" t="s">
        <v>132</v>
      </c>
      <c r="B1590" t="s">
        <v>168</v>
      </c>
      <c r="C1590" s="12" t="s">
        <v>109</v>
      </c>
      <c r="D1590" t="s">
        <v>4</v>
      </c>
      <c r="E1590" t="s">
        <v>6</v>
      </c>
      <c r="F1590" t="s">
        <v>16</v>
      </c>
      <c r="G1590" t="s">
        <v>180</v>
      </c>
      <c r="H1590" s="94">
        <v>3</v>
      </c>
      <c r="I1590" t="s">
        <v>62</v>
      </c>
      <c r="J1590" t="s">
        <v>63</v>
      </c>
    </row>
    <row r="1591" spans="1:10" x14ac:dyDescent="0.25">
      <c r="A1591" t="s">
        <v>132</v>
      </c>
      <c r="B1591" t="s">
        <v>168</v>
      </c>
      <c r="C1591" s="12" t="s">
        <v>109</v>
      </c>
      <c r="D1591" t="s">
        <v>4</v>
      </c>
      <c r="E1591" t="s">
        <v>6</v>
      </c>
      <c r="F1591" t="s">
        <v>16</v>
      </c>
      <c r="G1591" t="s">
        <v>180</v>
      </c>
      <c r="H1591" s="94">
        <v>3</v>
      </c>
      <c r="I1591" t="s">
        <v>62</v>
      </c>
      <c r="J1591" t="s">
        <v>11</v>
      </c>
    </row>
    <row r="1592" spans="1:10" x14ac:dyDescent="0.25">
      <c r="A1592" t="s">
        <v>132</v>
      </c>
      <c r="B1592" t="s">
        <v>168</v>
      </c>
      <c r="C1592" s="12" t="s">
        <v>109</v>
      </c>
      <c r="D1592" t="s">
        <v>4</v>
      </c>
      <c r="E1592" t="s">
        <v>6</v>
      </c>
      <c r="F1592" t="s">
        <v>16</v>
      </c>
      <c r="G1592" t="s">
        <v>180</v>
      </c>
      <c r="H1592" s="94">
        <v>3</v>
      </c>
      <c r="I1592" t="s">
        <v>60</v>
      </c>
      <c r="J1592" t="s">
        <v>13</v>
      </c>
    </row>
    <row r="1593" spans="1:10" x14ac:dyDescent="0.25">
      <c r="A1593" t="s">
        <v>132</v>
      </c>
      <c r="B1593" t="s">
        <v>168</v>
      </c>
      <c r="C1593" s="12" t="s">
        <v>109</v>
      </c>
      <c r="D1593" t="s">
        <v>4</v>
      </c>
      <c r="E1593" t="s">
        <v>6</v>
      </c>
      <c r="F1593" t="s">
        <v>16</v>
      </c>
      <c r="G1593" t="s">
        <v>180</v>
      </c>
      <c r="H1593" s="94">
        <v>3</v>
      </c>
      <c r="I1593" t="s">
        <v>60</v>
      </c>
      <c r="J1593" t="s">
        <v>63</v>
      </c>
    </row>
    <row r="1594" spans="1:10" x14ac:dyDescent="0.25">
      <c r="A1594" t="s">
        <v>132</v>
      </c>
      <c r="B1594" t="s">
        <v>168</v>
      </c>
      <c r="C1594" s="12" t="s">
        <v>109</v>
      </c>
      <c r="D1594" t="s">
        <v>4</v>
      </c>
      <c r="E1594" t="s">
        <v>6</v>
      </c>
      <c r="F1594" t="s">
        <v>16</v>
      </c>
      <c r="G1594" t="s">
        <v>180</v>
      </c>
      <c r="H1594" s="94">
        <v>3</v>
      </c>
      <c r="I1594" t="s">
        <v>60</v>
      </c>
      <c r="J1594" t="s">
        <v>11</v>
      </c>
    </row>
    <row r="1595" spans="1:10" x14ac:dyDescent="0.25">
      <c r="A1595" t="s">
        <v>132</v>
      </c>
      <c r="B1595" t="s">
        <v>168</v>
      </c>
      <c r="C1595" s="12" t="s">
        <v>109</v>
      </c>
      <c r="D1595" t="s">
        <v>4</v>
      </c>
      <c r="E1595" t="s">
        <v>6</v>
      </c>
      <c r="F1595" t="s">
        <v>16</v>
      </c>
      <c r="G1595" t="s">
        <v>180</v>
      </c>
      <c r="H1595" s="94">
        <v>5</v>
      </c>
      <c r="I1595" t="s">
        <v>107</v>
      </c>
      <c r="J1595" t="s">
        <v>13</v>
      </c>
    </row>
    <row r="1596" spans="1:10" x14ac:dyDescent="0.25">
      <c r="A1596" t="s">
        <v>132</v>
      </c>
      <c r="B1596" t="s">
        <v>168</v>
      </c>
      <c r="C1596" s="12" t="s">
        <v>109</v>
      </c>
      <c r="D1596" t="s">
        <v>4</v>
      </c>
      <c r="E1596" t="s">
        <v>6</v>
      </c>
      <c r="F1596" t="s">
        <v>16</v>
      </c>
      <c r="G1596" t="s">
        <v>180</v>
      </c>
      <c r="H1596" s="94">
        <v>5</v>
      </c>
      <c r="I1596" t="s">
        <v>107</v>
      </c>
      <c r="J1596" t="s">
        <v>63</v>
      </c>
    </row>
    <row r="1597" spans="1:10" x14ac:dyDescent="0.25">
      <c r="A1597" t="s">
        <v>132</v>
      </c>
      <c r="B1597" t="s">
        <v>168</v>
      </c>
      <c r="C1597" s="12" t="s">
        <v>109</v>
      </c>
      <c r="D1597" t="s">
        <v>4</v>
      </c>
      <c r="E1597" t="s">
        <v>6</v>
      </c>
      <c r="F1597" t="s">
        <v>16</v>
      </c>
      <c r="G1597" t="s">
        <v>180</v>
      </c>
      <c r="H1597" s="94">
        <v>5</v>
      </c>
      <c r="I1597" t="s">
        <v>107</v>
      </c>
      <c r="J1597" t="s">
        <v>11</v>
      </c>
    </row>
    <row r="1598" spans="1:10" x14ac:dyDescent="0.25">
      <c r="A1598" t="s">
        <v>132</v>
      </c>
      <c r="B1598" t="s">
        <v>168</v>
      </c>
      <c r="C1598" s="12" t="s">
        <v>109</v>
      </c>
      <c r="D1598" t="s">
        <v>4</v>
      </c>
      <c r="E1598" t="s">
        <v>6</v>
      </c>
      <c r="F1598" t="s">
        <v>16</v>
      </c>
      <c r="G1598" t="s">
        <v>180</v>
      </c>
      <c r="H1598" s="94">
        <v>5</v>
      </c>
      <c r="I1598" t="s">
        <v>62</v>
      </c>
      <c r="J1598" t="s">
        <v>13</v>
      </c>
    </row>
    <row r="1599" spans="1:10" x14ac:dyDescent="0.25">
      <c r="A1599" t="s">
        <v>132</v>
      </c>
      <c r="B1599" t="s">
        <v>168</v>
      </c>
      <c r="C1599" s="12" t="s">
        <v>109</v>
      </c>
      <c r="D1599" t="s">
        <v>4</v>
      </c>
      <c r="E1599" t="s">
        <v>6</v>
      </c>
      <c r="F1599" t="s">
        <v>16</v>
      </c>
      <c r="G1599" t="s">
        <v>180</v>
      </c>
      <c r="H1599" s="94">
        <v>5</v>
      </c>
      <c r="I1599" t="s">
        <v>62</v>
      </c>
      <c r="J1599" t="s">
        <v>63</v>
      </c>
    </row>
    <row r="1600" spans="1:10" x14ac:dyDescent="0.25">
      <c r="A1600" t="s">
        <v>132</v>
      </c>
      <c r="B1600" t="s">
        <v>168</v>
      </c>
      <c r="C1600" s="12" t="s">
        <v>109</v>
      </c>
      <c r="D1600" t="s">
        <v>4</v>
      </c>
      <c r="E1600" t="s">
        <v>6</v>
      </c>
      <c r="F1600" t="s">
        <v>16</v>
      </c>
      <c r="G1600" t="s">
        <v>180</v>
      </c>
      <c r="H1600" s="94">
        <v>5</v>
      </c>
      <c r="I1600" t="s">
        <v>62</v>
      </c>
      <c r="J1600" t="s">
        <v>11</v>
      </c>
    </row>
    <row r="1601" spans="1:10" x14ac:dyDescent="0.25">
      <c r="A1601" t="s">
        <v>132</v>
      </c>
      <c r="B1601" t="s">
        <v>168</v>
      </c>
      <c r="C1601" s="12" t="s">
        <v>109</v>
      </c>
      <c r="D1601" t="s">
        <v>4</v>
      </c>
      <c r="E1601" t="s">
        <v>6</v>
      </c>
      <c r="F1601" t="s">
        <v>16</v>
      </c>
      <c r="G1601" t="s">
        <v>180</v>
      </c>
      <c r="H1601" s="94">
        <v>5</v>
      </c>
      <c r="I1601" t="s">
        <v>60</v>
      </c>
      <c r="J1601" t="s">
        <v>13</v>
      </c>
    </row>
    <row r="1602" spans="1:10" x14ac:dyDescent="0.25">
      <c r="A1602" t="s">
        <v>132</v>
      </c>
      <c r="B1602" t="s">
        <v>168</v>
      </c>
      <c r="C1602" s="12" t="s">
        <v>109</v>
      </c>
      <c r="D1602" t="s">
        <v>4</v>
      </c>
      <c r="E1602" t="s">
        <v>6</v>
      </c>
      <c r="F1602" t="s">
        <v>16</v>
      </c>
      <c r="G1602" t="s">
        <v>180</v>
      </c>
      <c r="H1602" s="94">
        <v>5</v>
      </c>
      <c r="I1602" t="s">
        <v>60</v>
      </c>
      <c r="J1602" t="s">
        <v>63</v>
      </c>
    </row>
    <row r="1603" spans="1:10" x14ac:dyDescent="0.25">
      <c r="A1603" t="s">
        <v>132</v>
      </c>
      <c r="B1603" t="s">
        <v>168</v>
      </c>
      <c r="C1603" s="12" t="s">
        <v>109</v>
      </c>
      <c r="D1603" t="s">
        <v>4</v>
      </c>
      <c r="E1603" t="s">
        <v>6</v>
      </c>
      <c r="F1603" t="s">
        <v>16</v>
      </c>
      <c r="G1603" t="s">
        <v>180</v>
      </c>
      <c r="H1603" s="94">
        <v>5</v>
      </c>
      <c r="I1603" t="s">
        <v>60</v>
      </c>
      <c r="J1603" t="s">
        <v>11</v>
      </c>
    </row>
    <row r="1604" spans="1:10" x14ac:dyDescent="0.25">
      <c r="A1604" t="s">
        <v>132</v>
      </c>
      <c r="B1604" t="s">
        <v>168</v>
      </c>
      <c r="C1604" s="12" t="s">
        <v>109</v>
      </c>
      <c r="D1604" t="s">
        <v>4</v>
      </c>
      <c r="E1604" t="s">
        <v>6</v>
      </c>
      <c r="F1604" t="s">
        <v>8</v>
      </c>
      <c r="G1604" t="s">
        <v>180</v>
      </c>
      <c r="H1604" s="94">
        <v>3</v>
      </c>
      <c r="I1604" t="s">
        <v>107</v>
      </c>
      <c r="J1604" t="s">
        <v>13</v>
      </c>
    </row>
    <row r="1605" spans="1:10" x14ac:dyDescent="0.25">
      <c r="A1605" t="s">
        <v>132</v>
      </c>
      <c r="B1605" t="s">
        <v>168</v>
      </c>
      <c r="C1605" s="12" t="s">
        <v>109</v>
      </c>
      <c r="D1605" t="s">
        <v>4</v>
      </c>
      <c r="E1605" t="s">
        <v>6</v>
      </c>
      <c r="F1605" t="s">
        <v>8</v>
      </c>
      <c r="G1605" t="s">
        <v>180</v>
      </c>
      <c r="H1605" s="94">
        <v>3</v>
      </c>
      <c r="I1605" t="s">
        <v>107</v>
      </c>
      <c r="J1605" t="s">
        <v>63</v>
      </c>
    </row>
    <row r="1606" spans="1:10" x14ac:dyDescent="0.25">
      <c r="A1606" t="s">
        <v>132</v>
      </c>
      <c r="B1606" t="s">
        <v>168</v>
      </c>
      <c r="C1606" s="12" t="s">
        <v>109</v>
      </c>
      <c r="D1606" t="s">
        <v>4</v>
      </c>
      <c r="E1606" t="s">
        <v>6</v>
      </c>
      <c r="F1606" t="s">
        <v>8</v>
      </c>
      <c r="G1606" t="s">
        <v>180</v>
      </c>
      <c r="H1606" s="94">
        <v>3</v>
      </c>
      <c r="I1606" t="s">
        <v>107</v>
      </c>
      <c r="J1606" t="s">
        <v>11</v>
      </c>
    </row>
    <row r="1607" spans="1:10" x14ac:dyDescent="0.25">
      <c r="A1607" t="s">
        <v>132</v>
      </c>
      <c r="B1607" t="s">
        <v>168</v>
      </c>
      <c r="C1607" s="12" t="s">
        <v>109</v>
      </c>
      <c r="D1607" t="s">
        <v>4</v>
      </c>
      <c r="E1607" t="s">
        <v>6</v>
      </c>
      <c r="F1607" t="s">
        <v>8</v>
      </c>
      <c r="G1607" t="s">
        <v>180</v>
      </c>
      <c r="H1607" s="94">
        <v>3</v>
      </c>
      <c r="I1607" t="s">
        <v>62</v>
      </c>
      <c r="J1607" t="s">
        <v>13</v>
      </c>
    </row>
    <row r="1608" spans="1:10" x14ac:dyDescent="0.25">
      <c r="A1608" t="s">
        <v>132</v>
      </c>
      <c r="B1608" t="s">
        <v>168</v>
      </c>
      <c r="C1608" s="12" t="s">
        <v>109</v>
      </c>
      <c r="D1608" t="s">
        <v>4</v>
      </c>
      <c r="E1608" t="s">
        <v>6</v>
      </c>
      <c r="F1608" t="s">
        <v>8</v>
      </c>
      <c r="G1608" t="s">
        <v>180</v>
      </c>
      <c r="H1608" s="94">
        <v>3</v>
      </c>
      <c r="I1608" t="s">
        <v>62</v>
      </c>
      <c r="J1608" t="s">
        <v>63</v>
      </c>
    </row>
    <row r="1609" spans="1:10" x14ac:dyDescent="0.25">
      <c r="A1609" t="s">
        <v>132</v>
      </c>
      <c r="B1609" t="s">
        <v>168</v>
      </c>
      <c r="C1609" s="12" t="s">
        <v>109</v>
      </c>
      <c r="D1609" t="s">
        <v>4</v>
      </c>
      <c r="E1609" t="s">
        <v>6</v>
      </c>
      <c r="F1609" t="s">
        <v>8</v>
      </c>
      <c r="G1609" t="s">
        <v>180</v>
      </c>
      <c r="H1609" s="94">
        <v>3</v>
      </c>
      <c r="I1609" t="s">
        <v>62</v>
      </c>
      <c r="J1609" t="s">
        <v>11</v>
      </c>
    </row>
    <row r="1610" spans="1:10" x14ac:dyDescent="0.25">
      <c r="A1610" t="s">
        <v>132</v>
      </c>
      <c r="B1610" t="s">
        <v>168</v>
      </c>
      <c r="C1610" s="12" t="s">
        <v>109</v>
      </c>
      <c r="D1610" t="s">
        <v>4</v>
      </c>
      <c r="E1610" t="s">
        <v>6</v>
      </c>
      <c r="F1610" t="s">
        <v>8</v>
      </c>
      <c r="G1610" t="s">
        <v>180</v>
      </c>
      <c r="H1610" s="94">
        <v>3</v>
      </c>
      <c r="I1610" t="s">
        <v>60</v>
      </c>
      <c r="J1610" t="s">
        <v>13</v>
      </c>
    </row>
    <row r="1611" spans="1:10" x14ac:dyDescent="0.25">
      <c r="A1611" t="s">
        <v>132</v>
      </c>
      <c r="B1611" t="s">
        <v>168</v>
      </c>
      <c r="C1611" s="12" t="s">
        <v>109</v>
      </c>
      <c r="D1611" t="s">
        <v>4</v>
      </c>
      <c r="E1611" t="s">
        <v>6</v>
      </c>
      <c r="F1611" t="s">
        <v>8</v>
      </c>
      <c r="G1611" t="s">
        <v>180</v>
      </c>
      <c r="H1611" s="94">
        <v>3</v>
      </c>
      <c r="I1611" t="s">
        <v>60</v>
      </c>
      <c r="J1611" t="s">
        <v>63</v>
      </c>
    </row>
    <row r="1612" spans="1:10" x14ac:dyDescent="0.25">
      <c r="A1612" t="s">
        <v>132</v>
      </c>
      <c r="B1612" t="s">
        <v>168</v>
      </c>
      <c r="C1612" s="12" t="s">
        <v>109</v>
      </c>
      <c r="D1612" t="s">
        <v>4</v>
      </c>
      <c r="E1612" t="s">
        <v>6</v>
      </c>
      <c r="F1612" t="s">
        <v>8</v>
      </c>
      <c r="G1612" t="s">
        <v>180</v>
      </c>
      <c r="H1612" s="94">
        <v>3</v>
      </c>
      <c r="I1612" t="s">
        <v>60</v>
      </c>
      <c r="J1612" t="s">
        <v>11</v>
      </c>
    </row>
    <row r="1613" spans="1:10" x14ac:dyDescent="0.25">
      <c r="A1613" t="s">
        <v>132</v>
      </c>
      <c r="B1613" t="s">
        <v>168</v>
      </c>
      <c r="C1613" s="12" t="s">
        <v>109</v>
      </c>
      <c r="D1613" t="s">
        <v>4</v>
      </c>
      <c r="E1613" t="s">
        <v>6</v>
      </c>
      <c r="F1613" t="s">
        <v>8</v>
      </c>
      <c r="G1613" t="s">
        <v>180</v>
      </c>
      <c r="H1613" s="94">
        <v>5</v>
      </c>
      <c r="I1613" t="s">
        <v>107</v>
      </c>
      <c r="J1613" t="s">
        <v>13</v>
      </c>
    </row>
    <row r="1614" spans="1:10" x14ac:dyDescent="0.25">
      <c r="A1614" t="s">
        <v>132</v>
      </c>
      <c r="B1614" t="s">
        <v>168</v>
      </c>
      <c r="C1614" s="12" t="s">
        <v>109</v>
      </c>
      <c r="D1614" t="s">
        <v>4</v>
      </c>
      <c r="E1614" t="s">
        <v>6</v>
      </c>
      <c r="F1614" t="s">
        <v>8</v>
      </c>
      <c r="G1614" t="s">
        <v>180</v>
      </c>
      <c r="H1614" s="94">
        <v>5</v>
      </c>
      <c r="I1614" t="s">
        <v>107</v>
      </c>
      <c r="J1614" t="s">
        <v>63</v>
      </c>
    </row>
    <row r="1615" spans="1:10" x14ac:dyDescent="0.25">
      <c r="A1615" t="s">
        <v>132</v>
      </c>
      <c r="B1615" t="s">
        <v>168</v>
      </c>
      <c r="C1615" s="12" t="s">
        <v>109</v>
      </c>
      <c r="D1615" t="s">
        <v>4</v>
      </c>
      <c r="E1615" t="s">
        <v>6</v>
      </c>
      <c r="F1615" t="s">
        <v>8</v>
      </c>
      <c r="G1615" t="s">
        <v>180</v>
      </c>
      <c r="H1615" s="94">
        <v>5</v>
      </c>
      <c r="I1615" t="s">
        <v>107</v>
      </c>
      <c r="J1615" t="s">
        <v>11</v>
      </c>
    </row>
    <row r="1616" spans="1:10" x14ac:dyDescent="0.25">
      <c r="A1616" t="s">
        <v>132</v>
      </c>
      <c r="B1616" t="s">
        <v>168</v>
      </c>
      <c r="C1616" s="12" t="s">
        <v>109</v>
      </c>
      <c r="D1616" t="s">
        <v>4</v>
      </c>
      <c r="E1616" t="s">
        <v>6</v>
      </c>
      <c r="F1616" t="s">
        <v>8</v>
      </c>
      <c r="G1616" t="s">
        <v>180</v>
      </c>
      <c r="H1616" s="94">
        <v>5</v>
      </c>
      <c r="I1616" t="s">
        <v>62</v>
      </c>
      <c r="J1616" t="s">
        <v>13</v>
      </c>
    </row>
    <row r="1617" spans="1:10" x14ac:dyDescent="0.25">
      <c r="A1617" t="s">
        <v>132</v>
      </c>
      <c r="B1617" t="s">
        <v>168</v>
      </c>
      <c r="C1617" s="12" t="s">
        <v>109</v>
      </c>
      <c r="D1617" t="s">
        <v>4</v>
      </c>
      <c r="E1617" t="s">
        <v>6</v>
      </c>
      <c r="F1617" t="s">
        <v>8</v>
      </c>
      <c r="G1617" t="s">
        <v>180</v>
      </c>
      <c r="H1617" s="94">
        <v>5</v>
      </c>
      <c r="I1617" t="s">
        <v>62</v>
      </c>
      <c r="J1617" t="s">
        <v>63</v>
      </c>
    </row>
    <row r="1618" spans="1:10" x14ac:dyDescent="0.25">
      <c r="A1618" t="s">
        <v>132</v>
      </c>
      <c r="B1618" t="s">
        <v>168</v>
      </c>
      <c r="C1618" s="12" t="s">
        <v>109</v>
      </c>
      <c r="D1618" t="s">
        <v>4</v>
      </c>
      <c r="E1618" t="s">
        <v>6</v>
      </c>
      <c r="F1618" t="s">
        <v>8</v>
      </c>
      <c r="G1618" t="s">
        <v>180</v>
      </c>
      <c r="H1618" s="94">
        <v>5</v>
      </c>
      <c r="I1618" t="s">
        <v>62</v>
      </c>
      <c r="J1618" t="s">
        <v>11</v>
      </c>
    </row>
    <row r="1619" spans="1:10" x14ac:dyDescent="0.25">
      <c r="A1619" t="s">
        <v>132</v>
      </c>
      <c r="B1619" t="s">
        <v>168</v>
      </c>
      <c r="C1619" s="12" t="s">
        <v>109</v>
      </c>
      <c r="D1619" t="s">
        <v>4</v>
      </c>
      <c r="E1619" t="s">
        <v>6</v>
      </c>
      <c r="F1619" t="s">
        <v>8</v>
      </c>
      <c r="G1619" t="s">
        <v>180</v>
      </c>
      <c r="H1619" s="94">
        <v>5</v>
      </c>
      <c r="I1619" t="s">
        <v>60</v>
      </c>
      <c r="J1619" t="s">
        <v>13</v>
      </c>
    </row>
    <row r="1620" spans="1:10" x14ac:dyDescent="0.25">
      <c r="A1620" t="s">
        <v>132</v>
      </c>
      <c r="B1620" t="s">
        <v>168</v>
      </c>
      <c r="C1620" s="12" t="s">
        <v>109</v>
      </c>
      <c r="D1620" t="s">
        <v>4</v>
      </c>
      <c r="E1620" t="s">
        <v>6</v>
      </c>
      <c r="F1620" t="s">
        <v>8</v>
      </c>
      <c r="G1620" t="s">
        <v>180</v>
      </c>
      <c r="H1620" s="94">
        <v>5</v>
      </c>
      <c r="I1620" t="s">
        <v>60</v>
      </c>
      <c r="J1620" t="s">
        <v>63</v>
      </c>
    </row>
    <row r="1621" spans="1:10" x14ac:dyDescent="0.25">
      <c r="A1621" t="s">
        <v>132</v>
      </c>
      <c r="B1621" t="s">
        <v>168</v>
      </c>
      <c r="C1621" s="12" t="s">
        <v>109</v>
      </c>
      <c r="D1621" t="s">
        <v>4</v>
      </c>
      <c r="E1621" t="s">
        <v>6</v>
      </c>
      <c r="F1621" t="s">
        <v>8</v>
      </c>
      <c r="G1621" t="s">
        <v>180</v>
      </c>
      <c r="H1621" s="94">
        <v>5</v>
      </c>
      <c r="I1621" t="s">
        <v>60</v>
      </c>
      <c r="J1621" t="s">
        <v>11</v>
      </c>
    </row>
    <row r="1622" spans="1:10" x14ac:dyDescent="0.25">
      <c r="A1622" t="s">
        <v>132</v>
      </c>
      <c r="B1622" t="s">
        <v>14</v>
      </c>
      <c r="C1622" s="12" t="s">
        <v>109</v>
      </c>
      <c r="D1622" t="s">
        <v>4</v>
      </c>
      <c r="E1622" t="s">
        <v>12</v>
      </c>
      <c r="F1622" t="s">
        <v>72</v>
      </c>
      <c r="G1622" t="s">
        <v>181</v>
      </c>
      <c r="H1622" s="94">
        <v>0.05</v>
      </c>
      <c r="I1622" t="s">
        <v>107</v>
      </c>
      <c r="J1622" t="s">
        <v>13</v>
      </c>
    </row>
    <row r="1623" spans="1:10" x14ac:dyDescent="0.25">
      <c r="A1623" t="s">
        <v>132</v>
      </c>
      <c r="B1623" t="s">
        <v>14</v>
      </c>
      <c r="C1623" s="12" t="s">
        <v>109</v>
      </c>
      <c r="D1623" t="s">
        <v>4</v>
      </c>
      <c r="E1623" t="s">
        <v>12</v>
      </c>
      <c r="F1623" t="s">
        <v>72</v>
      </c>
      <c r="G1623" t="s">
        <v>181</v>
      </c>
      <c r="H1623" s="94">
        <v>0.05</v>
      </c>
      <c r="I1623" t="s">
        <v>107</v>
      </c>
      <c r="J1623" t="s">
        <v>63</v>
      </c>
    </row>
    <row r="1624" spans="1:10" x14ac:dyDescent="0.25">
      <c r="A1624" t="s">
        <v>132</v>
      </c>
      <c r="B1624" t="s">
        <v>14</v>
      </c>
      <c r="C1624" s="12" t="s">
        <v>109</v>
      </c>
      <c r="D1624" t="s">
        <v>4</v>
      </c>
      <c r="E1624" t="s">
        <v>12</v>
      </c>
      <c r="F1624" t="s">
        <v>72</v>
      </c>
      <c r="G1624" t="s">
        <v>181</v>
      </c>
      <c r="H1624" s="94">
        <v>0.05</v>
      </c>
      <c r="I1624" t="s">
        <v>107</v>
      </c>
      <c r="J1624" t="s">
        <v>11</v>
      </c>
    </row>
    <row r="1625" spans="1:10" x14ac:dyDescent="0.25">
      <c r="A1625" t="s">
        <v>132</v>
      </c>
      <c r="B1625" t="s">
        <v>14</v>
      </c>
      <c r="C1625" s="12" t="s">
        <v>109</v>
      </c>
      <c r="D1625" t="s">
        <v>4</v>
      </c>
      <c r="E1625" t="s">
        <v>12</v>
      </c>
      <c r="F1625" t="s">
        <v>72</v>
      </c>
      <c r="G1625" t="s">
        <v>181</v>
      </c>
      <c r="H1625" s="94">
        <v>0.05</v>
      </c>
      <c r="I1625" t="s">
        <v>62</v>
      </c>
      <c r="J1625" t="s">
        <v>13</v>
      </c>
    </row>
    <row r="1626" spans="1:10" x14ac:dyDescent="0.25">
      <c r="A1626" t="s">
        <v>132</v>
      </c>
      <c r="B1626" t="s">
        <v>14</v>
      </c>
      <c r="C1626" s="12" t="s">
        <v>109</v>
      </c>
      <c r="D1626" t="s">
        <v>4</v>
      </c>
      <c r="E1626" t="s">
        <v>12</v>
      </c>
      <c r="F1626" t="s">
        <v>72</v>
      </c>
      <c r="G1626" t="s">
        <v>181</v>
      </c>
      <c r="H1626" s="94">
        <v>0.05</v>
      </c>
      <c r="I1626" t="s">
        <v>62</v>
      </c>
      <c r="J1626" t="s">
        <v>63</v>
      </c>
    </row>
    <row r="1627" spans="1:10" x14ac:dyDescent="0.25">
      <c r="A1627" t="s">
        <v>132</v>
      </c>
      <c r="B1627" t="s">
        <v>14</v>
      </c>
      <c r="C1627" s="12" t="s">
        <v>109</v>
      </c>
      <c r="D1627" t="s">
        <v>4</v>
      </c>
      <c r="E1627" t="s">
        <v>12</v>
      </c>
      <c r="F1627" t="s">
        <v>72</v>
      </c>
      <c r="G1627" t="s">
        <v>181</v>
      </c>
      <c r="H1627" s="94">
        <v>0.05</v>
      </c>
      <c r="I1627" t="s">
        <v>62</v>
      </c>
      <c r="J1627" t="s">
        <v>11</v>
      </c>
    </row>
    <row r="1628" spans="1:10" x14ac:dyDescent="0.25">
      <c r="A1628" t="s">
        <v>132</v>
      </c>
      <c r="B1628" t="s">
        <v>14</v>
      </c>
      <c r="C1628" s="12" t="s">
        <v>109</v>
      </c>
      <c r="D1628" t="s">
        <v>4</v>
      </c>
      <c r="E1628" t="s">
        <v>12</v>
      </c>
      <c r="F1628" t="s">
        <v>72</v>
      </c>
      <c r="G1628" t="s">
        <v>181</v>
      </c>
      <c r="H1628" s="94">
        <v>0.05</v>
      </c>
      <c r="I1628" t="s">
        <v>60</v>
      </c>
      <c r="J1628" t="s">
        <v>13</v>
      </c>
    </row>
    <row r="1629" spans="1:10" x14ac:dyDescent="0.25">
      <c r="A1629" t="s">
        <v>132</v>
      </c>
      <c r="B1629" t="s">
        <v>14</v>
      </c>
      <c r="C1629" s="12" t="s">
        <v>109</v>
      </c>
      <c r="D1629" t="s">
        <v>4</v>
      </c>
      <c r="E1629" t="s">
        <v>12</v>
      </c>
      <c r="F1629" t="s">
        <v>72</v>
      </c>
      <c r="G1629" t="s">
        <v>181</v>
      </c>
      <c r="H1629" s="94">
        <v>0.05</v>
      </c>
      <c r="I1629" t="s">
        <v>60</v>
      </c>
      <c r="J1629" t="s">
        <v>63</v>
      </c>
    </row>
    <row r="1630" spans="1:10" x14ac:dyDescent="0.25">
      <c r="A1630" t="s">
        <v>132</v>
      </c>
      <c r="B1630" t="s">
        <v>14</v>
      </c>
      <c r="C1630" s="12" t="s">
        <v>109</v>
      </c>
      <c r="D1630" t="s">
        <v>4</v>
      </c>
      <c r="E1630" t="s">
        <v>12</v>
      </c>
      <c r="F1630" t="s">
        <v>72</v>
      </c>
      <c r="G1630" t="s">
        <v>181</v>
      </c>
      <c r="H1630" s="94">
        <v>0.05</v>
      </c>
      <c r="I1630" t="s">
        <v>60</v>
      </c>
      <c r="J1630" t="s">
        <v>11</v>
      </c>
    </row>
    <row r="1631" spans="1:10" x14ac:dyDescent="0.25">
      <c r="A1631" t="s">
        <v>132</v>
      </c>
      <c r="B1631" t="s">
        <v>14</v>
      </c>
      <c r="C1631" s="12" t="s">
        <v>109</v>
      </c>
      <c r="D1631" t="s">
        <v>4</v>
      </c>
      <c r="E1631" t="s">
        <v>12</v>
      </c>
      <c r="F1631" t="s">
        <v>16</v>
      </c>
      <c r="G1631" t="s">
        <v>181</v>
      </c>
      <c r="H1631" s="94">
        <v>0.05</v>
      </c>
      <c r="I1631" t="s">
        <v>107</v>
      </c>
      <c r="J1631" t="s">
        <v>13</v>
      </c>
    </row>
    <row r="1632" spans="1:10" x14ac:dyDescent="0.25">
      <c r="A1632" t="s">
        <v>132</v>
      </c>
      <c r="B1632" t="s">
        <v>14</v>
      </c>
      <c r="C1632" s="12" t="s">
        <v>109</v>
      </c>
      <c r="D1632" t="s">
        <v>4</v>
      </c>
      <c r="E1632" t="s">
        <v>12</v>
      </c>
      <c r="F1632" t="s">
        <v>16</v>
      </c>
      <c r="G1632" t="s">
        <v>181</v>
      </c>
      <c r="H1632" s="94">
        <v>0.05</v>
      </c>
      <c r="I1632" t="s">
        <v>107</v>
      </c>
      <c r="J1632" t="s">
        <v>63</v>
      </c>
    </row>
    <row r="1633" spans="1:10" x14ac:dyDescent="0.25">
      <c r="A1633" t="s">
        <v>132</v>
      </c>
      <c r="B1633" t="s">
        <v>14</v>
      </c>
      <c r="C1633" s="12" t="s">
        <v>109</v>
      </c>
      <c r="D1633" t="s">
        <v>4</v>
      </c>
      <c r="E1633" t="s">
        <v>12</v>
      </c>
      <c r="F1633" t="s">
        <v>16</v>
      </c>
      <c r="G1633" t="s">
        <v>181</v>
      </c>
      <c r="H1633" s="94">
        <v>0.05</v>
      </c>
      <c r="I1633" t="s">
        <v>107</v>
      </c>
      <c r="J1633" t="s">
        <v>11</v>
      </c>
    </row>
    <row r="1634" spans="1:10" x14ac:dyDescent="0.25">
      <c r="A1634" t="s">
        <v>132</v>
      </c>
      <c r="B1634" t="s">
        <v>14</v>
      </c>
      <c r="C1634" s="12" t="s">
        <v>109</v>
      </c>
      <c r="D1634" t="s">
        <v>4</v>
      </c>
      <c r="E1634" t="s">
        <v>12</v>
      </c>
      <c r="F1634" t="s">
        <v>16</v>
      </c>
      <c r="G1634" t="s">
        <v>181</v>
      </c>
      <c r="H1634" s="94">
        <v>0.05</v>
      </c>
      <c r="I1634" t="s">
        <v>62</v>
      </c>
      <c r="J1634" t="s">
        <v>13</v>
      </c>
    </row>
    <row r="1635" spans="1:10" x14ac:dyDescent="0.25">
      <c r="A1635" t="s">
        <v>132</v>
      </c>
      <c r="B1635" t="s">
        <v>14</v>
      </c>
      <c r="C1635" s="12" t="s">
        <v>109</v>
      </c>
      <c r="D1635" t="s">
        <v>4</v>
      </c>
      <c r="E1635" t="s">
        <v>12</v>
      </c>
      <c r="F1635" t="s">
        <v>16</v>
      </c>
      <c r="G1635" t="s">
        <v>181</v>
      </c>
      <c r="H1635" s="94">
        <v>0.05</v>
      </c>
      <c r="I1635" t="s">
        <v>62</v>
      </c>
      <c r="J1635" t="s">
        <v>63</v>
      </c>
    </row>
    <row r="1636" spans="1:10" x14ac:dyDescent="0.25">
      <c r="A1636" t="s">
        <v>132</v>
      </c>
      <c r="B1636" t="s">
        <v>14</v>
      </c>
      <c r="C1636" s="12" t="s">
        <v>109</v>
      </c>
      <c r="D1636" t="s">
        <v>4</v>
      </c>
      <c r="E1636" t="s">
        <v>12</v>
      </c>
      <c r="F1636" t="s">
        <v>16</v>
      </c>
      <c r="G1636" t="s">
        <v>181</v>
      </c>
      <c r="H1636" s="94">
        <v>0.05</v>
      </c>
      <c r="I1636" t="s">
        <v>62</v>
      </c>
      <c r="J1636" t="s">
        <v>11</v>
      </c>
    </row>
    <row r="1637" spans="1:10" x14ac:dyDescent="0.25">
      <c r="A1637" t="s">
        <v>132</v>
      </c>
      <c r="B1637" t="s">
        <v>14</v>
      </c>
      <c r="C1637" s="12" t="s">
        <v>109</v>
      </c>
      <c r="D1637" t="s">
        <v>4</v>
      </c>
      <c r="E1637" t="s">
        <v>12</v>
      </c>
      <c r="F1637" t="s">
        <v>16</v>
      </c>
      <c r="G1637" t="s">
        <v>181</v>
      </c>
      <c r="H1637" s="94">
        <v>0.05</v>
      </c>
      <c r="I1637" t="s">
        <v>60</v>
      </c>
      <c r="J1637" t="s">
        <v>13</v>
      </c>
    </row>
    <row r="1638" spans="1:10" x14ac:dyDescent="0.25">
      <c r="A1638" t="s">
        <v>132</v>
      </c>
      <c r="B1638" t="s">
        <v>14</v>
      </c>
      <c r="C1638" s="12" t="s">
        <v>109</v>
      </c>
      <c r="D1638" t="s">
        <v>4</v>
      </c>
      <c r="E1638" t="s">
        <v>12</v>
      </c>
      <c r="F1638" t="s">
        <v>16</v>
      </c>
      <c r="G1638" t="s">
        <v>181</v>
      </c>
      <c r="H1638" s="94">
        <v>0.05</v>
      </c>
      <c r="I1638" t="s">
        <v>60</v>
      </c>
      <c r="J1638" t="s">
        <v>63</v>
      </c>
    </row>
    <row r="1639" spans="1:10" x14ac:dyDescent="0.25">
      <c r="A1639" t="s">
        <v>132</v>
      </c>
      <c r="B1639" t="s">
        <v>14</v>
      </c>
      <c r="C1639" s="12" t="s">
        <v>109</v>
      </c>
      <c r="D1639" t="s">
        <v>4</v>
      </c>
      <c r="E1639" t="s">
        <v>12</v>
      </c>
      <c r="F1639" t="s">
        <v>16</v>
      </c>
      <c r="G1639" t="s">
        <v>181</v>
      </c>
      <c r="H1639" s="94">
        <v>0.05</v>
      </c>
      <c r="I1639" t="s">
        <v>60</v>
      </c>
      <c r="J1639" t="s">
        <v>11</v>
      </c>
    </row>
    <row r="1640" spans="1:10" x14ac:dyDescent="0.25">
      <c r="A1640" t="s">
        <v>132</v>
      </c>
      <c r="B1640" t="s">
        <v>14</v>
      </c>
      <c r="C1640" s="12" t="s">
        <v>109</v>
      </c>
      <c r="D1640" t="s">
        <v>4</v>
      </c>
      <c r="E1640" t="s">
        <v>12</v>
      </c>
      <c r="F1640" t="s">
        <v>8</v>
      </c>
      <c r="G1640" t="s">
        <v>181</v>
      </c>
      <c r="H1640" s="94">
        <v>0.05</v>
      </c>
      <c r="I1640" t="s">
        <v>107</v>
      </c>
      <c r="J1640" t="s">
        <v>13</v>
      </c>
    </row>
    <row r="1641" spans="1:10" x14ac:dyDescent="0.25">
      <c r="A1641" t="s">
        <v>132</v>
      </c>
      <c r="B1641" t="s">
        <v>14</v>
      </c>
      <c r="C1641" s="12" t="s">
        <v>109</v>
      </c>
      <c r="D1641" t="s">
        <v>4</v>
      </c>
      <c r="E1641" t="s">
        <v>12</v>
      </c>
      <c r="F1641" t="s">
        <v>8</v>
      </c>
      <c r="G1641" t="s">
        <v>181</v>
      </c>
      <c r="H1641" s="94">
        <v>0.05</v>
      </c>
      <c r="I1641" t="s">
        <v>107</v>
      </c>
      <c r="J1641" t="s">
        <v>63</v>
      </c>
    </row>
    <row r="1642" spans="1:10" x14ac:dyDescent="0.25">
      <c r="A1642" t="s">
        <v>132</v>
      </c>
      <c r="B1642" t="s">
        <v>14</v>
      </c>
      <c r="C1642" s="12" t="s">
        <v>109</v>
      </c>
      <c r="D1642" t="s">
        <v>4</v>
      </c>
      <c r="E1642" t="s">
        <v>12</v>
      </c>
      <c r="F1642" t="s">
        <v>8</v>
      </c>
      <c r="G1642" t="s">
        <v>181</v>
      </c>
      <c r="H1642" s="94">
        <v>0.05</v>
      </c>
      <c r="I1642" t="s">
        <v>107</v>
      </c>
      <c r="J1642" t="s">
        <v>11</v>
      </c>
    </row>
    <row r="1643" spans="1:10" x14ac:dyDescent="0.25">
      <c r="A1643" t="s">
        <v>132</v>
      </c>
      <c r="B1643" t="s">
        <v>14</v>
      </c>
      <c r="C1643" s="12" t="s">
        <v>109</v>
      </c>
      <c r="D1643" t="s">
        <v>4</v>
      </c>
      <c r="E1643" t="s">
        <v>12</v>
      </c>
      <c r="F1643" t="s">
        <v>8</v>
      </c>
      <c r="G1643" t="s">
        <v>181</v>
      </c>
      <c r="H1643" s="94">
        <v>0.05</v>
      </c>
      <c r="I1643" t="s">
        <v>62</v>
      </c>
      <c r="J1643" t="s">
        <v>13</v>
      </c>
    </row>
    <row r="1644" spans="1:10" x14ac:dyDescent="0.25">
      <c r="A1644" t="s">
        <v>132</v>
      </c>
      <c r="B1644" t="s">
        <v>14</v>
      </c>
      <c r="C1644" s="12" t="s">
        <v>109</v>
      </c>
      <c r="D1644" t="s">
        <v>4</v>
      </c>
      <c r="E1644" t="s">
        <v>12</v>
      </c>
      <c r="F1644" t="s">
        <v>8</v>
      </c>
      <c r="G1644" t="s">
        <v>181</v>
      </c>
      <c r="H1644" s="94">
        <v>0.05</v>
      </c>
      <c r="I1644" t="s">
        <v>62</v>
      </c>
      <c r="J1644" t="s">
        <v>63</v>
      </c>
    </row>
    <row r="1645" spans="1:10" x14ac:dyDescent="0.25">
      <c r="A1645" t="s">
        <v>132</v>
      </c>
      <c r="B1645" t="s">
        <v>14</v>
      </c>
      <c r="C1645" s="12" t="s">
        <v>109</v>
      </c>
      <c r="D1645" t="s">
        <v>4</v>
      </c>
      <c r="E1645" t="s">
        <v>12</v>
      </c>
      <c r="F1645" t="s">
        <v>8</v>
      </c>
      <c r="G1645" t="s">
        <v>181</v>
      </c>
      <c r="H1645" s="94">
        <v>0.05</v>
      </c>
      <c r="I1645" t="s">
        <v>62</v>
      </c>
      <c r="J1645" t="s">
        <v>11</v>
      </c>
    </row>
    <row r="1646" spans="1:10" x14ac:dyDescent="0.25">
      <c r="A1646" t="s">
        <v>132</v>
      </c>
      <c r="B1646" t="s">
        <v>14</v>
      </c>
      <c r="C1646" s="12" t="s">
        <v>109</v>
      </c>
      <c r="D1646" t="s">
        <v>4</v>
      </c>
      <c r="E1646" t="s">
        <v>12</v>
      </c>
      <c r="F1646" t="s">
        <v>8</v>
      </c>
      <c r="G1646" t="s">
        <v>181</v>
      </c>
      <c r="H1646" s="94">
        <v>0.05</v>
      </c>
      <c r="I1646" t="s">
        <v>60</v>
      </c>
      <c r="J1646" t="s">
        <v>13</v>
      </c>
    </row>
    <row r="1647" spans="1:10" x14ac:dyDescent="0.25">
      <c r="A1647" t="s">
        <v>132</v>
      </c>
      <c r="B1647" t="s">
        <v>14</v>
      </c>
      <c r="C1647" s="12" t="s">
        <v>109</v>
      </c>
      <c r="D1647" t="s">
        <v>4</v>
      </c>
      <c r="E1647" t="s">
        <v>12</v>
      </c>
      <c r="F1647" t="s">
        <v>8</v>
      </c>
      <c r="G1647" t="s">
        <v>181</v>
      </c>
      <c r="H1647" s="94">
        <v>0.05</v>
      </c>
      <c r="I1647" t="s">
        <v>60</v>
      </c>
      <c r="J1647" t="s">
        <v>63</v>
      </c>
    </row>
    <row r="1648" spans="1:10" x14ac:dyDescent="0.25">
      <c r="A1648" t="s">
        <v>132</v>
      </c>
      <c r="B1648" t="s">
        <v>14</v>
      </c>
      <c r="C1648" s="12" t="s">
        <v>109</v>
      </c>
      <c r="D1648" t="s">
        <v>4</v>
      </c>
      <c r="E1648" t="s">
        <v>12</v>
      </c>
      <c r="F1648" t="s">
        <v>8</v>
      </c>
      <c r="G1648" t="s">
        <v>181</v>
      </c>
      <c r="H1648" s="94">
        <v>0.05</v>
      </c>
      <c r="I1648" t="s">
        <v>60</v>
      </c>
      <c r="J1648" t="s">
        <v>11</v>
      </c>
    </row>
    <row r="1649" spans="1:10" x14ac:dyDescent="0.25">
      <c r="A1649" t="s">
        <v>132</v>
      </c>
      <c r="B1649" t="s">
        <v>14</v>
      </c>
      <c r="C1649" s="12" t="s">
        <v>109</v>
      </c>
      <c r="D1649" t="s">
        <v>4</v>
      </c>
      <c r="E1649" t="s">
        <v>6</v>
      </c>
      <c r="F1649" t="s">
        <v>72</v>
      </c>
      <c r="G1649" t="s">
        <v>181</v>
      </c>
      <c r="H1649" s="94">
        <v>0.05</v>
      </c>
      <c r="I1649" t="s">
        <v>107</v>
      </c>
      <c r="J1649" t="s">
        <v>13</v>
      </c>
    </row>
    <row r="1650" spans="1:10" x14ac:dyDescent="0.25">
      <c r="A1650" t="s">
        <v>132</v>
      </c>
      <c r="B1650" t="s">
        <v>14</v>
      </c>
      <c r="C1650" s="12" t="s">
        <v>109</v>
      </c>
      <c r="D1650" t="s">
        <v>4</v>
      </c>
      <c r="E1650" t="s">
        <v>6</v>
      </c>
      <c r="F1650" t="s">
        <v>72</v>
      </c>
      <c r="G1650" t="s">
        <v>181</v>
      </c>
      <c r="H1650" s="94">
        <v>0.05</v>
      </c>
      <c r="I1650" t="s">
        <v>107</v>
      </c>
      <c r="J1650" t="s">
        <v>63</v>
      </c>
    </row>
    <row r="1651" spans="1:10" x14ac:dyDescent="0.25">
      <c r="A1651" t="s">
        <v>132</v>
      </c>
      <c r="B1651" t="s">
        <v>14</v>
      </c>
      <c r="C1651" s="12" t="s">
        <v>109</v>
      </c>
      <c r="D1651" t="s">
        <v>4</v>
      </c>
      <c r="E1651" t="s">
        <v>6</v>
      </c>
      <c r="F1651" t="s">
        <v>72</v>
      </c>
      <c r="G1651" t="s">
        <v>181</v>
      </c>
      <c r="H1651" s="94">
        <v>0.05</v>
      </c>
      <c r="I1651" t="s">
        <v>107</v>
      </c>
      <c r="J1651" t="s">
        <v>11</v>
      </c>
    </row>
    <row r="1652" spans="1:10" x14ac:dyDescent="0.25">
      <c r="A1652" t="s">
        <v>132</v>
      </c>
      <c r="B1652" t="s">
        <v>14</v>
      </c>
      <c r="C1652" s="12" t="s">
        <v>109</v>
      </c>
      <c r="D1652" t="s">
        <v>4</v>
      </c>
      <c r="E1652" t="s">
        <v>6</v>
      </c>
      <c r="F1652" t="s">
        <v>72</v>
      </c>
      <c r="G1652" t="s">
        <v>181</v>
      </c>
      <c r="H1652" s="94">
        <v>0.05</v>
      </c>
      <c r="I1652" t="s">
        <v>62</v>
      </c>
      <c r="J1652" t="s">
        <v>13</v>
      </c>
    </row>
    <row r="1653" spans="1:10" x14ac:dyDescent="0.25">
      <c r="A1653" t="s">
        <v>132</v>
      </c>
      <c r="B1653" t="s">
        <v>14</v>
      </c>
      <c r="C1653" s="12" t="s">
        <v>109</v>
      </c>
      <c r="D1653" t="s">
        <v>4</v>
      </c>
      <c r="E1653" t="s">
        <v>6</v>
      </c>
      <c r="F1653" t="s">
        <v>72</v>
      </c>
      <c r="G1653" t="s">
        <v>181</v>
      </c>
      <c r="H1653" s="94">
        <v>0.05</v>
      </c>
      <c r="I1653" t="s">
        <v>62</v>
      </c>
      <c r="J1653" t="s">
        <v>63</v>
      </c>
    </row>
    <row r="1654" spans="1:10" x14ac:dyDescent="0.25">
      <c r="A1654" t="s">
        <v>132</v>
      </c>
      <c r="B1654" t="s">
        <v>14</v>
      </c>
      <c r="C1654" s="12" t="s">
        <v>109</v>
      </c>
      <c r="D1654" t="s">
        <v>4</v>
      </c>
      <c r="E1654" t="s">
        <v>6</v>
      </c>
      <c r="F1654" t="s">
        <v>72</v>
      </c>
      <c r="G1654" t="s">
        <v>181</v>
      </c>
      <c r="H1654" s="94">
        <v>0.05</v>
      </c>
      <c r="I1654" t="s">
        <v>62</v>
      </c>
      <c r="J1654" t="s">
        <v>11</v>
      </c>
    </row>
    <row r="1655" spans="1:10" x14ac:dyDescent="0.25">
      <c r="A1655" t="s">
        <v>132</v>
      </c>
      <c r="B1655" t="s">
        <v>14</v>
      </c>
      <c r="C1655" s="12" t="s">
        <v>109</v>
      </c>
      <c r="D1655" t="s">
        <v>4</v>
      </c>
      <c r="E1655" t="s">
        <v>6</v>
      </c>
      <c r="F1655" t="s">
        <v>72</v>
      </c>
      <c r="G1655" t="s">
        <v>181</v>
      </c>
      <c r="H1655" s="94">
        <v>0.05</v>
      </c>
      <c r="I1655" t="s">
        <v>60</v>
      </c>
      <c r="J1655" t="s">
        <v>13</v>
      </c>
    </row>
    <row r="1656" spans="1:10" x14ac:dyDescent="0.25">
      <c r="A1656" t="s">
        <v>132</v>
      </c>
      <c r="B1656" t="s">
        <v>14</v>
      </c>
      <c r="C1656" s="12" t="s">
        <v>109</v>
      </c>
      <c r="D1656" t="s">
        <v>4</v>
      </c>
      <c r="E1656" t="s">
        <v>6</v>
      </c>
      <c r="F1656" t="s">
        <v>72</v>
      </c>
      <c r="G1656" t="s">
        <v>181</v>
      </c>
      <c r="H1656" s="94">
        <v>0.05</v>
      </c>
      <c r="I1656" t="s">
        <v>60</v>
      </c>
      <c r="J1656" t="s">
        <v>63</v>
      </c>
    </row>
    <row r="1657" spans="1:10" x14ac:dyDescent="0.25">
      <c r="A1657" t="s">
        <v>132</v>
      </c>
      <c r="B1657" t="s">
        <v>14</v>
      </c>
      <c r="C1657" s="12" t="s">
        <v>109</v>
      </c>
      <c r="D1657" t="s">
        <v>4</v>
      </c>
      <c r="E1657" t="s">
        <v>6</v>
      </c>
      <c r="F1657" t="s">
        <v>72</v>
      </c>
      <c r="G1657" t="s">
        <v>181</v>
      </c>
      <c r="H1657" s="94">
        <v>0.05</v>
      </c>
      <c r="I1657" t="s">
        <v>60</v>
      </c>
      <c r="J1657" t="s">
        <v>11</v>
      </c>
    </row>
    <row r="1658" spans="1:10" x14ac:dyDescent="0.25">
      <c r="A1658" t="s">
        <v>132</v>
      </c>
      <c r="B1658" t="s">
        <v>14</v>
      </c>
      <c r="C1658" s="12" t="s">
        <v>109</v>
      </c>
      <c r="D1658" t="s">
        <v>4</v>
      </c>
      <c r="E1658" t="s">
        <v>6</v>
      </c>
      <c r="F1658" t="s">
        <v>16</v>
      </c>
      <c r="G1658" t="s">
        <v>181</v>
      </c>
      <c r="H1658" s="94">
        <v>0.05</v>
      </c>
      <c r="I1658" t="s">
        <v>107</v>
      </c>
      <c r="J1658" t="s">
        <v>13</v>
      </c>
    </row>
    <row r="1659" spans="1:10" x14ac:dyDescent="0.25">
      <c r="A1659" t="s">
        <v>132</v>
      </c>
      <c r="B1659" t="s">
        <v>14</v>
      </c>
      <c r="C1659" s="12" t="s">
        <v>109</v>
      </c>
      <c r="D1659" t="s">
        <v>4</v>
      </c>
      <c r="E1659" t="s">
        <v>6</v>
      </c>
      <c r="F1659" t="s">
        <v>16</v>
      </c>
      <c r="G1659" t="s">
        <v>181</v>
      </c>
      <c r="H1659" s="94">
        <v>0.05</v>
      </c>
      <c r="I1659" t="s">
        <v>107</v>
      </c>
      <c r="J1659" t="s">
        <v>63</v>
      </c>
    </row>
    <row r="1660" spans="1:10" x14ac:dyDescent="0.25">
      <c r="A1660" t="s">
        <v>132</v>
      </c>
      <c r="B1660" t="s">
        <v>14</v>
      </c>
      <c r="C1660" s="12" t="s">
        <v>109</v>
      </c>
      <c r="D1660" t="s">
        <v>4</v>
      </c>
      <c r="E1660" t="s">
        <v>6</v>
      </c>
      <c r="F1660" t="s">
        <v>16</v>
      </c>
      <c r="G1660" t="s">
        <v>181</v>
      </c>
      <c r="H1660" s="94">
        <v>0.05</v>
      </c>
      <c r="I1660" t="s">
        <v>107</v>
      </c>
      <c r="J1660" t="s">
        <v>11</v>
      </c>
    </row>
    <row r="1661" spans="1:10" x14ac:dyDescent="0.25">
      <c r="A1661" t="s">
        <v>132</v>
      </c>
      <c r="B1661" t="s">
        <v>14</v>
      </c>
      <c r="C1661" s="12" t="s">
        <v>109</v>
      </c>
      <c r="D1661" t="s">
        <v>4</v>
      </c>
      <c r="E1661" t="s">
        <v>6</v>
      </c>
      <c r="F1661" t="s">
        <v>16</v>
      </c>
      <c r="G1661" t="s">
        <v>181</v>
      </c>
      <c r="H1661" s="94">
        <v>0.05</v>
      </c>
      <c r="I1661" t="s">
        <v>62</v>
      </c>
      <c r="J1661" t="s">
        <v>13</v>
      </c>
    </row>
    <row r="1662" spans="1:10" x14ac:dyDescent="0.25">
      <c r="A1662" t="s">
        <v>132</v>
      </c>
      <c r="B1662" t="s">
        <v>14</v>
      </c>
      <c r="C1662" s="12" t="s">
        <v>109</v>
      </c>
      <c r="D1662" t="s">
        <v>4</v>
      </c>
      <c r="E1662" t="s">
        <v>6</v>
      </c>
      <c r="F1662" t="s">
        <v>16</v>
      </c>
      <c r="G1662" t="s">
        <v>181</v>
      </c>
      <c r="H1662" s="94">
        <v>0.05</v>
      </c>
      <c r="I1662" t="s">
        <v>62</v>
      </c>
      <c r="J1662" t="s">
        <v>63</v>
      </c>
    </row>
    <row r="1663" spans="1:10" x14ac:dyDescent="0.25">
      <c r="A1663" t="s">
        <v>132</v>
      </c>
      <c r="B1663" t="s">
        <v>14</v>
      </c>
      <c r="C1663" s="12" t="s">
        <v>109</v>
      </c>
      <c r="D1663" t="s">
        <v>4</v>
      </c>
      <c r="E1663" t="s">
        <v>6</v>
      </c>
      <c r="F1663" t="s">
        <v>16</v>
      </c>
      <c r="G1663" t="s">
        <v>181</v>
      </c>
      <c r="H1663" s="94">
        <v>0.05</v>
      </c>
      <c r="I1663" t="s">
        <v>62</v>
      </c>
      <c r="J1663" t="s">
        <v>11</v>
      </c>
    </row>
    <row r="1664" spans="1:10" x14ac:dyDescent="0.25">
      <c r="A1664" t="s">
        <v>132</v>
      </c>
      <c r="B1664" t="s">
        <v>14</v>
      </c>
      <c r="C1664" s="12" t="s">
        <v>109</v>
      </c>
      <c r="D1664" t="s">
        <v>4</v>
      </c>
      <c r="E1664" t="s">
        <v>6</v>
      </c>
      <c r="F1664" t="s">
        <v>16</v>
      </c>
      <c r="G1664" t="s">
        <v>181</v>
      </c>
      <c r="H1664" s="94">
        <v>0.05</v>
      </c>
      <c r="I1664" t="s">
        <v>60</v>
      </c>
      <c r="J1664" t="s">
        <v>13</v>
      </c>
    </row>
    <row r="1665" spans="1:10" x14ac:dyDescent="0.25">
      <c r="A1665" t="s">
        <v>132</v>
      </c>
      <c r="B1665" t="s">
        <v>14</v>
      </c>
      <c r="C1665" s="12" t="s">
        <v>109</v>
      </c>
      <c r="D1665" t="s">
        <v>4</v>
      </c>
      <c r="E1665" t="s">
        <v>6</v>
      </c>
      <c r="F1665" t="s">
        <v>16</v>
      </c>
      <c r="G1665" t="s">
        <v>181</v>
      </c>
      <c r="H1665" s="94">
        <v>0.05</v>
      </c>
      <c r="I1665" t="s">
        <v>60</v>
      </c>
      <c r="J1665" t="s">
        <v>63</v>
      </c>
    </row>
    <row r="1666" spans="1:10" x14ac:dyDescent="0.25">
      <c r="A1666" t="s">
        <v>132</v>
      </c>
      <c r="B1666" t="s">
        <v>14</v>
      </c>
      <c r="C1666" s="12" t="s">
        <v>109</v>
      </c>
      <c r="D1666" t="s">
        <v>4</v>
      </c>
      <c r="E1666" t="s">
        <v>6</v>
      </c>
      <c r="F1666" t="s">
        <v>16</v>
      </c>
      <c r="G1666" t="s">
        <v>181</v>
      </c>
      <c r="H1666" s="94">
        <v>0.05</v>
      </c>
      <c r="I1666" t="s">
        <v>60</v>
      </c>
      <c r="J1666" t="s">
        <v>11</v>
      </c>
    </row>
    <row r="1667" spans="1:10" x14ac:dyDescent="0.25">
      <c r="A1667" t="s">
        <v>132</v>
      </c>
      <c r="B1667" t="s">
        <v>14</v>
      </c>
      <c r="C1667" s="12" t="s">
        <v>109</v>
      </c>
      <c r="D1667" t="s">
        <v>4</v>
      </c>
      <c r="E1667" t="s">
        <v>6</v>
      </c>
      <c r="F1667" t="s">
        <v>8</v>
      </c>
      <c r="G1667" t="s">
        <v>181</v>
      </c>
      <c r="H1667" s="94">
        <v>0.05</v>
      </c>
      <c r="I1667" t="s">
        <v>107</v>
      </c>
      <c r="J1667" t="s">
        <v>13</v>
      </c>
    </row>
    <row r="1668" spans="1:10" x14ac:dyDescent="0.25">
      <c r="A1668" t="s">
        <v>132</v>
      </c>
      <c r="B1668" t="s">
        <v>14</v>
      </c>
      <c r="C1668" s="12" t="s">
        <v>109</v>
      </c>
      <c r="D1668" t="s">
        <v>4</v>
      </c>
      <c r="E1668" t="s">
        <v>6</v>
      </c>
      <c r="F1668" t="s">
        <v>8</v>
      </c>
      <c r="G1668" t="s">
        <v>181</v>
      </c>
      <c r="H1668" s="94">
        <v>0.05</v>
      </c>
      <c r="I1668" t="s">
        <v>107</v>
      </c>
      <c r="J1668" t="s">
        <v>63</v>
      </c>
    </row>
    <row r="1669" spans="1:10" x14ac:dyDescent="0.25">
      <c r="A1669" t="s">
        <v>132</v>
      </c>
      <c r="B1669" t="s">
        <v>14</v>
      </c>
      <c r="C1669" s="12" t="s">
        <v>109</v>
      </c>
      <c r="D1669" t="s">
        <v>4</v>
      </c>
      <c r="E1669" t="s">
        <v>6</v>
      </c>
      <c r="F1669" t="s">
        <v>8</v>
      </c>
      <c r="G1669" t="s">
        <v>181</v>
      </c>
      <c r="H1669" s="94">
        <v>0.05</v>
      </c>
      <c r="I1669" t="s">
        <v>107</v>
      </c>
      <c r="J1669" t="s">
        <v>11</v>
      </c>
    </row>
    <row r="1670" spans="1:10" x14ac:dyDescent="0.25">
      <c r="A1670" t="s">
        <v>132</v>
      </c>
      <c r="B1670" t="s">
        <v>14</v>
      </c>
      <c r="C1670" s="12" t="s">
        <v>109</v>
      </c>
      <c r="D1670" t="s">
        <v>4</v>
      </c>
      <c r="E1670" t="s">
        <v>6</v>
      </c>
      <c r="F1670" t="s">
        <v>8</v>
      </c>
      <c r="G1670" t="s">
        <v>181</v>
      </c>
      <c r="H1670" s="94">
        <v>0.05</v>
      </c>
      <c r="I1670" t="s">
        <v>62</v>
      </c>
      <c r="J1670" t="s">
        <v>13</v>
      </c>
    </row>
    <row r="1671" spans="1:10" x14ac:dyDescent="0.25">
      <c r="A1671" t="s">
        <v>132</v>
      </c>
      <c r="B1671" t="s">
        <v>14</v>
      </c>
      <c r="C1671" s="12" t="s">
        <v>109</v>
      </c>
      <c r="D1671" t="s">
        <v>4</v>
      </c>
      <c r="E1671" t="s">
        <v>6</v>
      </c>
      <c r="F1671" t="s">
        <v>8</v>
      </c>
      <c r="G1671" t="s">
        <v>181</v>
      </c>
      <c r="H1671" s="94">
        <v>0.05</v>
      </c>
      <c r="I1671" t="s">
        <v>62</v>
      </c>
      <c r="J1671" t="s">
        <v>63</v>
      </c>
    </row>
    <row r="1672" spans="1:10" x14ac:dyDescent="0.25">
      <c r="A1672" t="s">
        <v>132</v>
      </c>
      <c r="B1672" t="s">
        <v>14</v>
      </c>
      <c r="C1672" s="12" t="s">
        <v>109</v>
      </c>
      <c r="D1672" t="s">
        <v>4</v>
      </c>
      <c r="E1672" t="s">
        <v>6</v>
      </c>
      <c r="F1672" t="s">
        <v>8</v>
      </c>
      <c r="G1672" t="s">
        <v>181</v>
      </c>
      <c r="H1672" s="94">
        <v>0.05</v>
      </c>
      <c r="I1672" t="s">
        <v>62</v>
      </c>
      <c r="J1672" t="s">
        <v>11</v>
      </c>
    </row>
    <row r="1673" spans="1:10" x14ac:dyDescent="0.25">
      <c r="A1673" t="s">
        <v>132</v>
      </c>
      <c r="B1673" t="s">
        <v>14</v>
      </c>
      <c r="C1673" s="12" t="s">
        <v>109</v>
      </c>
      <c r="D1673" t="s">
        <v>4</v>
      </c>
      <c r="E1673" t="s">
        <v>6</v>
      </c>
      <c r="F1673" t="s">
        <v>8</v>
      </c>
      <c r="G1673" t="s">
        <v>181</v>
      </c>
      <c r="H1673" s="94">
        <v>0.05</v>
      </c>
      <c r="I1673" t="s">
        <v>60</v>
      </c>
      <c r="J1673" t="s">
        <v>13</v>
      </c>
    </row>
    <row r="1674" spans="1:10" x14ac:dyDescent="0.25">
      <c r="A1674" t="s">
        <v>132</v>
      </c>
      <c r="B1674" t="s">
        <v>14</v>
      </c>
      <c r="C1674" s="12" t="s">
        <v>109</v>
      </c>
      <c r="D1674" t="s">
        <v>4</v>
      </c>
      <c r="E1674" t="s">
        <v>6</v>
      </c>
      <c r="F1674" t="s">
        <v>8</v>
      </c>
      <c r="G1674" t="s">
        <v>181</v>
      </c>
      <c r="H1674" s="94">
        <v>0.05</v>
      </c>
      <c r="I1674" t="s">
        <v>60</v>
      </c>
      <c r="J1674" t="s">
        <v>63</v>
      </c>
    </row>
    <row r="1675" spans="1:10" x14ac:dyDescent="0.25">
      <c r="A1675" t="s">
        <v>132</v>
      </c>
      <c r="B1675" t="s">
        <v>14</v>
      </c>
      <c r="C1675" s="12" t="s">
        <v>109</v>
      </c>
      <c r="D1675" t="s">
        <v>4</v>
      </c>
      <c r="E1675" t="s">
        <v>6</v>
      </c>
      <c r="F1675" t="s">
        <v>8</v>
      </c>
      <c r="G1675" t="s">
        <v>181</v>
      </c>
      <c r="H1675" s="94">
        <v>0.05</v>
      </c>
      <c r="I1675" t="s">
        <v>60</v>
      </c>
      <c r="J1675" t="s">
        <v>11</v>
      </c>
    </row>
    <row r="1676" spans="1:10" x14ac:dyDescent="0.25">
      <c r="A1676" t="s">
        <v>132</v>
      </c>
      <c r="B1676" t="s">
        <v>167</v>
      </c>
      <c r="C1676" s="12" t="s">
        <v>109</v>
      </c>
      <c r="D1676" t="s">
        <v>4</v>
      </c>
      <c r="E1676" t="s">
        <v>12</v>
      </c>
      <c r="F1676" t="s">
        <v>72</v>
      </c>
      <c r="G1676" t="s">
        <v>181</v>
      </c>
      <c r="H1676" s="94">
        <v>0.05</v>
      </c>
      <c r="I1676" t="s">
        <v>107</v>
      </c>
      <c r="J1676" t="s">
        <v>13</v>
      </c>
    </row>
    <row r="1677" spans="1:10" x14ac:dyDescent="0.25">
      <c r="A1677" t="s">
        <v>132</v>
      </c>
      <c r="B1677" t="s">
        <v>167</v>
      </c>
      <c r="C1677" s="12" t="s">
        <v>109</v>
      </c>
      <c r="D1677" t="s">
        <v>4</v>
      </c>
      <c r="E1677" t="s">
        <v>12</v>
      </c>
      <c r="F1677" t="s">
        <v>72</v>
      </c>
      <c r="G1677" t="s">
        <v>181</v>
      </c>
      <c r="H1677" s="94">
        <v>0.05</v>
      </c>
      <c r="I1677" t="s">
        <v>107</v>
      </c>
      <c r="J1677" t="s">
        <v>63</v>
      </c>
    </row>
    <row r="1678" spans="1:10" x14ac:dyDescent="0.25">
      <c r="A1678" t="s">
        <v>132</v>
      </c>
      <c r="B1678" t="s">
        <v>167</v>
      </c>
      <c r="C1678" s="12" t="s">
        <v>109</v>
      </c>
      <c r="D1678" t="s">
        <v>4</v>
      </c>
      <c r="E1678" t="s">
        <v>12</v>
      </c>
      <c r="F1678" t="s">
        <v>72</v>
      </c>
      <c r="G1678" t="s">
        <v>181</v>
      </c>
      <c r="H1678" s="94">
        <v>0.05</v>
      </c>
      <c r="I1678" t="s">
        <v>107</v>
      </c>
      <c r="J1678" t="s">
        <v>11</v>
      </c>
    </row>
    <row r="1679" spans="1:10" x14ac:dyDescent="0.25">
      <c r="A1679" t="s">
        <v>132</v>
      </c>
      <c r="B1679" t="s">
        <v>167</v>
      </c>
      <c r="C1679" s="12" t="s">
        <v>109</v>
      </c>
      <c r="D1679" t="s">
        <v>4</v>
      </c>
      <c r="E1679" t="s">
        <v>12</v>
      </c>
      <c r="F1679" t="s">
        <v>72</v>
      </c>
      <c r="G1679" t="s">
        <v>181</v>
      </c>
      <c r="H1679" s="94">
        <v>0.05</v>
      </c>
      <c r="I1679" t="s">
        <v>62</v>
      </c>
      <c r="J1679" t="s">
        <v>13</v>
      </c>
    </row>
    <row r="1680" spans="1:10" x14ac:dyDescent="0.25">
      <c r="A1680" t="s">
        <v>132</v>
      </c>
      <c r="B1680" t="s">
        <v>167</v>
      </c>
      <c r="C1680" s="12" t="s">
        <v>109</v>
      </c>
      <c r="D1680" t="s">
        <v>4</v>
      </c>
      <c r="E1680" t="s">
        <v>12</v>
      </c>
      <c r="F1680" t="s">
        <v>72</v>
      </c>
      <c r="G1680" t="s">
        <v>181</v>
      </c>
      <c r="H1680" s="94">
        <v>0.05</v>
      </c>
      <c r="I1680" t="s">
        <v>62</v>
      </c>
      <c r="J1680" t="s">
        <v>63</v>
      </c>
    </row>
    <row r="1681" spans="1:10" x14ac:dyDescent="0.25">
      <c r="A1681" t="s">
        <v>132</v>
      </c>
      <c r="B1681" t="s">
        <v>167</v>
      </c>
      <c r="C1681" s="12" t="s">
        <v>109</v>
      </c>
      <c r="D1681" t="s">
        <v>4</v>
      </c>
      <c r="E1681" t="s">
        <v>12</v>
      </c>
      <c r="F1681" t="s">
        <v>72</v>
      </c>
      <c r="G1681" t="s">
        <v>181</v>
      </c>
      <c r="H1681" s="94">
        <v>0.05</v>
      </c>
      <c r="I1681" t="s">
        <v>62</v>
      </c>
      <c r="J1681" t="s">
        <v>11</v>
      </c>
    </row>
    <row r="1682" spans="1:10" x14ac:dyDescent="0.25">
      <c r="A1682" t="s">
        <v>132</v>
      </c>
      <c r="B1682" t="s">
        <v>167</v>
      </c>
      <c r="C1682" s="12" t="s">
        <v>109</v>
      </c>
      <c r="D1682" t="s">
        <v>4</v>
      </c>
      <c r="E1682" t="s">
        <v>12</v>
      </c>
      <c r="F1682" t="s">
        <v>72</v>
      </c>
      <c r="G1682" t="s">
        <v>181</v>
      </c>
      <c r="H1682" s="94">
        <v>0.05</v>
      </c>
      <c r="I1682" t="s">
        <v>60</v>
      </c>
      <c r="J1682" t="s">
        <v>13</v>
      </c>
    </row>
    <row r="1683" spans="1:10" x14ac:dyDescent="0.25">
      <c r="A1683" t="s">
        <v>132</v>
      </c>
      <c r="B1683" t="s">
        <v>167</v>
      </c>
      <c r="C1683" s="12" t="s">
        <v>109</v>
      </c>
      <c r="D1683" t="s">
        <v>4</v>
      </c>
      <c r="E1683" t="s">
        <v>12</v>
      </c>
      <c r="F1683" t="s">
        <v>72</v>
      </c>
      <c r="G1683" t="s">
        <v>181</v>
      </c>
      <c r="H1683" s="94">
        <v>0.05</v>
      </c>
      <c r="I1683" t="s">
        <v>60</v>
      </c>
      <c r="J1683" t="s">
        <v>63</v>
      </c>
    </row>
    <row r="1684" spans="1:10" x14ac:dyDescent="0.25">
      <c r="A1684" t="s">
        <v>132</v>
      </c>
      <c r="B1684" t="s">
        <v>167</v>
      </c>
      <c r="C1684" s="12" t="s">
        <v>109</v>
      </c>
      <c r="D1684" t="s">
        <v>4</v>
      </c>
      <c r="E1684" t="s">
        <v>12</v>
      </c>
      <c r="F1684" t="s">
        <v>72</v>
      </c>
      <c r="G1684" t="s">
        <v>181</v>
      </c>
      <c r="H1684" s="94">
        <v>0.05</v>
      </c>
      <c r="I1684" t="s">
        <v>60</v>
      </c>
      <c r="J1684" t="s">
        <v>11</v>
      </c>
    </row>
    <row r="1685" spans="1:10" x14ac:dyDescent="0.25">
      <c r="A1685" t="s">
        <v>132</v>
      </c>
      <c r="B1685" t="s">
        <v>167</v>
      </c>
      <c r="C1685" s="12" t="s">
        <v>109</v>
      </c>
      <c r="D1685" t="s">
        <v>4</v>
      </c>
      <c r="E1685" t="s">
        <v>12</v>
      </c>
      <c r="F1685" t="s">
        <v>16</v>
      </c>
      <c r="G1685" t="s">
        <v>181</v>
      </c>
      <c r="H1685" s="94">
        <v>0.05</v>
      </c>
      <c r="I1685" t="s">
        <v>107</v>
      </c>
      <c r="J1685" t="s">
        <v>13</v>
      </c>
    </row>
    <row r="1686" spans="1:10" x14ac:dyDescent="0.25">
      <c r="A1686" t="s">
        <v>132</v>
      </c>
      <c r="B1686" t="s">
        <v>167</v>
      </c>
      <c r="C1686" s="12" t="s">
        <v>109</v>
      </c>
      <c r="D1686" t="s">
        <v>4</v>
      </c>
      <c r="E1686" t="s">
        <v>12</v>
      </c>
      <c r="F1686" t="s">
        <v>16</v>
      </c>
      <c r="G1686" t="s">
        <v>181</v>
      </c>
      <c r="H1686" s="94">
        <v>0.05</v>
      </c>
      <c r="I1686" t="s">
        <v>107</v>
      </c>
      <c r="J1686" t="s">
        <v>63</v>
      </c>
    </row>
    <row r="1687" spans="1:10" x14ac:dyDescent="0.25">
      <c r="A1687" t="s">
        <v>132</v>
      </c>
      <c r="B1687" t="s">
        <v>167</v>
      </c>
      <c r="C1687" s="12" t="s">
        <v>109</v>
      </c>
      <c r="D1687" t="s">
        <v>4</v>
      </c>
      <c r="E1687" t="s">
        <v>12</v>
      </c>
      <c r="F1687" t="s">
        <v>16</v>
      </c>
      <c r="G1687" t="s">
        <v>181</v>
      </c>
      <c r="H1687" s="94">
        <v>0.05</v>
      </c>
      <c r="I1687" t="s">
        <v>107</v>
      </c>
      <c r="J1687" t="s">
        <v>11</v>
      </c>
    </row>
    <row r="1688" spans="1:10" x14ac:dyDescent="0.25">
      <c r="A1688" t="s">
        <v>132</v>
      </c>
      <c r="B1688" t="s">
        <v>167</v>
      </c>
      <c r="C1688" s="12" t="s">
        <v>109</v>
      </c>
      <c r="D1688" t="s">
        <v>4</v>
      </c>
      <c r="E1688" t="s">
        <v>12</v>
      </c>
      <c r="F1688" t="s">
        <v>16</v>
      </c>
      <c r="G1688" t="s">
        <v>181</v>
      </c>
      <c r="H1688" s="94">
        <v>0.05</v>
      </c>
      <c r="I1688" t="s">
        <v>62</v>
      </c>
      <c r="J1688" t="s">
        <v>13</v>
      </c>
    </row>
    <row r="1689" spans="1:10" x14ac:dyDescent="0.25">
      <c r="A1689" t="s">
        <v>132</v>
      </c>
      <c r="B1689" t="s">
        <v>167</v>
      </c>
      <c r="C1689" s="12" t="s">
        <v>109</v>
      </c>
      <c r="D1689" t="s">
        <v>4</v>
      </c>
      <c r="E1689" t="s">
        <v>12</v>
      </c>
      <c r="F1689" t="s">
        <v>16</v>
      </c>
      <c r="G1689" t="s">
        <v>181</v>
      </c>
      <c r="H1689" s="94">
        <v>0.05</v>
      </c>
      <c r="I1689" t="s">
        <v>62</v>
      </c>
      <c r="J1689" t="s">
        <v>63</v>
      </c>
    </row>
    <row r="1690" spans="1:10" x14ac:dyDescent="0.25">
      <c r="A1690" t="s">
        <v>132</v>
      </c>
      <c r="B1690" t="s">
        <v>167</v>
      </c>
      <c r="C1690" s="12" t="s">
        <v>109</v>
      </c>
      <c r="D1690" t="s">
        <v>4</v>
      </c>
      <c r="E1690" t="s">
        <v>12</v>
      </c>
      <c r="F1690" t="s">
        <v>16</v>
      </c>
      <c r="G1690" t="s">
        <v>181</v>
      </c>
      <c r="H1690" s="94">
        <v>0.05</v>
      </c>
      <c r="I1690" t="s">
        <v>62</v>
      </c>
      <c r="J1690" t="s">
        <v>11</v>
      </c>
    </row>
    <row r="1691" spans="1:10" x14ac:dyDescent="0.25">
      <c r="A1691" t="s">
        <v>132</v>
      </c>
      <c r="B1691" t="s">
        <v>167</v>
      </c>
      <c r="C1691" s="12" t="s">
        <v>109</v>
      </c>
      <c r="D1691" t="s">
        <v>4</v>
      </c>
      <c r="E1691" t="s">
        <v>12</v>
      </c>
      <c r="F1691" t="s">
        <v>16</v>
      </c>
      <c r="G1691" t="s">
        <v>181</v>
      </c>
      <c r="H1691" s="94">
        <v>0.05</v>
      </c>
      <c r="I1691" t="s">
        <v>60</v>
      </c>
      <c r="J1691" t="s">
        <v>13</v>
      </c>
    </row>
    <row r="1692" spans="1:10" x14ac:dyDescent="0.25">
      <c r="A1692" t="s">
        <v>132</v>
      </c>
      <c r="B1692" t="s">
        <v>167</v>
      </c>
      <c r="C1692" s="12" t="s">
        <v>109</v>
      </c>
      <c r="D1692" t="s">
        <v>4</v>
      </c>
      <c r="E1692" t="s">
        <v>12</v>
      </c>
      <c r="F1692" t="s">
        <v>16</v>
      </c>
      <c r="G1692" t="s">
        <v>181</v>
      </c>
      <c r="H1692" s="94">
        <v>0.05</v>
      </c>
      <c r="I1692" t="s">
        <v>60</v>
      </c>
      <c r="J1692" t="s">
        <v>63</v>
      </c>
    </row>
    <row r="1693" spans="1:10" x14ac:dyDescent="0.25">
      <c r="A1693" t="s">
        <v>132</v>
      </c>
      <c r="B1693" t="s">
        <v>167</v>
      </c>
      <c r="C1693" s="12" t="s">
        <v>109</v>
      </c>
      <c r="D1693" t="s">
        <v>4</v>
      </c>
      <c r="E1693" t="s">
        <v>12</v>
      </c>
      <c r="F1693" t="s">
        <v>16</v>
      </c>
      <c r="G1693" t="s">
        <v>181</v>
      </c>
      <c r="H1693" s="94">
        <v>0.05</v>
      </c>
      <c r="I1693" t="s">
        <v>60</v>
      </c>
      <c r="J1693" t="s">
        <v>11</v>
      </c>
    </row>
    <row r="1694" spans="1:10" x14ac:dyDescent="0.25">
      <c r="A1694" t="s">
        <v>132</v>
      </c>
      <c r="B1694" t="s">
        <v>167</v>
      </c>
      <c r="C1694" s="12" t="s">
        <v>109</v>
      </c>
      <c r="D1694" t="s">
        <v>4</v>
      </c>
      <c r="E1694" t="s">
        <v>12</v>
      </c>
      <c r="F1694" t="s">
        <v>8</v>
      </c>
      <c r="G1694" t="s">
        <v>181</v>
      </c>
      <c r="H1694" s="94">
        <v>0.05</v>
      </c>
      <c r="I1694" t="s">
        <v>107</v>
      </c>
      <c r="J1694" t="s">
        <v>13</v>
      </c>
    </row>
    <row r="1695" spans="1:10" x14ac:dyDescent="0.25">
      <c r="A1695" t="s">
        <v>132</v>
      </c>
      <c r="B1695" t="s">
        <v>167</v>
      </c>
      <c r="C1695" s="12" t="s">
        <v>109</v>
      </c>
      <c r="D1695" t="s">
        <v>4</v>
      </c>
      <c r="E1695" t="s">
        <v>12</v>
      </c>
      <c r="F1695" t="s">
        <v>8</v>
      </c>
      <c r="G1695" t="s">
        <v>181</v>
      </c>
      <c r="H1695" s="94">
        <v>0.05</v>
      </c>
      <c r="I1695" t="s">
        <v>107</v>
      </c>
      <c r="J1695" t="s">
        <v>63</v>
      </c>
    </row>
    <row r="1696" spans="1:10" x14ac:dyDescent="0.25">
      <c r="A1696" t="s">
        <v>132</v>
      </c>
      <c r="B1696" t="s">
        <v>167</v>
      </c>
      <c r="C1696" s="12" t="s">
        <v>109</v>
      </c>
      <c r="D1696" t="s">
        <v>4</v>
      </c>
      <c r="E1696" t="s">
        <v>12</v>
      </c>
      <c r="F1696" t="s">
        <v>8</v>
      </c>
      <c r="G1696" t="s">
        <v>181</v>
      </c>
      <c r="H1696" s="94">
        <v>0.05</v>
      </c>
      <c r="I1696" t="s">
        <v>107</v>
      </c>
      <c r="J1696" t="s">
        <v>11</v>
      </c>
    </row>
    <row r="1697" spans="1:10" x14ac:dyDescent="0.25">
      <c r="A1697" t="s">
        <v>132</v>
      </c>
      <c r="B1697" t="s">
        <v>167</v>
      </c>
      <c r="C1697" s="12" t="s">
        <v>109</v>
      </c>
      <c r="D1697" t="s">
        <v>4</v>
      </c>
      <c r="E1697" t="s">
        <v>12</v>
      </c>
      <c r="F1697" t="s">
        <v>8</v>
      </c>
      <c r="G1697" t="s">
        <v>181</v>
      </c>
      <c r="H1697" s="94">
        <v>0.05</v>
      </c>
      <c r="I1697" t="s">
        <v>62</v>
      </c>
      <c r="J1697" t="s">
        <v>13</v>
      </c>
    </row>
    <row r="1698" spans="1:10" x14ac:dyDescent="0.25">
      <c r="A1698" t="s">
        <v>132</v>
      </c>
      <c r="B1698" t="s">
        <v>167</v>
      </c>
      <c r="C1698" s="12" t="s">
        <v>109</v>
      </c>
      <c r="D1698" t="s">
        <v>4</v>
      </c>
      <c r="E1698" t="s">
        <v>12</v>
      </c>
      <c r="F1698" t="s">
        <v>8</v>
      </c>
      <c r="G1698" t="s">
        <v>181</v>
      </c>
      <c r="H1698" s="94">
        <v>0.05</v>
      </c>
      <c r="I1698" t="s">
        <v>62</v>
      </c>
      <c r="J1698" t="s">
        <v>63</v>
      </c>
    </row>
    <row r="1699" spans="1:10" x14ac:dyDescent="0.25">
      <c r="A1699" t="s">
        <v>132</v>
      </c>
      <c r="B1699" t="s">
        <v>167</v>
      </c>
      <c r="C1699" s="12" t="s">
        <v>109</v>
      </c>
      <c r="D1699" t="s">
        <v>4</v>
      </c>
      <c r="E1699" t="s">
        <v>12</v>
      </c>
      <c r="F1699" t="s">
        <v>8</v>
      </c>
      <c r="G1699" t="s">
        <v>181</v>
      </c>
      <c r="H1699" s="94">
        <v>0.05</v>
      </c>
      <c r="I1699" t="s">
        <v>62</v>
      </c>
      <c r="J1699" t="s">
        <v>11</v>
      </c>
    </row>
    <row r="1700" spans="1:10" x14ac:dyDescent="0.25">
      <c r="A1700" t="s">
        <v>132</v>
      </c>
      <c r="B1700" t="s">
        <v>167</v>
      </c>
      <c r="C1700" s="12" t="s">
        <v>109</v>
      </c>
      <c r="D1700" t="s">
        <v>4</v>
      </c>
      <c r="E1700" t="s">
        <v>12</v>
      </c>
      <c r="F1700" t="s">
        <v>8</v>
      </c>
      <c r="G1700" t="s">
        <v>181</v>
      </c>
      <c r="H1700" s="94">
        <v>0.05</v>
      </c>
      <c r="I1700" t="s">
        <v>60</v>
      </c>
      <c r="J1700" t="s">
        <v>13</v>
      </c>
    </row>
    <row r="1701" spans="1:10" x14ac:dyDescent="0.25">
      <c r="A1701" t="s">
        <v>132</v>
      </c>
      <c r="B1701" t="s">
        <v>167</v>
      </c>
      <c r="C1701" s="12" t="s">
        <v>109</v>
      </c>
      <c r="D1701" t="s">
        <v>4</v>
      </c>
      <c r="E1701" t="s">
        <v>12</v>
      </c>
      <c r="F1701" t="s">
        <v>8</v>
      </c>
      <c r="G1701" t="s">
        <v>181</v>
      </c>
      <c r="H1701" s="94">
        <v>0.05</v>
      </c>
      <c r="I1701" t="s">
        <v>60</v>
      </c>
      <c r="J1701" t="s">
        <v>63</v>
      </c>
    </row>
    <row r="1702" spans="1:10" x14ac:dyDescent="0.25">
      <c r="A1702" t="s">
        <v>132</v>
      </c>
      <c r="B1702" t="s">
        <v>167</v>
      </c>
      <c r="C1702" s="12" t="s">
        <v>109</v>
      </c>
      <c r="D1702" t="s">
        <v>4</v>
      </c>
      <c r="E1702" t="s">
        <v>12</v>
      </c>
      <c r="F1702" t="s">
        <v>8</v>
      </c>
      <c r="G1702" t="s">
        <v>181</v>
      </c>
      <c r="H1702" s="94">
        <v>0.05</v>
      </c>
      <c r="I1702" t="s">
        <v>60</v>
      </c>
      <c r="J1702" t="s">
        <v>11</v>
      </c>
    </row>
    <row r="1703" spans="1:10" x14ac:dyDescent="0.25">
      <c r="A1703" t="s">
        <v>132</v>
      </c>
      <c r="B1703" t="s">
        <v>167</v>
      </c>
      <c r="C1703" s="12" t="s">
        <v>109</v>
      </c>
      <c r="D1703" t="s">
        <v>4</v>
      </c>
      <c r="E1703" t="s">
        <v>6</v>
      </c>
      <c r="F1703" t="s">
        <v>72</v>
      </c>
      <c r="G1703" t="s">
        <v>181</v>
      </c>
      <c r="H1703" s="94">
        <v>0.05</v>
      </c>
      <c r="I1703" t="s">
        <v>107</v>
      </c>
      <c r="J1703" t="s">
        <v>13</v>
      </c>
    </row>
    <row r="1704" spans="1:10" x14ac:dyDescent="0.25">
      <c r="A1704" t="s">
        <v>132</v>
      </c>
      <c r="B1704" t="s">
        <v>167</v>
      </c>
      <c r="C1704" s="12" t="s">
        <v>109</v>
      </c>
      <c r="D1704" t="s">
        <v>4</v>
      </c>
      <c r="E1704" t="s">
        <v>6</v>
      </c>
      <c r="F1704" t="s">
        <v>72</v>
      </c>
      <c r="G1704" t="s">
        <v>181</v>
      </c>
      <c r="H1704" s="94">
        <v>0.05</v>
      </c>
      <c r="I1704" t="s">
        <v>107</v>
      </c>
      <c r="J1704" t="s">
        <v>63</v>
      </c>
    </row>
    <row r="1705" spans="1:10" x14ac:dyDescent="0.25">
      <c r="A1705" t="s">
        <v>132</v>
      </c>
      <c r="B1705" t="s">
        <v>167</v>
      </c>
      <c r="C1705" s="12" t="s">
        <v>109</v>
      </c>
      <c r="D1705" t="s">
        <v>4</v>
      </c>
      <c r="E1705" t="s">
        <v>6</v>
      </c>
      <c r="F1705" t="s">
        <v>72</v>
      </c>
      <c r="G1705" t="s">
        <v>181</v>
      </c>
      <c r="H1705" s="94">
        <v>0.05</v>
      </c>
      <c r="I1705" t="s">
        <v>107</v>
      </c>
      <c r="J1705" t="s">
        <v>11</v>
      </c>
    </row>
    <row r="1706" spans="1:10" x14ac:dyDescent="0.25">
      <c r="A1706" t="s">
        <v>132</v>
      </c>
      <c r="B1706" t="s">
        <v>167</v>
      </c>
      <c r="C1706" s="12" t="s">
        <v>109</v>
      </c>
      <c r="D1706" t="s">
        <v>4</v>
      </c>
      <c r="E1706" t="s">
        <v>6</v>
      </c>
      <c r="F1706" t="s">
        <v>72</v>
      </c>
      <c r="G1706" t="s">
        <v>181</v>
      </c>
      <c r="H1706" s="94">
        <v>0.05</v>
      </c>
      <c r="I1706" t="s">
        <v>62</v>
      </c>
      <c r="J1706" t="s">
        <v>13</v>
      </c>
    </row>
    <row r="1707" spans="1:10" x14ac:dyDescent="0.25">
      <c r="A1707" t="s">
        <v>132</v>
      </c>
      <c r="B1707" t="s">
        <v>167</v>
      </c>
      <c r="C1707" s="12" t="s">
        <v>109</v>
      </c>
      <c r="D1707" t="s">
        <v>4</v>
      </c>
      <c r="E1707" t="s">
        <v>6</v>
      </c>
      <c r="F1707" t="s">
        <v>72</v>
      </c>
      <c r="G1707" t="s">
        <v>181</v>
      </c>
      <c r="H1707" s="94">
        <v>0.05</v>
      </c>
      <c r="I1707" t="s">
        <v>62</v>
      </c>
      <c r="J1707" t="s">
        <v>63</v>
      </c>
    </row>
    <row r="1708" spans="1:10" x14ac:dyDescent="0.25">
      <c r="A1708" t="s">
        <v>132</v>
      </c>
      <c r="B1708" t="s">
        <v>167</v>
      </c>
      <c r="C1708" s="12" t="s">
        <v>109</v>
      </c>
      <c r="D1708" t="s">
        <v>4</v>
      </c>
      <c r="E1708" t="s">
        <v>6</v>
      </c>
      <c r="F1708" t="s">
        <v>72</v>
      </c>
      <c r="G1708" t="s">
        <v>181</v>
      </c>
      <c r="H1708" s="94">
        <v>0.05</v>
      </c>
      <c r="I1708" t="s">
        <v>62</v>
      </c>
      <c r="J1708" t="s">
        <v>11</v>
      </c>
    </row>
    <row r="1709" spans="1:10" x14ac:dyDescent="0.25">
      <c r="A1709" t="s">
        <v>132</v>
      </c>
      <c r="B1709" t="s">
        <v>167</v>
      </c>
      <c r="C1709" s="12" t="s">
        <v>109</v>
      </c>
      <c r="D1709" t="s">
        <v>4</v>
      </c>
      <c r="E1709" t="s">
        <v>6</v>
      </c>
      <c r="F1709" t="s">
        <v>72</v>
      </c>
      <c r="G1709" t="s">
        <v>181</v>
      </c>
      <c r="H1709" s="94">
        <v>0.05</v>
      </c>
      <c r="I1709" t="s">
        <v>60</v>
      </c>
      <c r="J1709" t="s">
        <v>13</v>
      </c>
    </row>
    <row r="1710" spans="1:10" x14ac:dyDescent="0.25">
      <c r="A1710" t="s">
        <v>132</v>
      </c>
      <c r="B1710" t="s">
        <v>167</v>
      </c>
      <c r="C1710" s="12" t="s">
        <v>109</v>
      </c>
      <c r="D1710" t="s">
        <v>4</v>
      </c>
      <c r="E1710" t="s">
        <v>6</v>
      </c>
      <c r="F1710" t="s">
        <v>72</v>
      </c>
      <c r="G1710" t="s">
        <v>181</v>
      </c>
      <c r="H1710" s="94">
        <v>0.05</v>
      </c>
      <c r="I1710" t="s">
        <v>60</v>
      </c>
      <c r="J1710" t="s">
        <v>63</v>
      </c>
    </row>
    <row r="1711" spans="1:10" x14ac:dyDescent="0.25">
      <c r="A1711" t="s">
        <v>132</v>
      </c>
      <c r="B1711" t="s">
        <v>167</v>
      </c>
      <c r="C1711" s="12" t="s">
        <v>109</v>
      </c>
      <c r="D1711" t="s">
        <v>4</v>
      </c>
      <c r="E1711" t="s">
        <v>6</v>
      </c>
      <c r="F1711" t="s">
        <v>72</v>
      </c>
      <c r="G1711" t="s">
        <v>181</v>
      </c>
      <c r="H1711" s="94">
        <v>0.05</v>
      </c>
      <c r="I1711" t="s">
        <v>60</v>
      </c>
      <c r="J1711" t="s">
        <v>11</v>
      </c>
    </row>
    <row r="1712" spans="1:10" x14ac:dyDescent="0.25">
      <c r="A1712" t="s">
        <v>132</v>
      </c>
      <c r="B1712" t="s">
        <v>167</v>
      </c>
      <c r="C1712" s="12" t="s">
        <v>109</v>
      </c>
      <c r="D1712" t="s">
        <v>4</v>
      </c>
      <c r="E1712" t="s">
        <v>6</v>
      </c>
      <c r="F1712" t="s">
        <v>16</v>
      </c>
      <c r="G1712" t="s">
        <v>181</v>
      </c>
      <c r="H1712" s="94">
        <v>0.05</v>
      </c>
      <c r="I1712" t="s">
        <v>107</v>
      </c>
      <c r="J1712" t="s">
        <v>13</v>
      </c>
    </row>
    <row r="1713" spans="1:10" x14ac:dyDescent="0.25">
      <c r="A1713" t="s">
        <v>132</v>
      </c>
      <c r="B1713" t="s">
        <v>167</v>
      </c>
      <c r="C1713" s="12" t="s">
        <v>109</v>
      </c>
      <c r="D1713" t="s">
        <v>4</v>
      </c>
      <c r="E1713" t="s">
        <v>6</v>
      </c>
      <c r="F1713" t="s">
        <v>16</v>
      </c>
      <c r="G1713" t="s">
        <v>181</v>
      </c>
      <c r="H1713" s="94">
        <v>0.05</v>
      </c>
      <c r="I1713" t="s">
        <v>107</v>
      </c>
      <c r="J1713" t="s">
        <v>63</v>
      </c>
    </row>
    <row r="1714" spans="1:10" x14ac:dyDescent="0.25">
      <c r="A1714" t="s">
        <v>132</v>
      </c>
      <c r="B1714" t="s">
        <v>167</v>
      </c>
      <c r="C1714" s="12" t="s">
        <v>109</v>
      </c>
      <c r="D1714" t="s">
        <v>4</v>
      </c>
      <c r="E1714" t="s">
        <v>6</v>
      </c>
      <c r="F1714" t="s">
        <v>16</v>
      </c>
      <c r="G1714" t="s">
        <v>181</v>
      </c>
      <c r="H1714" s="94">
        <v>0.05</v>
      </c>
      <c r="I1714" t="s">
        <v>107</v>
      </c>
      <c r="J1714" t="s">
        <v>11</v>
      </c>
    </row>
    <row r="1715" spans="1:10" x14ac:dyDescent="0.25">
      <c r="A1715" t="s">
        <v>132</v>
      </c>
      <c r="B1715" t="s">
        <v>167</v>
      </c>
      <c r="C1715" s="12" t="s">
        <v>109</v>
      </c>
      <c r="D1715" t="s">
        <v>4</v>
      </c>
      <c r="E1715" t="s">
        <v>6</v>
      </c>
      <c r="F1715" t="s">
        <v>16</v>
      </c>
      <c r="G1715" t="s">
        <v>181</v>
      </c>
      <c r="H1715" s="94">
        <v>0.05</v>
      </c>
      <c r="I1715" t="s">
        <v>62</v>
      </c>
      <c r="J1715" t="s">
        <v>13</v>
      </c>
    </row>
    <row r="1716" spans="1:10" x14ac:dyDescent="0.25">
      <c r="A1716" t="s">
        <v>132</v>
      </c>
      <c r="B1716" t="s">
        <v>167</v>
      </c>
      <c r="C1716" s="12" t="s">
        <v>109</v>
      </c>
      <c r="D1716" t="s">
        <v>4</v>
      </c>
      <c r="E1716" t="s">
        <v>6</v>
      </c>
      <c r="F1716" t="s">
        <v>16</v>
      </c>
      <c r="G1716" t="s">
        <v>181</v>
      </c>
      <c r="H1716" s="94">
        <v>0.05</v>
      </c>
      <c r="I1716" t="s">
        <v>62</v>
      </c>
      <c r="J1716" t="s">
        <v>63</v>
      </c>
    </row>
    <row r="1717" spans="1:10" x14ac:dyDescent="0.25">
      <c r="A1717" t="s">
        <v>132</v>
      </c>
      <c r="B1717" t="s">
        <v>167</v>
      </c>
      <c r="C1717" s="12" t="s">
        <v>109</v>
      </c>
      <c r="D1717" t="s">
        <v>4</v>
      </c>
      <c r="E1717" t="s">
        <v>6</v>
      </c>
      <c r="F1717" t="s">
        <v>16</v>
      </c>
      <c r="G1717" t="s">
        <v>181</v>
      </c>
      <c r="H1717" s="94">
        <v>0.05</v>
      </c>
      <c r="I1717" t="s">
        <v>62</v>
      </c>
      <c r="J1717" t="s">
        <v>11</v>
      </c>
    </row>
    <row r="1718" spans="1:10" x14ac:dyDescent="0.25">
      <c r="A1718" t="s">
        <v>132</v>
      </c>
      <c r="B1718" t="s">
        <v>167</v>
      </c>
      <c r="C1718" s="12" t="s">
        <v>109</v>
      </c>
      <c r="D1718" t="s">
        <v>4</v>
      </c>
      <c r="E1718" t="s">
        <v>6</v>
      </c>
      <c r="F1718" t="s">
        <v>16</v>
      </c>
      <c r="G1718" t="s">
        <v>181</v>
      </c>
      <c r="H1718" s="94">
        <v>0.05</v>
      </c>
      <c r="I1718" t="s">
        <v>60</v>
      </c>
      <c r="J1718" t="s">
        <v>13</v>
      </c>
    </row>
    <row r="1719" spans="1:10" x14ac:dyDescent="0.25">
      <c r="A1719" t="s">
        <v>132</v>
      </c>
      <c r="B1719" t="s">
        <v>167</v>
      </c>
      <c r="C1719" s="12" t="s">
        <v>109</v>
      </c>
      <c r="D1719" t="s">
        <v>4</v>
      </c>
      <c r="E1719" t="s">
        <v>6</v>
      </c>
      <c r="F1719" t="s">
        <v>16</v>
      </c>
      <c r="G1719" t="s">
        <v>181</v>
      </c>
      <c r="H1719" s="94">
        <v>0.05</v>
      </c>
      <c r="I1719" t="s">
        <v>60</v>
      </c>
      <c r="J1719" t="s">
        <v>63</v>
      </c>
    </row>
    <row r="1720" spans="1:10" x14ac:dyDescent="0.25">
      <c r="A1720" t="s">
        <v>132</v>
      </c>
      <c r="B1720" t="s">
        <v>167</v>
      </c>
      <c r="C1720" s="12" t="s">
        <v>109</v>
      </c>
      <c r="D1720" t="s">
        <v>4</v>
      </c>
      <c r="E1720" t="s">
        <v>6</v>
      </c>
      <c r="F1720" t="s">
        <v>16</v>
      </c>
      <c r="G1720" t="s">
        <v>181</v>
      </c>
      <c r="H1720" s="94">
        <v>0.05</v>
      </c>
      <c r="I1720" t="s">
        <v>60</v>
      </c>
      <c r="J1720" t="s">
        <v>11</v>
      </c>
    </row>
    <row r="1721" spans="1:10" x14ac:dyDescent="0.25">
      <c r="A1721" t="s">
        <v>132</v>
      </c>
      <c r="B1721" t="s">
        <v>167</v>
      </c>
      <c r="C1721" s="12" t="s">
        <v>109</v>
      </c>
      <c r="D1721" t="s">
        <v>4</v>
      </c>
      <c r="E1721" t="s">
        <v>6</v>
      </c>
      <c r="F1721" t="s">
        <v>8</v>
      </c>
      <c r="G1721" t="s">
        <v>181</v>
      </c>
      <c r="H1721" s="94">
        <v>0.05</v>
      </c>
      <c r="I1721" t="s">
        <v>107</v>
      </c>
      <c r="J1721" t="s">
        <v>13</v>
      </c>
    </row>
    <row r="1722" spans="1:10" x14ac:dyDescent="0.25">
      <c r="A1722" t="s">
        <v>132</v>
      </c>
      <c r="B1722" t="s">
        <v>167</v>
      </c>
      <c r="C1722" s="12" t="s">
        <v>109</v>
      </c>
      <c r="D1722" t="s">
        <v>4</v>
      </c>
      <c r="E1722" t="s">
        <v>6</v>
      </c>
      <c r="F1722" t="s">
        <v>8</v>
      </c>
      <c r="G1722" t="s">
        <v>181</v>
      </c>
      <c r="H1722" s="94">
        <v>0.05</v>
      </c>
      <c r="I1722" t="s">
        <v>107</v>
      </c>
      <c r="J1722" t="s">
        <v>63</v>
      </c>
    </row>
    <row r="1723" spans="1:10" x14ac:dyDescent="0.25">
      <c r="A1723" t="s">
        <v>132</v>
      </c>
      <c r="B1723" t="s">
        <v>167</v>
      </c>
      <c r="C1723" s="12" t="s">
        <v>109</v>
      </c>
      <c r="D1723" t="s">
        <v>4</v>
      </c>
      <c r="E1723" t="s">
        <v>6</v>
      </c>
      <c r="F1723" t="s">
        <v>8</v>
      </c>
      <c r="G1723" t="s">
        <v>181</v>
      </c>
      <c r="H1723" s="94">
        <v>0.05</v>
      </c>
      <c r="I1723" t="s">
        <v>107</v>
      </c>
      <c r="J1723" t="s">
        <v>11</v>
      </c>
    </row>
    <row r="1724" spans="1:10" x14ac:dyDescent="0.25">
      <c r="A1724" t="s">
        <v>132</v>
      </c>
      <c r="B1724" t="s">
        <v>167</v>
      </c>
      <c r="C1724" s="12" t="s">
        <v>109</v>
      </c>
      <c r="D1724" t="s">
        <v>4</v>
      </c>
      <c r="E1724" t="s">
        <v>6</v>
      </c>
      <c r="F1724" t="s">
        <v>8</v>
      </c>
      <c r="G1724" t="s">
        <v>181</v>
      </c>
      <c r="H1724" s="94">
        <v>0.05</v>
      </c>
      <c r="I1724" t="s">
        <v>62</v>
      </c>
      <c r="J1724" t="s">
        <v>13</v>
      </c>
    </row>
    <row r="1725" spans="1:10" x14ac:dyDescent="0.25">
      <c r="A1725" t="s">
        <v>132</v>
      </c>
      <c r="B1725" t="s">
        <v>167</v>
      </c>
      <c r="C1725" s="12" t="s">
        <v>109</v>
      </c>
      <c r="D1725" t="s">
        <v>4</v>
      </c>
      <c r="E1725" t="s">
        <v>6</v>
      </c>
      <c r="F1725" t="s">
        <v>8</v>
      </c>
      <c r="G1725" t="s">
        <v>181</v>
      </c>
      <c r="H1725" s="94">
        <v>0.05</v>
      </c>
      <c r="I1725" t="s">
        <v>62</v>
      </c>
      <c r="J1725" t="s">
        <v>63</v>
      </c>
    </row>
    <row r="1726" spans="1:10" x14ac:dyDescent="0.25">
      <c r="A1726" t="s">
        <v>132</v>
      </c>
      <c r="B1726" t="s">
        <v>167</v>
      </c>
      <c r="C1726" s="12" t="s">
        <v>109</v>
      </c>
      <c r="D1726" t="s">
        <v>4</v>
      </c>
      <c r="E1726" t="s">
        <v>6</v>
      </c>
      <c r="F1726" t="s">
        <v>8</v>
      </c>
      <c r="G1726" t="s">
        <v>181</v>
      </c>
      <c r="H1726" s="94">
        <v>0.05</v>
      </c>
      <c r="I1726" t="s">
        <v>62</v>
      </c>
      <c r="J1726" t="s">
        <v>11</v>
      </c>
    </row>
    <row r="1727" spans="1:10" x14ac:dyDescent="0.25">
      <c r="A1727" t="s">
        <v>132</v>
      </c>
      <c r="B1727" t="s">
        <v>167</v>
      </c>
      <c r="C1727" s="12" t="s">
        <v>109</v>
      </c>
      <c r="D1727" t="s">
        <v>4</v>
      </c>
      <c r="E1727" t="s">
        <v>6</v>
      </c>
      <c r="F1727" t="s">
        <v>8</v>
      </c>
      <c r="G1727" t="s">
        <v>181</v>
      </c>
      <c r="H1727" s="94">
        <v>0.05</v>
      </c>
      <c r="I1727" t="s">
        <v>60</v>
      </c>
      <c r="J1727" t="s">
        <v>13</v>
      </c>
    </row>
    <row r="1728" spans="1:10" x14ac:dyDescent="0.25">
      <c r="A1728" t="s">
        <v>132</v>
      </c>
      <c r="B1728" t="s">
        <v>167</v>
      </c>
      <c r="C1728" s="12" t="s">
        <v>109</v>
      </c>
      <c r="D1728" t="s">
        <v>4</v>
      </c>
      <c r="E1728" t="s">
        <v>6</v>
      </c>
      <c r="F1728" t="s">
        <v>8</v>
      </c>
      <c r="G1728" t="s">
        <v>181</v>
      </c>
      <c r="H1728" s="94">
        <v>0.05</v>
      </c>
      <c r="I1728" t="s">
        <v>60</v>
      </c>
      <c r="J1728" t="s">
        <v>63</v>
      </c>
    </row>
    <row r="1729" spans="1:10" x14ac:dyDescent="0.25">
      <c r="A1729" t="s">
        <v>132</v>
      </c>
      <c r="B1729" t="s">
        <v>167</v>
      </c>
      <c r="C1729" s="12" t="s">
        <v>109</v>
      </c>
      <c r="D1729" t="s">
        <v>4</v>
      </c>
      <c r="E1729" t="s">
        <v>6</v>
      </c>
      <c r="F1729" t="s">
        <v>8</v>
      </c>
      <c r="G1729" t="s">
        <v>181</v>
      </c>
      <c r="H1729" s="94">
        <v>0.05</v>
      </c>
      <c r="I1729" t="s">
        <v>60</v>
      </c>
      <c r="J1729" t="s">
        <v>11</v>
      </c>
    </row>
    <row r="1730" spans="1:10" x14ac:dyDescent="0.25">
      <c r="A1730" t="s">
        <v>132</v>
      </c>
      <c r="B1730" t="s">
        <v>168</v>
      </c>
      <c r="C1730" s="12" t="s">
        <v>109</v>
      </c>
      <c r="D1730" t="s">
        <v>4</v>
      </c>
      <c r="E1730" t="s">
        <v>12</v>
      </c>
      <c r="F1730" t="s">
        <v>72</v>
      </c>
      <c r="G1730" t="s">
        <v>181</v>
      </c>
      <c r="H1730" s="94">
        <v>0.05</v>
      </c>
      <c r="I1730" t="s">
        <v>107</v>
      </c>
      <c r="J1730" t="s">
        <v>13</v>
      </c>
    </row>
    <row r="1731" spans="1:10" x14ac:dyDescent="0.25">
      <c r="A1731" t="s">
        <v>132</v>
      </c>
      <c r="B1731" t="s">
        <v>168</v>
      </c>
      <c r="C1731" s="12" t="s">
        <v>109</v>
      </c>
      <c r="D1731" t="s">
        <v>4</v>
      </c>
      <c r="E1731" t="s">
        <v>12</v>
      </c>
      <c r="F1731" t="s">
        <v>72</v>
      </c>
      <c r="G1731" t="s">
        <v>181</v>
      </c>
      <c r="H1731" s="94">
        <v>0.05</v>
      </c>
      <c r="I1731" t="s">
        <v>107</v>
      </c>
      <c r="J1731" t="s">
        <v>63</v>
      </c>
    </row>
    <row r="1732" spans="1:10" x14ac:dyDescent="0.25">
      <c r="A1732" t="s">
        <v>132</v>
      </c>
      <c r="B1732" t="s">
        <v>168</v>
      </c>
      <c r="C1732" s="12" t="s">
        <v>109</v>
      </c>
      <c r="D1732" t="s">
        <v>4</v>
      </c>
      <c r="E1732" t="s">
        <v>12</v>
      </c>
      <c r="F1732" t="s">
        <v>72</v>
      </c>
      <c r="G1732" t="s">
        <v>181</v>
      </c>
      <c r="H1732" s="94">
        <v>0.05</v>
      </c>
      <c r="I1732" t="s">
        <v>107</v>
      </c>
      <c r="J1732" t="s">
        <v>11</v>
      </c>
    </row>
    <row r="1733" spans="1:10" x14ac:dyDescent="0.25">
      <c r="A1733" t="s">
        <v>132</v>
      </c>
      <c r="B1733" t="s">
        <v>168</v>
      </c>
      <c r="C1733" s="12" t="s">
        <v>109</v>
      </c>
      <c r="D1733" t="s">
        <v>4</v>
      </c>
      <c r="E1733" t="s">
        <v>12</v>
      </c>
      <c r="F1733" t="s">
        <v>72</v>
      </c>
      <c r="G1733" t="s">
        <v>181</v>
      </c>
      <c r="H1733" s="94">
        <v>0.05</v>
      </c>
      <c r="I1733" t="s">
        <v>62</v>
      </c>
      <c r="J1733" t="s">
        <v>13</v>
      </c>
    </row>
    <row r="1734" spans="1:10" x14ac:dyDescent="0.25">
      <c r="A1734" t="s">
        <v>132</v>
      </c>
      <c r="B1734" t="s">
        <v>168</v>
      </c>
      <c r="C1734" s="12" t="s">
        <v>109</v>
      </c>
      <c r="D1734" t="s">
        <v>4</v>
      </c>
      <c r="E1734" t="s">
        <v>12</v>
      </c>
      <c r="F1734" t="s">
        <v>72</v>
      </c>
      <c r="G1734" t="s">
        <v>181</v>
      </c>
      <c r="H1734" s="94">
        <v>0.05</v>
      </c>
      <c r="I1734" t="s">
        <v>62</v>
      </c>
      <c r="J1734" t="s">
        <v>63</v>
      </c>
    </row>
    <row r="1735" spans="1:10" x14ac:dyDescent="0.25">
      <c r="A1735" t="s">
        <v>132</v>
      </c>
      <c r="B1735" t="s">
        <v>168</v>
      </c>
      <c r="C1735" s="12" t="s">
        <v>109</v>
      </c>
      <c r="D1735" t="s">
        <v>4</v>
      </c>
      <c r="E1735" t="s">
        <v>12</v>
      </c>
      <c r="F1735" t="s">
        <v>72</v>
      </c>
      <c r="G1735" t="s">
        <v>181</v>
      </c>
      <c r="H1735" s="94">
        <v>0.05</v>
      </c>
      <c r="I1735" t="s">
        <v>62</v>
      </c>
      <c r="J1735" t="s">
        <v>11</v>
      </c>
    </row>
    <row r="1736" spans="1:10" x14ac:dyDescent="0.25">
      <c r="A1736" t="s">
        <v>132</v>
      </c>
      <c r="B1736" t="s">
        <v>168</v>
      </c>
      <c r="C1736" s="12" t="s">
        <v>109</v>
      </c>
      <c r="D1736" t="s">
        <v>4</v>
      </c>
      <c r="E1736" t="s">
        <v>12</v>
      </c>
      <c r="F1736" t="s">
        <v>72</v>
      </c>
      <c r="G1736" t="s">
        <v>181</v>
      </c>
      <c r="H1736" s="94">
        <v>0.05</v>
      </c>
      <c r="I1736" t="s">
        <v>60</v>
      </c>
      <c r="J1736" t="s">
        <v>13</v>
      </c>
    </row>
    <row r="1737" spans="1:10" x14ac:dyDescent="0.25">
      <c r="A1737" t="s">
        <v>132</v>
      </c>
      <c r="B1737" t="s">
        <v>168</v>
      </c>
      <c r="C1737" s="12" t="s">
        <v>109</v>
      </c>
      <c r="D1737" t="s">
        <v>4</v>
      </c>
      <c r="E1737" t="s">
        <v>12</v>
      </c>
      <c r="F1737" t="s">
        <v>72</v>
      </c>
      <c r="G1737" t="s">
        <v>181</v>
      </c>
      <c r="H1737" s="94">
        <v>0.05</v>
      </c>
      <c r="I1737" t="s">
        <v>60</v>
      </c>
      <c r="J1737" t="s">
        <v>63</v>
      </c>
    </row>
    <row r="1738" spans="1:10" x14ac:dyDescent="0.25">
      <c r="A1738" t="s">
        <v>132</v>
      </c>
      <c r="B1738" t="s">
        <v>168</v>
      </c>
      <c r="C1738" s="12" t="s">
        <v>109</v>
      </c>
      <c r="D1738" t="s">
        <v>4</v>
      </c>
      <c r="E1738" t="s">
        <v>12</v>
      </c>
      <c r="F1738" t="s">
        <v>72</v>
      </c>
      <c r="G1738" t="s">
        <v>181</v>
      </c>
      <c r="H1738" s="94">
        <v>0.05</v>
      </c>
      <c r="I1738" t="s">
        <v>60</v>
      </c>
      <c r="J1738" t="s">
        <v>11</v>
      </c>
    </row>
    <row r="1739" spans="1:10" x14ac:dyDescent="0.25">
      <c r="A1739" t="s">
        <v>132</v>
      </c>
      <c r="B1739" t="s">
        <v>168</v>
      </c>
      <c r="C1739" s="12" t="s">
        <v>109</v>
      </c>
      <c r="D1739" t="s">
        <v>4</v>
      </c>
      <c r="E1739" t="s">
        <v>12</v>
      </c>
      <c r="F1739" t="s">
        <v>16</v>
      </c>
      <c r="G1739" t="s">
        <v>181</v>
      </c>
      <c r="H1739" s="94">
        <v>0.05</v>
      </c>
      <c r="I1739" t="s">
        <v>107</v>
      </c>
      <c r="J1739" t="s">
        <v>13</v>
      </c>
    </row>
    <row r="1740" spans="1:10" x14ac:dyDescent="0.25">
      <c r="A1740" t="s">
        <v>132</v>
      </c>
      <c r="B1740" t="s">
        <v>168</v>
      </c>
      <c r="C1740" s="12" t="s">
        <v>109</v>
      </c>
      <c r="D1740" t="s">
        <v>4</v>
      </c>
      <c r="E1740" t="s">
        <v>12</v>
      </c>
      <c r="F1740" t="s">
        <v>16</v>
      </c>
      <c r="G1740" t="s">
        <v>181</v>
      </c>
      <c r="H1740" s="94">
        <v>0.05</v>
      </c>
      <c r="I1740" t="s">
        <v>107</v>
      </c>
      <c r="J1740" t="s">
        <v>63</v>
      </c>
    </row>
    <row r="1741" spans="1:10" x14ac:dyDescent="0.25">
      <c r="A1741" t="s">
        <v>132</v>
      </c>
      <c r="B1741" t="s">
        <v>168</v>
      </c>
      <c r="C1741" s="12" t="s">
        <v>109</v>
      </c>
      <c r="D1741" t="s">
        <v>4</v>
      </c>
      <c r="E1741" t="s">
        <v>12</v>
      </c>
      <c r="F1741" t="s">
        <v>16</v>
      </c>
      <c r="G1741" t="s">
        <v>181</v>
      </c>
      <c r="H1741" s="94">
        <v>0.05</v>
      </c>
      <c r="I1741" t="s">
        <v>107</v>
      </c>
      <c r="J1741" t="s">
        <v>11</v>
      </c>
    </row>
    <row r="1742" spans="1:10" x14ac:dyDescent="0.25">
      <c r="A1742" t="s">
        <v>132</v>
      </c>
      <c r="B1742" t="s">
        <v>168</v>
      </c>
      <c r="C1742" s="12" t="s">
        <v>109</v>
      </c>
      <c r="D1742" t="s">
        <v>4</v>
      </c>
      <c r="E1742" t="s">
        <v>12</v>
      </c>
      <c r="F1742" t="s">
        <v>16</v>
      </c>
      <c r="G1742" t="s">
        <v>181</v>
      </c>
      <c r="H1742" s="94">
        <v>0.05</v>
      </c>
      <c r="I1742" t="s">
        <v>62</v>
      </c>
      <c r="J1742" t="s">
        <v>13</v>
      </c>
    </row>
    <row r="1743" spans="1:10" x14ac:dyDescent="0.25">
      <c r="A1743" t="s">
        <v>132</v>
      </c>
      <c r="B1743" t="s">
        <v>168</v>
      </c>
      <c r="C1743" s="12" t="s">
        <v>109</v>
      </c>
      <c r="D1743" t="s">
        <v>4</v>
      </c>
      <c r="E1743" t="s">
        <v>12</v>
      </c>
      <c r="F1743" t="s">
        <v>16</v>
      </c>
      <c r="G1743" t="s">
        <v>181</v>
      </c>
      <c r="H1743" s="94">
        <v>0.05</v>
      </c>
      <c r="I1743" t="s">
        <v>62</v>
      </c>
      <c r="J1743" t="s">
        <v>63</v>
      </c>
    </row>
    <row r="1744" spans="1:10" x14ac:dyDescent="0.25">
      <c r="A1744" t="s">
        <v>132</v>
      </c>
      <c r="B1744" t="s">
        <v>168</v>
      </c>
      <c r="C1744" s="12" t="s">
        <v>109</v>
      </c>
      <c r="D1744" t="s">
        <v>4</v>
      </c>
      <c r="E1744" t="s">
        <v>12</v>
      </c>
      <c r="F1744" t="s">
        <v>16</v>
      </c>
      <c r="G1744" t="s">
        <v>181</v>
      </c>
      <c r="H1744" s="94">
        <v>0.05</v>
      </c>
      <c r="I1744" t="s">
        <v>62</v>
      </c>
      <c r="J1744" t="s">
        <v>11</v>
      </c>
    </row>
    <row r="1745" spans="1:10" x14ac:dyDescent="0.25">
      <c r="A1745" t="s">
        <v>132</v>
      </c>
      <c r="B1745" t="s">
        <v>168</v>
      </c>
      <c r="C1745" s="12" t="s">
        <v>109</v>
      </c>
      <c r="D1745" t="s">
        <v>4</v>
      </c>
      <c r="E1745" t="s">
        <v>12</v>
      </c>
      <c r="F1745" t="s">
        <v>16</v>
      </c>
      <c r="G1745" t="s">
        <v>181</v>
      </c>
      <c r="H1745" s="94">
        <v>0.05</v>
      </c>
      <c r="I1745" t="s">
        <v>60</v>
      </c>
      <c r="J1745" t="s">
        <v>13</v>
      </c>
    </row>
    <row r="1746" spans="1:10" x14ac:dyDescent="0.25">
      <c r="A1746" t="s">
        <v>132</v>
      </c>
      <c r="B1746" t="s">
        <v>168</v>
      </c>
      <c r="C1746" s="12" t="s">
        <v>109</v>
      </c>
      <c r="D1746" t="s">
        <v>4</v>
      </c>
      <c r="E1746" t="s">
        <v>12</v>
      </c>
      <c r="F1746" t="s">
        <v>16</v>
      </c>
      <c r="G1746" t="s">
        <v>181</v>
      </c>
      <c r="H1746" s="94">
        <v>0.05</v>
      </c>
      <c r="I1746" t="s">
        <v>60</v>
      </c>
      <c r="J1746" t="s">
        <v>63</v>
      </c>
    </row>
    <row r="1747" spans="1:10" x14ac:dyDescent="0.25">
      <c r="A1747" t="s">
        <v>132</v>
      </c>
      <c r="B1747" t="s">
        <v>168</v>
      </c>
      <c r="C1747" s="12" t="s">
        <v>109</v>
      </c>
      <c r="D1747" t="s">
        <v>4</v>
      </c>
      <c r="E1747" t="s">
        <v>12</v>
      </c>
      <c r="F1747" t="s">
        <v>16</v>
      </c>
      <c r="G1747" t="s">
        <v>181</v>
      </c>
      <c r="H1747" s="94">
        <v>0.05</v>
      </c>
      <c r="I1747" t="s">
        <v>60</v>
      </c>
      <c r="J1747" t="s">
        <v>11</v>
      </c>
    </row>
    <row r="1748" spans="1:10" x14ac:dyDescent="0.25">
      <c r="A1748" t="s">
        <v>132</v>
      </c>
      <c r="B1748" t="s">
        <v>168</v>
      </c>
      <c r="C1748" s="12" t="s">
        <v>109</v>
      </c>
      <c r="D1748" t="s">
        <v>4</v>
      </c>
      <c r="E1748" t="s">
        <v>12</v>
      </c>
      <c r="F1748" t="s">
        <v>16</v>
      </c>
      <c r="G1748" t="s">
        <v>181</v>
      </c>
      <c r="H1748" s="94">
        <v>0.02</v>
      </c>
      <c r="I1748" t="s">
        <v>107</v>
      </c>
      <c r="J1748" t="s">
        <v>13</v>
      </c>
    </row>
    <row r="1749" spans="1:10" x14ac:dyDescent="0.25">
      <c r="A1749" t="s">
        <v>132</v>
      </c>
      <c r="B1749" t="s">
        <v>168</v>
      </c>
      <c r="C1749" s="12" t="s">
        <v>109</v>
      </c>
      <c r="D1749" t="s">
        <v>4</v>
      </c>
      <c r="E1749" t="s">
        <v>12</v>
      </c>
      <c r="F1749" t="s">
        <v>16</v>
      </c>
      <c r="G1749" t="s">
        <v>181</v>
      </c>
      <c r="H1749" s="94">
        <v>0.02</v>
      </c>
      <c r="I1749" t="s">
        <v>107</v>
      </c>
      <c r="J1749" t="s">
        <v>63</v>
      </c>
    </row>
    <row r="1750" spans="1:10" x14ac:dyDescent="0.25">
      <c r="A1750" t="s">
        <v>132</v>
      </c>
      <c r="B1750" t="s">
        <v>168</v>
      </c>
      <c r="C1750" s="12" t="s">
        <v>109</v>
      </c>
      <c r="D1750" t="s">
        <v>4</v>
      </c>
      <c r="E1750" t="s">
        <v>12</v>
      </c>
      <c r="F1750" t="s">
        <v>16</v>
      </c>
      <c r="G1750" t="s">
        <v>181</v>
      </c>
      <c r="H1750" s="94">
        <v>0.02</v>
      </c>
      <c r="I1750" t="s">
        <v>107</v>
      </c>
      <c r="J1750" t="s">
        <v>11</v>
      </c>
    </row>
    <row r="1751" spans="1:10" x14ac:dyDescent="0.25">
      <c r="A1751" t="s">
        <v>132</v>
      </c>
      <c r="B1751" t="s">
        <v>168</v>
      </c>
      <c r="C1751" s="12" t="s">
        <v>109</v>
      </c>
      <c r="D1751" t="s">
        <v>4</v>
      </c>
      <c r="E1751" t="s">
        <v>12</v>
      </c>
      <c r="F1751" t="s">
        <v>16</v>
      </c>
      <c r="G1751" t="s">
        <v>181</v>
      </c>
      <c r="H1751" s="94">
        <v>0.02</v>
      </c>
      <c r="I1751" t="s">
        <v>62</v>
      </c>
      <c r="J1751" t="s">
        <v>13</v>
      </c>
    </row>
    <row r="1752" spans="1:10" x14ac:dyDescent="0.25">
      <c r="A1752" t="s">
        <v>132</v>
      </c>
      <c r="B1752" t="s">
        <v>168</v>
      </c>
      <c r="C1752" s="12" t="s">
        <v>109</v>
      </c>
      <c r="D1752" t="s">
        <v>4</v>
      </c>
      <c r="E1752" t="s">
        <v>12</v>
      </c>
      <c r="F1752" t="s">
        <v>16</v>
      </c>
      <c r="G1752" t="s">
        <v>181</v>
      </c>
      <c r="H1752" s="94">
        <v>0.02</v>
      </c>
      <c r="I1752" t="s">
        <v>62</v>
      </c>
      <c r="J1752" t="s">
        <v>63</v>
      </c>
    </row>
    <row r="1753" spans="1:10" x14ac:dyDescent="0.25">
      <c r="A1753" t="s">
        <v>132</v>
      </c>
      <c r="B1753" t="s">
        <v>168</v>
      </c>
      <c r="C1753" s="12" t="s">
        <v>109</v>
      </c>
      <c r="D1753" t="s">
        <v>4</v>
      </c>
      <c r="E1753" t="s">
        <v>12</v>
      </c>
      <c r="F1753" t="s">
        <v>16</v>
      </c>
      <c r="G1753" t="s">
        <v>181</v>
      </c>
      <c r="H1753" s="94">
        <v>0.02</v>
      </c>
      <c r="I1753" t="s">
        <v>62</v>
      </c>
      <c r="J1753" t="s">
        <v>11</v>
      </c>
    </row>
    <row r="1754" spans="1:10" x14ac:dyDescent="0.25">
      <c r="A1754" t="s">
        <v>132</v>
      </c>
      <c r="B1754" t="s">
        <v>168</v>
      </c>
      <c r="C1754" s="12" t="s">
        <v>109</v>
      </c>
      <c r="D1754" t="s">
        <v>4</v>
      </c>
      <c r="E1754" t="s">
        <v>12</v>
      </c>
      <c r="F1754" t="s">
        <v>16</v>
      </c>
      <c r="G1754" t="s">
        <v>181</v>
      </c>
      <c r="H1754" s="94">
        <v>0.02</v>
      </c>
      <c r="I1754" t="s">
        <v>60</v>
      </c>
      <c r="J1754" t="s">
        <v>13</v>
      </c>
    </row>
    <row r="1755" spans="1:10" x14ac:dyDescent="0.25">
      <c r="A1755" t="s">
        <v>132</v>
      </c>
      <c r="B1755" t="s">
        <v>168</v>
      </c>
      <c r="C1755" s="12" t="s">
        <v>109</v>
      </c>
      <c r="D1755" t="s">
        <v>4</v>
      </c>
      <c r="E1755" t="s">
        <v>12</v>
      </c>
      <c r="F1755" t="s">
        <v>16</v>
      </c>
      <c r="G1755" t="s">
        <v>181</v>
      </c>
      <c r="H1755" s="94">
        <v>0.02</v>
      </c>
      <c r="I1755" t="s">
        <v>60</v>
      </c>
      <c r="J1755" t="s">
        <v>63</v>
      </c>
    </row>
    <row r="1756" spans="1:10" x14ac:dyDescent="0.25">
      <c r="A1756" t="s">
        <v>132</v>
      </c>
      <c r="B1756" t="s">
        <v>168</v>
      </c>
      <c r="C1756" s="12" t="s">
        <v>109</v>
      </c>
      <c r="D1756" t="s">
        <v>4</v>
      </c>
      <c r="E1756" t="s">
        <v>12</v>
      </c>
      <c r="F1756" t="s">
        <v>16</v>
      </c>
      <c r="G1756" t="s">
        <v>181</v>
      </c>
      <c r="H1756" s="94">
        <v>0.02</v>
      </c>
      <c r="I1756" t="s">
        <v>60</v>
      </c>
      <c r="J1756" t="s">
        <v>11</v>
      </c>
    </row>
    <row r="1757" spans="1:10" x14ac:dyDescent="0.25">
      <c r="A1757" t="s">
        <v>132</v>
      </c>
      <c r="B1757" t="s">
        <v>168</v>
      </c>
      <c r="C1757" s="12" t="s">
        <v>109</v>
      </c>
      <c r="D1757" t="s">
        <v>4</v>
      </c>
      <c r="E1757" t="s">
        <v>12</v>
      </c>
      <c r="F1757" t="s">
        <v>8</v>
      </c>
      <c r="G1757" t="s">
        <v>181</v>
      </c>
      <c r="H1757" s="94">
        <v>0.05</v>
      </c>
      <c r="I1757" t="s">
        <v>107</v>
      </c>
      <c r="J1757" t="s">
        <v>13</v>
      </c>
    </row>
    <row r="1758" spans="1:10" x14ac:dyDescent="0.25">
      <c r="A1758" t="s">
        <v>132</v>
      </c>
      <c r="B1758" t="s">
        <v>168</v>
      </c>
      <c r="C1758" s="12" t="s">
        <v>109</v>
      </c>
      <c r="D1758" t="s">
        <v>4</v>
      </c>
      <c r="E1758" t="s">
        <v>12</v>
      </c>
      <c r="F1758" t="s">
        <v>8</v>
      </c>
      <c r="G1758" t="s">
        <v>181</v>
      </c>
      <c r="H1758" s="94">
        <v>0.05</v>
      </c>
      <c r="I1758" t="s">
        <v>107</v>
      </c>
      <c r="J1758" t="s">
        <v>63</v>
      </c>
    </row>
    <row r="1759" spans="1:10" x14ac:dyDescent="0.25">
      <c r="A1759" t="s">
        <v>132</v>
      </c>
      <c r="B1759" t="s">
        <v>168</v>
      </c>
      <c r="C1759" s="12" t="s">
        <v>109</v>
      </c>
      <c r="D1759" t="s">
        <v>4</v>
      </c>
      <c r="E1759" t="s">
        <v>12</v>
      </c>
      <c r="F1759" t="s">
        <v>8</v>
      </c>
      <c r="G1759" t="s">
        <v>181</v>
      </c>
      <c r="H1759" s="94">
        <v>0.05</v>
      </c>
      <c r="I1759" t="s">
        <v>107</v>
      </c>
      <c r="J1759" t="s">
        <v>11</v>
      </c>
    </row>
    <row r="1760" spans="1:10" x14ac:dyDescent="0.25">
      <c r="A1760" t="s">
        <v>132</v>
      </c>
      <c r="B1760" t="s">
        <v>168</v>
      </c>
      <c r="C1760" s="12" t="s">
        <v>109</v>
      </c>
      <c r="D1760" t="s">
        <v>4</v>
      </c>
      <c r="E1760" t="s">
        <v>12</v>
      </c>
      <c r="F1760" t="s">
        <v>8</v>
      </c>
      <c r="G1760" t="s">
        <v>181</v>
      </c>
      <c r="H1760" s="94">
        <v>0.05</v>
      </c>
      <c r="I1760" t="s">
        <v>62</v>
      </c>
      <c r="J1760" t="s">
        <v>13</v>
      </c>
    </row>
    <row r="1761" spans="1:10" x14ac:dyDescent="0.25">
      <c r="A1761" t="s">
        <v>132</v>
      </c>
      <c r="B1761" t="s">
        <v>168</v>
      </c>
      <c r="C1761" s="12" t="s">
        <v>109</v>
      </c>
      <c r="D1761" t="s">
        <v>4</v>
      </c>
      <c r="E1761" t="s">
        <v>12</v>
      </c>
      <c r="F1761" t="s">
        <v>8</v>
      </c>
      <c r="G1761" t="s">
        <v>181</v>
      </c>
      <c r="H1761" s="94">
        <v>0.05</v>
      </c>
      <c r="I1761" t="s">
        <v>62</v>
      </c>
      <c r="J1761" t="s">
        <v>63</v>
      </c>
    </row>
    <row r="1762" spans="1:10" x14ac:dyDescent="0.25">
      <c r="A1762" t="s">
        <v>132</v>
      </c>
      <c r="B1762" t="s">
        <v>168</v>
      </c>
      <c r="C1762" s="12" t="s">
        <v>109</v>
      </c>
      <c r="D1762" t="s">
        <v>4</v>
      </c>
      <c r="E1762" t="s">
        <v>12</v>
      </c>
      <c r="F1762" t="s">
        <v>8</v>
      </c>
      <c r="G1762" t="s">
        <v>181</v>
      </c>
      <c r="H1762" s="94">
        <v>0.05</v>
      </c>
      <c r="I1762" t="s">
        <v>62</v>
      </c>
      <c r="J1762" t="s">
        <v>11</v>
      </c>
    </row>
    <row r="1763" spans="1:10" x14ac:dyDescent="0.25">
      <c r="A1763" t="s">
        <v>132</v>
      </c>
      <c r="B1763" t="s">
        <v>168</v>
      </c>
      <c r="C1763" s="12" t="s">
        <v>109</v>
      </c>
      <c r="D1763" t="s">
        <v>4</v>
      </c>
      <c r="E1763" t="s">
        <v>12</v>
      </c>
      <c r="F1763" t="s">
        <v>8</v>
      </c>
      <c r="G1763" t="s">
        <v>181</v>
      </c>
      <c r="H1763" s="94">
        <v>0.05</v>
      </c>
      <c r="I1763" t="s">
        <v>60</v>
      </c>
      <c r="J1763" t="s">
        <v>13</v>
      </c>
    </row>
    <row r="1764" spans="1:10" x14ac:dyDescent="0.25">
      <c r="A1764" t="s">
        <v>132</v>
      </c>
      <c r="B1764" t="s">
        <v>168</v>
      </c>
      <c r="C1764" s="12" t="s">
        <v>109</v>
      </c>
      <c r="D1764" t="s">
        <v>4</v>
      </c>
      <c r="E1764" t="s">
        <v>12</v>
      </c>
      <c r="F1764" t="s">
        <v>8</v>
      </c>
      <c r="G1764" t="s">
        <v>181</v>
      </c>
      <c r="H1764" s="94">
        <v>0.05</v>
      </c>
      <c r="I1764" t="s">
        <v>60</v>
      </c>
      <c r="J1764" t="s">
        <v>63</v>
      </c>
    </row>
    <row r="1765" spans="1:10" x14ac:dyDescent="0.25">
      <c r="A1765" t="s">
        <v>132</v>
      </c>
      <c r="B1765" t="s">
        <v>168</v>
      </c>
      <c r="C1765" s="12" t="s">
        <v>109</v>
      </c>
      <c r="D1765" t="s">
        <v>4</v>
      </c>
      <c r="E1765" t="s">
        <v>12</v>
      </c>
      <c r="F1765" t="s">
        <v>8</v>
      </c>
      <c r="G1765" t="s">
        <v>181</v>
      </c>
      <c r="H1765" s="94">
        <v>0.05</v>
      </c>
      <c r="I1765" t="s">
        <v>60</v>
      </c>
      <c r="J1765" t="s">
        <v>11</v>
      </c>
    </row>
    <row r="1766" spans="1:10" x14ac:dyDescent="0.25">
      <c r="A1766" t="s">
        <v>132</v>
      </c>
      <c r="B1766" t="s">
        <v>168</v>
      </c>
      <c r="C1766" s="12" t="s">
        <v>109</v>
      </c>
      <c r="D1766" t="s">
        <v>4</v>
      </c>
      <c r="E1766" t="s">
        <v>6</v>
      </c>
      <c r="F1766" t="s">
        <v>72</v>
      </c>
      <c r="G1766" t="s">
        <v>181</v>
      </c>
      <c r="H1766" s="94">
        <v>0.05</v>
      </c>
      <c r="I1766" t="s">
        <v>107</v>
      </c>
      <c r="J1766" t="s">
        <v>13</v>
      </c>
    </row>
    <row r="1767" spans="1:10" x14ac:dyDescent="0.25">
      <c r="A1767" t="s">
        <v>132</v>
      </c>
      <c r="B1767" t="s">
        <v>168</v>
      </c>
      <c r="C1767" s="12" t="s">
        <v>109</v>
      </c>
      <c r="D1767" t="s">
        <v>4</v>
      </c>
      <c r="E1767" t="s">
        <v>6</v>
      </c>
      <c r="F1767" t="s">
        <v>72</v>
      </c>
      <c r="G1767" t="s">
        <v>181</v>
      </c>
      <c r="H1767" s="94">
        <v>0.05</v>
      </c>
      <c r="I1767" t="s">
        <v>107</v>
      </c>
      <c r="J1767" t="s">
        <v>63</v>
      </c>
    </row>
    <row r="1768" spans="1:10" x14ac:dyDescent="0.25">
      <c r="A1768" t="s">
        <v>132</v>
      </c>
      <c r="B1768" t="s">
        <v>168</v>
      </c>
      <c r="C1768" s="12" t="s">
        <v>109</v>
      </c>
      <c r="D1768" t="s">
        <v>4</v>
      </c>
      <c r="E1768" t="s">
        <v>6</v>
      </c>
      <c r="F1768" t="s">
        <v>72</v>
      </c>
      <c r="G1768" t="s">
        <v>181</v>
      </c>
      <c r="H1768" s="94">
        <v>0.05</v>
      </c>
      <c r="I1768" t="s">
        <v>107</v>
      </c>
      <c r="J1768" t="s">
        <v>11</v>
      </c>
    </row>
    <row r="1769" spans="1:10" x14ac:dyDescent="0.25">
      <c r="A1769" t="s">
        <v>132</v>
      </c>
      <c r="B1769" t="s">
        <v>168</v>
      </c>
      <c r="C1769" s="12" t="s">
        <v>109</v>
      </c>
      <c r="D1769" t="s">
        <v>4</v>
      </c>
      <c r="E1769" t="s">
        <v>6</v>
      </c>
      <c r="F1769" t="s">
        <v>72</v>
      </c>
      <c r="G1769" t="s">
        <v>181</v>
      </c>
      <c r="H1769" s="94">
        <v>0.05</v>
      </c>
      <c r="I1769" t="s">
        <v>62</v>
      </c>
      <c r="J1769" t="s">
        <v>13</v>
      </c>
    </row>
    <row r="1770" spans="1:10" x14ac:dyDescent="0.25">
      <c r="A1770" t="s">
        <v>132</v>
      </c>
      <c r="B1770" t="s">
        <v>168</v>
      </c>
      <c r="C1770" s="12" t="s">
        <v>109</v>
      </c>
      <c r="D1770" t="s">
        <v>4</v>
      </c>
      <c r="E1770" t="s">
        <v>6</v>
      </c>
      <c r="F1770" t="s">
        <v>72</v>
      </c>
      <c r="G1770" t="s">
        <v>181</v>
      </c>
      <c r="H1770" s="94">
        <v>0.05</v>
      </c>
      <c r="I1770" t="s">
        <v>62</v>
      </c>
      <c r="J1770" t="s">
        <v>63</v>
      </c>
    </row>
    <row r="1771" spans="1:10" x14ac:dyDescent="0.25">
      <c r="A1771" t="s">
        <v>132</v>
      </c>
      <c r="B1771" t="s">
        <v>168</v>
      </c>
      <c r="C1771" s="12" t="s">
        <v>109</v>
      </c>
      <c r="D1771" t="s">
        <v>4</v>
      </c>
      <c r="E1771" t="s">
        <v>6</v>
      </c>
      <c r="F1771" t="s">
        <v>72</v>
      </c>
      <c r="G1771" t="s">
        <v>181</v>
      </c>
      <c r="H1771" s="94">
        <v>0.05</v>
      </c>
      <c r="I1771" t="s">
        <v>62</v>
      </c>
      <c r="J1771" t="s">
        <v>11</v>
      </c>
    </row>
    <row r="1772" spans="1:10" x14ac:dyDescent="0.25">
      <c r="A1772" t="s">
        <v>132</v>
      </c>
      <c r="B1772" t="s">
        <v>168</v>
      </c>
      <c r="C1772" s="12" t="s">
        <v>109</v>
      </c>
      <c r="D1772" t="s">
        <v>4</v>
      </c>
      <c r="E1772" t="s">
        <v>6</v>
      </c>
      <c r="F1772" t="s">
        <v>72</v>
      </c>
      <c r="G1772" t="s">
        <v>181</v>
      </c>
      <c r="H1772" s="94">
        <v>0.05</v>
      </c>
      <c r="I1772" t="s">
        <v>60</v>
      </c>
      <c r="J1772" t="s">
        <v>13</v>
      </c>
    </row>
    <row r="1773" spans="1:10" x14ac:dyDescent="0.25">
      <c r="A1773" t="s">
        <v>132</v>
      </c>
      <c r="B1773" t="s">
        <v>168</v>
      </c>
      <c r="C1773" s="12" t="s">
        <v>109</v>
      </c>
      <c r="D1773" t="s">
        <v>4</v>
      </c>
      <c r="E1773" t="s">
        <v>6</v>
      </c>
      <c r="F1773" t="s">
        <v>72</v>
      </c>
      <c r="G1773" t="s">
        <v>181</v>
      </c>
      <c r="H1773" s="94">
        <v>0.05</v>
      </c>
      <c r="I1773" t="s">
        <v>60</v>
      </c>
      <c r="J1773" t="s">
        <v>63</v>
      </c>
    </row>
    <row r="1774" spans="1:10" x14ac:dyDescent="0.25">
      <c r="A1774" t="s">
        <v>132</v>
      </c>
      <c r="B1774" t="s">
        <v>168</v>
      </c>
      <c r="C1774" s="12" t="s">
        <v>109</v>
      </c>
      <c r="D1774" t="s">
        <v>4</v>
      </c>
      <c r="E1774" t="s">
        <v>6</v>
      </c>
      <c r="F1774" t="s">
        <v>72</v>
      </c>
      <c r="G1774" t="s">
        <v>181</v>
      </c>
      <c r="H1774" s="94">
        <v>0.05</v>
      </c>
      <c r="I1774" t="s">
        <v>60</v>
      </c>
      <c r="J1774" t="s">
        <v>11</v>
      </c>
    </row>
    <row r="1775" spans="1:10" x14ac:dyDescent="0.25">
      <c r="A1775" t="s">
        <v>132</v>
      </c>
      <c r="B1775" t="s">
        <v>168</v>
      </c>
      <c r="C1775" s="12" t="s">
        <v>109</v>
      </c>
      <c r="D1775" t="s">
        <v>4</v>
      </c>
      <c r="E1775" t="s">
        <v>6</v>
      </c>
      <c r="F1775" t="s">
        <v>16</v>
      </c>
      <c r="G1775" t="s">
        <v>181</v>
      </c>
      <c r="H1775" s="94">
        <v>0.05</v>
      </c>
      <c r="I1775" t="s">
        <v>107</v>
      </c>
      <c r="J1775" t="s">
        <v>13</v>
      </c>
    </row>
    <row r="1776" spans="1:10" x14ac:dyDescent="0.25">
      <c r="A1776" t="s">
        <v>132</v>
      </c>
      <c r="B1776" t="s">
        <v>168</v>
      </c>
      <c r="C1776" s="12" t="s">
        <v>109</v>
      </c>
      <c r="D1776" t="s">
        <v>4</v>
      </c>
      <c r="E1776" t="s">
        <v>6</v>
      </c>
      <c r="F1776" t="s">
        <v>16</v>
      </c>
      <c r="G1776" t="s">
        <v>181</v>
      </c>
      <c r="H1776" s="94">
        <v>0.05</v>
      </c>
      <c r="I1776" t="s">
        <v>107</v>
      </c>
      <c r="J1776" t="s">
        <v>63</v>
      </c>
    </row>
    <row r="1777" spans="1:10" x14ac:dyDescent="0.25">
      <c r="A1777" t="s">
        <v>132</v>
      </c>
      <c r="B1777" t="s">
        <v>168</v>
      </c>
      <c r="C1777" s="12" t="s">
        <v>109</v>
      </c>
      <c r="D1777" t="s">
        <v>4</v>
      </c>
      <c r="E1777" t="s">
        <v>6</v>
      </c>
      <c r="F1777" t="s">
        <v>16</v>
      </c>
      <c r="G1777" t="s">
        <v>181</v>
      </c>
      <c r="H1777" s="94">
        <v>0.05</v>
      </c>
      <c r="I1777" t="s">
        <v>107</v>
      </c>
      <c r="J1777" t="s">
        <v>11</v>
      </c>
    </row>
    <row r="1778" spans="1:10" x14ac:dyDescent="0.25">
      <c r="A1778" t="s">
        <v>132</v>
      </c>
      <c r="B1778" t="s">
        <v>168</v>
      </c>
      <c r="C1778" s="12" t="s">
        <v>109</v>
      </c>
      <c r="D1778" t="s">
        <v>4</v>
      </c>
      <c r="E1778" t="s">
        <v>6</v>
      </c>
      <c r="F1778" t="s">
        <v>16</v>
      </c>
      <c r="G1778" t="s">
        <v>181</v>
      </c>
      <c r="H1778" s="94">
        <v>0.05</v>
      </c>
      <c r="I1778" t="s">
        <v>62</v>
      </c>
      <c r="J1778" t="s">
        <v>13</v>
      </c>
    </row>
    <row r="1779" spans="1:10" x14ac:dyDescent="0.25">
      <c r="A1779" t="s">
        <v>132</v>
      </c>
      <c r="B1779" t="s">
        <v>168</v>
      </c>
      <c r="C1779" s="12" t="s">
        <v>109</v>
      </c>
      <c r="D1779" t="s">
        <v>4</v>
      </c>
      <c r="E1779" t="s">
        <v>6</v>
      </c>
      <c r="F1779" t="s">
        <v>16</v>
      </c>
      <c r="G1779" t="s">
        <v>181</v>
      </c>
      <c r="H1779" s="94">
        <v>0.05</v>
      </c>
      <c r="I1779" t="s">
        <v>62</v>
      </c>
      <c r="J1779" t="s">
        <v>63</v>
      </c>
    </row>
    <row r="1780" spans="1:10" x14ac:dyDescent="0.25">
      <c r="A1780" t="s">
        <v>132</v>
      </c>
      <c r="B1780" t="s">
        <v>168</v>
      </c>
      <c r="C1780" s="12" t="s">
        <v>109</v>
      </c>
      <c r="D1780" t="s">
        <v>4</v>
      </c>
      <c r="E1780" t="s">
        <v>6</v>
      </c>
      <c r="F1780" t="s">
        <v>16</v>
      </c>
      <c r="G1780" t="s">
        <v>181</v>
      </c>
      <c r="H1780" s="94">
        <v>0.05</v>
      </c>
      <c r="I1780" t="s">
        <v>62</v>
      </c>
      <c r="J1780" t="s">
        <v>11</v>
      </c>
    </row>
    <row r="1781" spans="1:10" x14ac:dyDescent="0.25">
      <c r="A1781" t="s">
        <v>132</v>
      </c>
      <c r="B1781" t="s">
        <v>168</v>
      </c>
      <c r="C1781" s="12" t="s">
        <v>109</v>
      </c>
      <c r="D1781" t="s">
        <v>4</v>
      </c>
      <c r="E1781" t="s">
        <v>6</v>
      </c>
      <c r="F1781" t="s">
        <v>16</v>
      </c>
      <c r="G1781" t="s">
        <v>181</v>
      </c>
      <c r="H1781" s="94">
        <v>0.05</v>
      </c>
      <c r="I1781" t="s">
        <v>60</v>
      </c>
      <c r="J1781" t="s">
        <v>13</v>
      </c>
    </row>
    <row r="1782" spans="1:10" x14ac:dyDescent="0.25">
      <c r="A1782" t="s">
        <v>132</v>
      </c>
      <c r="B1782" t="s">
        <v>168</v>
      </c>
      <c r="C1782" s="12" t="s">
        <v>109</v>
      </c>
      <c r="D1782" t="s">
        <v>4</v>
      </c>
      <c r="E1782" t="s">
        <v>6</v>
      </c>
      <c r="F1782" t="s">
        <v>16</v>
      </c>
      <c r="G1782" t="s">
        <v>181</v>
      </c>
      <c r="H1782" s="94">
        <v>0.05</v>
      </c>
      <c r="I1782" t="s">
        <v>60</v>
      </c>
      <c r="J1782" t="s">
        <v>63</v>
      </c>
    </row>
    <row r="1783" spans="1:10" x14ac:dyDescent="0.25">
      <c r="A1783" t="s">
        <v>132</v>
      </c>
      <c r="B1783" t="s">
        <v>168</v>
      </c>
      <c r="C1783" s="12" t="s">
        <v>109</v>
      </c>
      <c r="D1783" t="s">
        <v>4</v>
      </c>
      <c r="E1783" t="s">
        <v>6</v>
      </c>
      <c r="F1783" t="s">
        <v>16</v>
      </c>
      <c r="G1783" t="s">
        <v>181</v>
      </c>
      <c r="H1783" s="94">
        <v>0.05</v>
      </c>
      <c r="I1783" t="s">
        <v>60</v>
      </c>
      <c r="J1783" t="s">
        <v>11</v>
      </c>
    </row>
    <row r="1784" spans="1:10" x14ac:dyDescent="0.25">
      <c r="A1784" t="s">
        <v>132</v>
      </c>
      <c r="B1784" t="s">
        <v>168</v>
      </c>
      <c r="C1784" s="12" t="s">
        <v>109</v>
      </c>
      <c r="D1784" t="s">
        <v>4</v>
      </c>
      <c r="E1784" t="s">
        <v>6</v>
      </c>
      <c r="F1784" t="s">
        <v>8</v>
      </c>
      <c r="G1784" t="s">
        <v>181</v>
      </c>
      <c r="H1784" s="94">
        <v>0.05</v>
      </c>
      <c r="I1784" t="s">
        <v>107</v>
      </c>
      <c r="J1784" t="s">
        <v>13</v>
      </c>
    </row>
    <row r="1785" spans="1:10" x14ac:dyDescent="0.25">
      <c r="A1785" t="s">
        <v>132</v>
      </c>
      <c r="B1785" t="s">
        <v>168</v>
      </c>
      <c r="C1785" s="12" t="s">
        <v>109</v>
      </c>
      <c r="D1785" t="s">
        <v>4</v>
      </c>
      <c r="E1785" t="s">
        <v>6</v>
      </c>
      <c r="F1785" t="s">
        <v>8</v>
      </c>
      <c r="G1785" t="s">
        <v>181</v>
      </c>
      <c r="H1785" s="94">
        <v>0.05</v>
      </c>
      <c r="I1785" t="s">
        <v>107</v>
      </c>
      <c r="J1785" t="s">
        <v>63</v>
      </c>
    </row>
    <row r="1786" spans="1:10" x14ac:dyDescent="0.25">
      <c r="A1786" t="s">
        <v>132</v>
      </c>
      <c r="B1786" t="s">
        <v>168</v>
      </c>
      <c r="C1786" s="12" t="s">
        <v>109</v>
      </c>
      <c r="D1786" t="s">
        <v>4</v>
      </c>
      <c r="E1786" t="s">
        <v>6</v>
      </c>
      <c r="F1786" t="s">
        <v>8</v>
      </c>
      <c r="G1786" t="s">
        <v>181</v>
      </c>
      <c r="H1786" s="94">
        <v>0.05</v>
      </c>
      <c r="I1786" t="s">
        <v>107</v>
      </c>
      <c r="J1786" t="s">
        <v>11</v>
      </c>
    </row>
    <row r="1787" spans="1:10" x14ac:dyDescent="0.25">
      <c r="A1787" t="s">
        <v>132</v>
      </c>
      <c r="B1787" t="s">
        <v>168</v>
      </c>
      <c r="C1787" s="12" t="s">
        <v>109</v>
      </c>
      <c r="D1787" t="s">
        <v>4</v>
      </c>
      <c r="E1787" t="s">
        <v>6</v>
      </c>
      <c r="F1787" t="s">
        <v>8</v>
      </c>
      <c r="G1787" t="s">
        <v>181</v>
      </c>
      <c r="H1787" s="94">
        <v>0.05</v>
      </c>
      <c r="I1787" t="s">
        <v>62</v>
      </c>
      <c r="J1787" t="s">
        <v>13</v>
      </c>
    </row>
    <row r="1788" spans="1:10" x14ac:dyDescent="0.25">
      <c r="A1788" t="s">
        <v>132</v>
      </c>
      <c r="B1788" t="s">
        <v>168</v>
      </c>
      <c r="C1788" s="12" t="s">
        <v>109</v>
      </c>
      <c r="D1788" t="s">
        <v>4</v>
      </c>
      <c r="E1788" t="s">
        <v>6</v>
      </c>
      <c r="F1788" t="s">
        <v>8</v>
      </c>
      <c r="G1788" t="s">
        <v>181</v>
      </c>
      <c r="H1788" s="94">
        <v>0.05</v>
      </c>
      <c r="I1788" t="s">
        <v>62</v>
      </c>
      <c r="J1788" t="s">
        <v>63</v>
      </c>
    </row>
    <row r="1789" spans="1:10" x14ac:dyDescent="0.25">
      <c r="A1789" t="s">
        <v>132</v>
      </c>
      <c r="B1789" t="s">
        <v>168</v>
      </c>
      <c r="C1789" s="12" t="s">
        <v>109</v>
      </c>
      <c r="D1789" t="s">
        <v>4</v>
      </c>
      <c r="E1789" t="s">
        <v>6</v>
      </c>
      <c r="F1789" t="s">
        <v>8</v>
      </c>
      <c r="G1789" t="s">
        <v>181</v>
      </c>
      <c r="H1789" s="94">
        <v>0.05</v>
      </c>
      <c r="I1789" t="s">
        <v>62</v>
      </c>
      <c r="J1789" t="s">
        <v>11</v>
      </c>
    </row>
    <row r="1790" spans="1:10" x14ac:dyDescent="0.25">
      <c r="A1790" t="s">
        <v>132</v>
      </c>
      <c r="B1790" t="s">
        <v>168</v>
      </c>
      <c r="C1790" s="12" t="s">
        <v>109</v>
      </c>
      <c r="D1790" t="s">
        <v>4</v>
      </c>
      <c r="E1790" t="s">
        <v>6</v>
      </c>
      <c r="F1790" t="s">
        <v>8</v>
      </c>
      <c r="G1790" t="s">
        <v>181</v>
      </c>
      <c r="H1790" s="94">
        <v>0.05</v>
      </c>
      <c r="I1790" t="s">
        <v>60</v>
      </c>
      <c r="J1790" t="s">
        <v>13</v>
      </c>
    </row>
    <row r="1791" spans="1:10" x14ac:dyDescent="0.25">
      <c r="A1791" t="s">
        <v>132</v>
      </c>
      <c r="B1791" t="s">
        <v>168</v>
      </c>
      <c r="C1791" s="12" t="s">
        <v>109</v>
      </c>
      <c r="D1791" t="s">
        <v>4</v>
      </c>
      <c r="E1791" t="s">
        <v>6</v>
      </c>
      <c r="F1791" t="s">
        <v>8</v>
      </c>
      <c r="G1791" t="s">
        <v>181</v>
      </c>
      <c r="H1791" s="94">
        <v>0.05</v>
      </c>
      <c r="I1791" t="s">
        <v>60</v>
      </c>
      <c r="J1791" t="s">
        <v>63</v>
      </c>
    </row>
    <row r="1792" spans="1:10" x14ac:dyDescent="0.25">
      <c r="A1792" t="s">
        <v>132</v>
      </c>
      <c r="B1792" t="s">
        <v>168</v>
      </c>
      <c r="C1792" s="12" t="s">
        <v>109</v>
      </c>
      <c r="D1792" t="s">
        <v>4</v>
      </c>
      <c r="E1792" t="s">
        <v>6</v>
      </c>
      <c r="F1792" t="s">
        <v>8</v>
      </c>
      <c r="G1792" t="s">
        <v>181</v>
      </c>
      <c r="H1792" s="94">
        <v>0.05</v>
      </c>
      <c r="I1792" t="s">
        <v>60</v>
      </c>
      <c r="J1792" t="s">
        <v>11</v>
      </c>
    </row>
    <row r="1793" spans="1:10" x14ac:dyDescent="0.25">
      <c r="A1793" t="s">
        <v>134</v>
      </c>
      <c r="B1793" t="s">
        <v>168</v>
      </c>
      <c r="C1793" s="12" t="s">
        <v>182</v>
      </c>
      <c r="D1793" t="s">
        <v>4</v>
      </c>
      <c r="E1793" t="s">
        <v>12</v>
      </c>
      <c r="F1793" t="s">
        <v>72</v>
      </c>
      <c r="G1793" t="s">
        <v>183</v>
      </c>
      <c r="H1793" s="94">
        <v>20</v>
      </c>
      <c r="I1793" t="s">
        <v>107</v>
      </c>
      <c r="J1793" t="s">
        <v>13</v>
      </c>
    </row>
    <row r="1794" spans="1:10" x14ac:dyDescent="0.25">
      <c r="A1794" t="s">
        <v>134</v>
      </c>
      <c r="B1794" t="s">
        <v>168</v>
      </c>
      <c r="C1794" s="12" t="s">
        <v>182</v>
      </c>
      <c r="D1794" t="s">
        <v>4</v>
      </c>
      <c r="E1794" t="s">
        <v>12</v>
      </c>
      <c r="F1794" t="s">
        <v>72</v>
      </c>
      <c r="G1794" t="s">
        <v>183</v>
      </c>
      <c r="H1794" s="94">
        <v>20</v>
      </c>
      <c r="I1794" t="s">
        <v>107</v>
      </c>
      <c r="J1794" t="s">
        <v>63</v>
      </c>
    </row>
    <row r="1795" spans="1:10" x14ac:dyDescent="0.25">
      <c r="A1795" t="s">
        <v>134</v>
      </c>
      <c r="B1795" t="s">
        <v>168</v>
      </c>
      <c r="C1795" s="12" t="s">
        <v>182</v>
      </c>
      <c r="D1795" t="s">
        <v>4</v>
      </c>
      <c r="E1795" t="s">
        <v>12</v>
      </c>
      <c r="F1795" t="s">
        <v>72</v>
      </c>
      <c r="G1795" t="s">
        <v>183</v>
      </c>
      <c r="H1795" s="94">
        <v>20</v>
      </c>
      <c r="I1795" t="s">
        <v>107</v>
      </c>
      <c r="J1795" t="s">
        <v>11</v>
      </c>
    </row>
    <row r="1796" spans="1:10" x14ac:dyDescent="0.25">
      <c r="A1796" t="s">
        <v>134</v>
      </c>
      <c r="B1796" t="s">
        <v>168</v>
      </c>
      <c r="C1796" s="12" t="s">
        <v>182</v>
      </c>
      <c r="D1796" t="s">
        <v>4</v>
      </c>
      <c r="E1796" t="s">
        <v>12</v>
      </c>
      <c r="F1796" t="s">
        <v>72</v>
      </c>
      <c r="G1796" t="s">
        <v>183</v>
      </c>
      <c r="H1796" s="94">
        <v>20</v>
      </c>
      <c r="I1796" t="s">
        <v>62</v>
      </c>
      <c r="J1796" t="s">
        <v>13</v>
      </c>
    </row>
    <row r="1797" spans="1:10" x14ac:dyDescent="0.25">
      <c r="A1797" t="s">
        <v>134</v>
      </c>
      <c r="B1797" t="s">
        <v>168</v>
      </c>
      <c r="C1797" s="12" t="s">
        <v>182</v>
      </c>
      <c r="D1797" t="s">
        <v>4</v>
      </c>
      <c r="E1797" t="s">
        <v>12</v>
      </c>
      <c r="F1797" t="s">
        <v>72</v>
      </c>
      <c r="G1797" t="s">
        <v>183</v>
      </c>
      <c r="H1797" s="94">
        <v>20</v>
      </c>
      <c r="I1797" t="s">
        <v>62</v>
      </c>
      <c r="J1797" t="s">
        <v>63</v>
      </c>
    </row>
    <row r="1798" spans="1:10" x14ac:dyDescent="0.25">
      <c r="A1798" t="s">
        <v>134</v>
      </c>
      <c r="B1798" t="s">
        <v>168</v>
      </c>
      <c r="C1798" s="12" t="s">
        <v>182</v>
      </c>
      <c r="D1798" t="s">
        <v>4</v>
      </c>
      <c r="E1798" t="s">
        <v>12</v>
      </c>
      <c r="F1798" t="s">
        <v>72</v>
      </c>
      <c r="G1798" t="s">
        <v>183</v>
      </c>
      <c r="H1798" s="94">
        <v>20</v>
      </c>
      <c r="I1798" t="s">
        <v>62</v>
      </c>
      <c r="J1798" t="s">
        <v>11</v>
      </c>
    </row>
    <row r="1799" spans="1:10" x14ac:dyDescent="0.25">
      <c r="A1799" t="s">
        <v>134</v>
      </c>
      <c r="B1799" t="s">
        <v>168</v>
      </c>
      <c r="C1799" s="12" t="s">
        <v>182</v>
      </c>
      <c r="D1799" t="s">
        <v>4</v>
      </c>
      <c r="E1799" t="s">
        <v>12</v>
      </c>
      <c r="F1799" t="s">
        <v>72</v>
      </c>
      <c r="G1799" t="s">
        <v>183</v>
      </c>
      <c r="H1799" s="94">
        <v>20</v>
      </c>
      <c r="I1799" t="s">
        <v>60</v>
      </c>
      <c r="J1799" t="s">
        <v>13</v>
      </c>
    </row>
    <row r="1800" spans="1:10" x14ac:dyDescent="0.25">
      <c r="A1800" t="s">
        <v>134</v>
      </c>
      <c r="B1800" t="s">
        <v>168</v>
      </c>
      <c r="C1800" s="12" t="s">
        <v>182</v>
      </c>
      <c r="D1800" t="s">
        <v>4</v>
      </c>
      <c r="E1800" t="s">
        <v>12</v>
      </c>
      <c r="F1800" t="s">
        <v>72</v>
      </c>
      <c r="G1800" t="s">
        <v>183</v>
      </c>
      <c r="H1800" s="94">
        <v>20</v>
      </c>
      <c r="I1800" t="s">
        <v>60</v>
      </c>
      <c r="J1800" t="s">
        <v>63</v>
      </c>
    </row>
    <row r="1801" spans="1:10" x14ac:dyDescent="0.25">
      <c r="A1801" t="s">
        <v>134</v>
      </c>
      <c r="B1801" t="s">
        <v>168</v>
      </c>
      <c r="C1801" s="12" t="s">
        <v>182</v>
      </c>
      <c r="D1801" t="s">
        <v>4</v>
      </c>
      <c r="E1801" t="s">
        <v>12</v>
      </c>
      <c r="F1801" t="s">
        <v>72</v>
      </c>
      <c r="G1801" t="s">
        <v>183</v>
      </c>
      <c r="H1801" s="94">
        <v>20</v>
      </c>
      <c r="I1801" t="s">
        <v>60</v>
      </c>
      <c r="J1801" t="s">
        <v>11</v>
      </c>
    </row>
    <row r="1802" spans="1:10" x14ac:dyDescent="0.25">
      <c r="A1802" t="s">
        <v>134</v>
      </c>
      <c r="B1802" t="s">
        <v>168</v>
      </c>
      <c r="C1802" s="12" t="s">
        <v>182</v>
      </c>
      <c r="D1802" t="s">
        <v>4</v>
      </c>
      <c r="E1802" t="s">
        <v>12</v>
      </c>
      <c r="F1802" t="s">
        <v>72</v>
      </c>
      <c r="G1802" t="s">
        <v>183</v>
      </c>
      <c r="H1802" s="94">
        <v>500</v>
      </c>
      <c r="I1802" t="s">
        <v>107</v>
      </c>
      <c r="J1802" t="s">
        <v>13</v>
      </c>
    </row>
    <row r="1803" spans="1:10" x14ac:dyDescent="0.25">
      <c r="A1803" t="s">
        <v>134</v>
      </c>
      <c r="B1803" t="s">
        <v>168</v>
      </c>
      <c r="C1803" s="12" t="s">
        <v>182</v>
      </c>
      <c r="D1803" t="s">
        <v>4</v>
      </c>
      <c r="E1803" t="s">
        <v>12</v>
      </c>
      <c r="F1803" t="s">
        <v>72</v>
      </c>
      <c r="G1803" t="s">
        <v>183</v>
      </c>
      <c r="H1803" s="94">
        <v>500</v>
      </c>
      <c r="I1803" t="s">
        <v>107</v>
      </c>
      <c r="J1803" t="s">
        <v>63</v>
      </c>
    </row>
    <row r="1804" spans="1:10" x14ac:dyDescent="0.25">
      <c r="A1804" t="s">
        <v>134</v>
      </c>
      <c r="B1804" t="s">
        <v>168</v>
      </c>
      <c r="C1804" s="12" t="s">
        <v>182</v>
      </c>
      <c r="D1804" t="s">
        <v>4</v>
      </c>
      <c r="E1804" t="s">
        <v>12</v>
      </c>
      <c r="F1804" t="s">
        <v>72</v>
      </c>
      <c r="G1804" t="s">
        <v>183</v>
      </c>
      <c r="H1804" s="94">
        <v>500</v>
      </c>
      <c r="I1804" t="s">
        <v>107</v>
      </c>
      <c r="J1804" t="s">
        <v>11</v>
      </c>
    </row>
    <row r="1805" spans="1:10" x14ac:dyDescent="0.25">
      <c r="A1805" t="s">
        <v>134</v>
      </c>
      <c r="B1805" t="s">
        <v>168</v>
      </c>
      <c r="C1805" s="12" t="s">
        <v>182</v>
      </c>
      <c r="D1805" t="s">
        <v>4</v>
      </c>
      <c r="E1805" t="s">
        <v>12</v>
      </c>
      <c r="F1805" t="s">
        <v>72</v>
      </c>
      <c r="G1805" t="s">
        <v>183</v>
      </c>
      <c r="H1805" s="94">
        <v>500</v>
      </c>
      <c r="I1805" t="s">
        <v>62</v>
      </c>
      <c r="J1805" t="s">
        <v>13</v>
      </c>
    </row>
    <row r="1806" spans="1:10" x14ac:dyDescent="0.25">
      <c r="A1806" t="s">
        <v>134</v>
      </c>
      <c r="B1806" t="s">
        <v>168</v>
      </c>
      <c r="C1806" s="12" t="s">
        <v>182</v>
      </c>
      <c r="D1806" t="s">
        <v>4</v>
      </c>
      <c r="E1806" t="s">
        <v>12</v>
      </c>
      <c r="F1806" t="s">
        <v>72</v>
      </c>
      <c r="G1806" t="s">
        <v>183</v>
      </c>
      <c r="H1806" s="94">
        <v>500</v>
      </c>
      <c r="I1806" t="s">
        <v>62</v>
      </c>
      <c r="J1806" t="s">
        <v>63</v>
      </c>
    </row>
    <row r="1807" spans="1:10" x14ac:dyDescent="0.25">
      <c r="A1807" t="s">
        <v>134</v>
      </c>
      <c r="B1807" t="s">
        <v>168</v>
      </c>
      <c r="C1807" s="12" t="s">
        <v>182</v>
      </c>
      <c r="D1807" t="s">
        <v>4</v>
      </c>
      <c r="E1807" t="s">
        <v>12</v>
      </c>
      <c r="F1807" t="s">
        <v>72</v>
      </c>
      <c r="G1807" t="s">
        <v>183</v>
      </c>
      <c r="H1807" s="94">
        <v>500</v>
      </c>
      <c r="I1807" t="s">
        <v>62</v>
      </c>
      <c r="J1807" t="s">
        <v>11</v>
      </c>
    </row>
    <row r="1808" spans="1:10" x14ac:dyDescent="0.25">
      <c r="A1808" t="s">
        <v>134</v>
      </c>
      <c r="B1808" t="s">
        <v>168</v>
      </c>
      <c r="C1808" s="12" t="s">
        <v>182</v>
      </c>
      <c r="D1808" t="s">
        <v>4</v>
      </c>
      <c r="E1808" t="s">
        <v>12</v>
      </c>
      <c r="F1808" t="s">
        <v>72</v>
      </c>
      <c r="G1808" t="s">
        <v>183</v>
      </c>
      <c r="H1808" s="94">
        <v>500</v>
      </c>
      <c r="I1808" t="s">
        <v>60</v>
      </c>
      <c r="J1808" t="s">
        <v>13</v>
      </c>
    </row>
    <row r="1809" spans="1:10" x14ac:dyDescent="0.25">
      <c r="A1809" t="s">
        <v>134</v>
      </c>
      <c r="B1809" t="s">
        <v>168</v>
      </c>
      <c r="C1809" s="12" t="s">
        <v>182</v>
      </c>
      <c r="D1809" t="s">
        <v>4</v>
      </c>
      <c r="E1809" t="s">
        <v>12</v>
      </c>
      <c r="F1809" t="s">
        <v>72</v>
      </c>
      <c r="G1809" t="s">
        <v>183</v>
      </c>
      <c r="H1809" s="94">
        <v>500</v>
      </c>
      <c r="I1809" t="s">
        <v>60</v>
      </c>
      <c r="J1809" t="s">
        <v>63</v>
      </c>
    </row>
    <row r="1810" spans="1:10" x14ac:dyDescent="0.25">
      <c r="A1810" t="s">
        <v>134</v>
      </c>
      <c r="B1810" t="s">
        <v>168</v>
      </c>
      <c r="C1810" s="12" t="s">
        <v>182</v>
      </c>
      <c r="D1810" t="s">
        <v>4</v>
      </c>
      <c r="E1810" t="s">
        <v>12</v>
      </c>
      <c r="F1810" t="s">
        <v>72</v>
      </c>
      <c r="G1810" t="s">
        <v>183</v>
      </c>
      <c r="H1810" s="94">
        <v>500</v>
      </c>
      <c r="I1810" t="s">
        <v>60</v>
      </c>
      <c r="J1810" t="s">
        <v>11</v>
      </c>
    </row>
    <row r="1811" spans="1:10" x14ac:dyDescent="0.25">
      <c r="A1811" t="s">
        <v>134</v>
      </c>
      <c r="B1811" t="s">
        <v>168</v>
      </c>
      <c r="C1811" s="12" t="s">
        <v>182</v>
      </c>
      <c r="D1811" t="s">
        <v>4</v>
      </c>
      <c r="E1811" t="s">
        <v>12</v>
      </c>
      <c r="F1811" t="s">
        <v>16</v>
      </c>
      <c r="G1811" t="s">
        <v>183</v>
      </c>
      <c r="H1811" s="94">
        <v>20</v>
      </c>
      <c r="I1811" t="s">
        <v>107</v>
      </c>
      <c r="J1811" t="s">
        <v>13</v>
      </c>
    </row>
    <row r="1812" spans="1:10" x14ac:dyDescent="0.25">
      <c r="A1812" t="s">
        <v>134</v>
      </c>
      <c r="B1812" t="s">
        <v>168</v>
      </c>
      <c r="C1812" s="12" t="s">
        <v>182</v>
      </c>
      <c r="D1812" t="s">
        <v>4</v>
      </c>
      <c r="E1812" t="s">
        <v>12</v>
      </c>
      <c r="F1812" t="s">
        <v>16</v>
      </c>
      <c r="G1812" t="s">
        <v>183</v>
      </c>
      <c r="H1812" s="94">
        <v>20</v>
      </c>
      <c r="I1812" t="s">
        <v>107</v>
      </c>
      <c r="J1812" t="s">
        <v>63</v>
      </c>
    </row>
    <row r="1813" spans="1:10" x14ac:dyDescent="0.25">
      <c r="A1813" t="s">
        <v>134</v>
      </c>
      <c r="B1813" t="s">
        <v>168</v>
      </c>
      <c r="C1813" s="12" t="s">
        <v>182</v>
      </c>
      <c r="D1813" t="s">
        <v>4</v>
      </c>
      <c r="E1813" t="s">
        <v>12</v>
      </c>
      <c r="F1813" t="s">
        <v>16</v>
      </c>
      <c r="G1813" t="s">
        <v>183</v>
      </c>
      <c r="H1813" s="94">
        <v>20</v>
      </c>
      <c r="I1813" t="s">
        <v>107</v>
      </c>
      <c r="J1813" t="s">
        <v>11</v>
      </c>
    </row>
    <row r="1814" spans="1:10" x14ac:dyDescent="0.25">
      <c r="A1814" t="s">
        <v>134</v>
      </c>
      <c r="B1814" t="s">
        <v>168</v>
      </c>
      <c r="C1814" s="12" t="s">
        <v>182</v>
      </c>
      <c r="D1814" t="s">
        <v>4</v>
      </c>
      <c r="E1814" t="s">
        <v>12</v>
      </c>
      <c r="F1814" t="s">
        <v>16</v>
      </c>
      <c r="G1814" t="s">
        <v>183</v>
      </c>
      <c r="H1814" s="94">
        <v>20</v>
      </c>
      <c r="I1814" t="s">
        <v>62</v>
      </c>
      <c r="J1814" t="s">
        <v>13</v>
      </c>
    </row>
    <row r="1815" spans="1:10" x14ac:dyDescent="0.25">
      <c r="A1815" t="s">
        <v>134</v>
      </c>
      <c r="B1815" t="s">
        <v>168</v>
      </c>
      <c r="C1815" s="12" t="s">
        <v>182</v>
      </c>
      <c r="D1815" t="s">
        <v>4</v>
      </c>
      <c r="E1815" t="s">
        <v>12</v>
      </c>
      <c r="F1815" t="s">
        <v>16</v>
      </c>
      <c r="G1815" t="s">
        <v>183</v>
      </c>
      <c r="H1815" s="94">
        <v>20</v>
      </c>
      <c r="I1815" t="s">
        <v>62</v>
      </c>
      <c r="J1815" t="s">
        <v>63</v>
      </c>
    </row>
    <row r="1816" spans="1:10" x14ac:dyDescent="0.25">
      <c r="A1816" t="s">
        <v>134</v>
      </c>
      <c r="B1816" t="s">
        <v>168</v>
      </c>
      <c r="C1816" s="12" t="s">
        <v>182</v>
      </c>
      <c r="D1816" t="s">
        <v>4</v>
      </c>
      <c r="E1816" t="s">
        <v>12</v>
      </c>
      <c r="F1816" t="s">
        <v>16</v>
      </c>
      <c r="G1816" t="s">
        <v>183</v>
      </c>
      <c r="H1816" s="94">
        <v>20</v>
      </c>
      <c r="I1816" t="s">
        <v>62</v>
      </c>
      <c r="J1816" t="s">
        <v>11</v>
      </c>
    </row>
    <row r="1817" spans="1:10" x14ac:dyDescent="0.25">
      <c r="A1817" t="s">
        <v>134</v>
      </c>
      <c r="B1817" t="s">
        <v>168</v>
      </c>
      <c r="C1817" s="12" t="s">
        <v>182</v>
      </c>
      <c r="D1817" t="s">
        <v>4</v>
      </c>
      <c r="E1817" t="s">
        <v>12</v>
      </c>
      <c r="F1817" t="s">
        <v>16</v>
      </c>
      <c r="G1817" t="s">
        <v>183</v>
      </c>
      <c r="H1817" s="94">
        <v>20</v>
      </c>
      <c r="I1817" t="s">
        <v>60</v>
      </c>
      <c r="J1817" t="s">
        <v>13</v>
      </c>
    </row>
    <row r="1818" spans="1:10" x14ac:dyDescent="0.25">
      <c r="A1818" t="s">
        <v>134</v>
      </c>
      <c r="B1818" t="s">
        <v>168</v>
      </c>
      <c r="C1818" s="12" t="s">
        <v>182</v>
      </c>
      <c r="D1818" t="s">
        <v>4</v>
      </c>
      <c r="E1818" t="s">
        <v>12</v>
      </c>
      <c r="F1818" t="s">
        <v>16</v>
      </c>
      <c r="G1818" t="s">
        <v>183</v>
      </c>
      <c r="H1818" s="94">
        <v>20</v>
      </c>
      <c r="I1818" t="s">
        <v>60</v>
      </c>
      <c r="J1818" t="s">
        <v>63</v>
      </c>
    </row>
    <row r="1819" spans="1:10" x14ac:dyDescent="0.25">
      <c r="A1819" t="s">
        <v>134</v>
      </c>
      <c r="B1819" t="s">
        <v>168</v>
      </c>
      <c r="C1819" s="12" t="s">
        <v>182</v>
      </c>
      <c r="D1819" t="s">
        <v>4</v>
      </c>
      <c r="E1819" t="s">
        <v>12</v>
      </c>
      <c r="F1819" t="s">
        <v>16</v>
      </c>
      <c r="G1819" t="s">
        <v>183</v>
      </c>
      <c r="H1819" s="94">
        <v>20</v>
      </c>
      <c r="I1819" t="s">
        <v>60</v>
      </c>
      <c r="J1819" t="s">
        <v>11</v>
      </c>
    </row>
    <row r="1820" spans="1:10" x14ac:dyDescent="0.25">
      <c r="A1820" t="s">
        <v>134</v>
      </c>
      <c r="B1820" t="s">
        <v>168</v>
      </c>
      <c r="C1820" s="12" t="s">
        <v>182</v>
      </c>
      <c r="D1820" t="s">
        <v>4</v>
      </c>
      <c r="E1820" t="s">
        <v>12</v>
      </c>
      <c r="F1820" t="s">
        <v>16</v>
      </c>
      <c r="G1820" t="s">
        <v>183</v>
      </c>
      <c r="H1820" s="94">
        <v>500</v>
      </c>
      <c r="I1820" t="s">
        <v>107</v>
      </c>
      <c r="J1820" t="s">
        <v>13</v>
      </c>
    </row>
    <row r="1821" spans="1:10" x14ac:dyDescent="0.25">
      <c r="A1821" t="s">
        <v>134</v>
      </c>
      <c r="B1821" t="s">
        <v>168</v>
      </c>
      <c r="C1821" s="12" t="s">
        <v>182</v>
      </c>
      <c r="D1821" t="s">
        <v>4</v>
      </c>
      <c r="E1821" t="s">
        <v>12</v>
      </c>
      <c r="F1821" t="s">
        <v>16</v>
      </c>
      <c r="G1821" t="s">
        <v>183</v>
      </c>
      <c r="H1821" s="94">
        <v>500</v>
      </c>
      <c r="I1821" t="s">
        <v>107</v>
      </c>
      <c r="J1821" t="s">
        <v>63</v>
      </c>
    </row>
    <row r="1822" spans="1:10" x14ac:dyDescent="0.25">
      <c r="A1822" t="s">
        <v>134</v>
      </c>
      <c r="B1822" t="s">
        <v>168</v>
      </c>
      <c r="C1822" s="12" t="s">
        <v>182</v>
      </c>
      <c r="D1822" t="s">
        <v>4</v>
      </c>
      <c r="E1822" t="s">
        <v>12</v>
      </c>
      <c r="F1822" t="s">
        <v>16</v>
      </c>
      <c r="G1822" t="s">
        <v>183</v>
      </c>
      <c r="H1822" s="94">
        <v>500</v>
      </c>
      <c r="I1822" t="s">
        <v>107</v>
      </c>
      <c r="J1822" t="s">
        <v>11</v>
      </c>
    </row>
    <row r="1823" spans="1:10" x14ac:dyDescent="0.25">
      <c r="A1823" t="s">
        <v>134</v>
      </c>
      <c r="B1823" t="s">
        <v>168</v>
      </c>
      <c r="C1823" s="12" t="s">
        <v>182</v>
      </c>
      <c r="D1823" t="s">
        <v>4</v>
      </c>
      <c r="E1823" t="s">
        <v>12</v>
      </c>
      <c r="F1823" t="s">
        <v>16</v>
      </c>
      <c r="G1823" t="s">
        <v>183</v>
      </c>
      <c r="H1823" s="94">
        <v>500</v>
      </c>
      <c r="I1823" t="s">
        <v>62</v>
      </c>
      <c r="J1823" t="s">
        <v>13</v>
      </c>
    </row>
    <row r="1824" spans="1:10" x14ac:dyDescent="0.25">
      <c r="A1824" t="s">
        <v>134</v>
      </c>
      <c r="B1824" t="s">
        <v>168</v>
      </c>
      <c r="C1824" s="12" t="s">
        <v>182</v>
      </c>
      <c r="D1824" t="s">
        <v>4</v>
      </c>
      <c r="E1824" t="s">
        <v>12</v>
      </c>
      <c r="F1824" t="s">
        <v>16</v>
      </c>
      <c r="G1824" t="s">
        <v>183</v>
      </c>
      <c r="H1824" s="94">
        <v>500</v>
      </c>
      <c r="I1824" t="s">
        <v>62</v>
      </c>
      <c r="J1824" t="s">
        <v>63</v>
      </c>
    </row>
    <row r="1825" spans="1:10" x14ac:dyDescent="0.25">
      <c r="A1825" t="s">
        <v>134</v>
      </c>
      <c r="B1825" t="s">
        <v>168</v>
      </c>
      <c r="C1825" s="12" t="s">
        <v>182</v>
      </c>
      <c r="D1825" t="s">
        <v>4</v>
      </c>
      <c r="E1825" t="s">
        <v>12</v>
      </c>
      <c r="F1825" t="s">
        <v>16</v>
      </c>
      <c r="G1825" t="s">
        <v>183</v>
      </c>
      <c r="H1825" s="94">
        <v>500</v>
      </c>
      <c r="I1825" t="s">
        <v>62</v>
      </c>
      <c r="J1825" t="s">
        <v>11</v>
      </c>
    </row>
    <row r="1826" spans="1:10" x14ac:dyDescent="0.25">
      <c r="A1826" t="s">
        <v>134</v>
      </c>
      <c r="B1826" t="s">
        <v>168</v>
      </c>
      <c r="C1826" s="12" t="s">
        <v>182</v>
      </c>
      <c r="D1826" t="s">
        <v>4</v>
      </c>
      <c r="E1826" t="s">
        <v>12</v>
      </c>
      <c r="F1826" t="s">
        <v>16</v>
      </c>
      <c r="G1826" t="s">
        <v>183</v>
      </c>
      <c r="H1826" s="94">
        <v>500</v>
      </c>
      <c r="I1826" t="s">
        <v>60</v>
      </c>
      <c r="J1826" t="s">
        <v>13</v>
      </c>
    </row>
    <row r="1827" spans="1:10" x14ac:dyDescent="0.25">
      <c r="A1827" t="s">
        <v>134</v>
      </c>
      <c r="B1827" t="s">
        <v>168</v>
      </c>
      <c r="C1827" s="12" t="s">
        <v>182</v>
      </c>
      <c r="D1827" t="s">
        <v>4</v>
      </c>
      <c r="E1827" t="s">
        <v>12</v>
      </c>
      <c r="F1827" t="s">
        <v>16</v>
      </c>
      <c r="G1827" t="s">
        <v>183</v>
      </c>
      <c r="H1827" s="94">
        <v>500</v>
      </c>
      <c r="I1827" t="s">
        <v>60</v>
      </c>
      <c r="J1827" t="s">
        <v>63</v>
      </c>
    </row>
    <row r="1828" spans="1:10" x14ac:dyDescent="0.25">
      <c r="A1828" t="s">
        <v>134</v>
      </c>
      <c r="B1828" t="s">
        <v>168</v>
      </c>
      <c r="C1828" s="12" t="s">
        <v>182</v>
      </c>
      <c r="D1828" t="s">
        <v>4</v>
      </c>
      <c r="E1828" t="s">
        <v>12</v>
      </c>
      <c r="F1828" t="s">
        <v>16</v>
      </c>
      <c r="G1828" t="s">
        <v>183</v>
      </c>
      <c r="H1828" s="94">
        <v>500</v>
      </c>
      <c r="I1828" t="s">
        <v>60</v>
      </c>
      <c r="J1828" t="s">
        <v>11</v>
      </c>
    </row>
    <row r="1829" spans="1:10" x14ac:dyDescent="0.25">
      <c r="A1829" t="s">
        <v>134</v>
      </c>
      <c r="B1829" t="s">
        <v>168</v>
      </c>
      <c r="C1829" s="12" t="s">
        <v>182</v>
      </c>
      <c r="D1829" t="s">
        <v>4</v>
      </c>
      <c r="E1829" t="s">
        <v>12</v>
      </c>
      <c r="F1829" t="s">
        <v>8</v>
      </c>
      <c r="G1829" t="s">
        <v>183</v>
      </c>
      <c r="H1829" s="94">
        <v>20</v>
      </c>
      <c r="I1829" t="s">
        <v>107</v>
      </c>
      <c r="J1829" t="s">
        <v>13</v>
      </c>
    </row>
    <row r="1830" spans="1:10" x14ac:dyDescent="0.25">
      <c r="A1830" t="s">
        <v>134</v>
      </c>
      <c r="B1830" t="s">
        <v>168</v>
      </c>
      <c r="C1830" s="12" t="s">
        <v>182</v>
      </c>
      <c r="D1830" t="s">
        <v>4</v>
      </c>
      <c r="E1830" t="s">
        <v>12</v>
      </c>
      <c r="F1830" t="s">
        <v>8</v>
      </c>
      <c r="G1830" t="s">
        <v>183</v>
      </c>
      <c r="H1830" s="94">
        <v>20</v>
      </c>
      <c r="I1830" t="s">
        <v>107</v>
      </c>
      <c r="J1830" t="s">
        <v>63</v>
      </c>
    </row>
    <row r="1831" spans="1:10" x14ac:dyDescent="0.25">
      <c r="A1831" t="s">
        <v>134</v>
      </c>
      <c r="B1831" t="s">
        <v>168</v>
      </c>
      <c r="C1831" s="12" t="s">
        <v>182</v>
      </c>
      <c r="D1831" t="s">
        <v>4</v>
      </c>
      <c r="E1831" t="s">
        <v>12</v>
      </c>
      <c r="F1831" t="s">
        <v>8</v>
      </c>
      <c r="G1831" t="s">
        <v>183</v>
      </c>
      <c r="H1831" s="94">
        <v>20</v>
      </c>
      <c r="I1831" t="s">
        <v>107</v>
      </c>
      <c r="J1831" t="s">
        <v>11</v>
      </c>
    </row>
    <row r="1832" spans="1:10" x14ac:dyDescent="0.25">
      <c r="A1832" t="s">
        <v>134</v>
      </c>
      <c r="B1832" t="s">
        <v>168</v>
      </c>
      <c r="C1832" s="12" t="s">
        <v>182</v>
      </c>
      <c r="D1832" t="s">
        <v>4</v>
      </c>
      <c r="E1832" t="s">
        <v>12</v>
      </c>
      <c r="F1832" t="s">
        <v>8</v>
      </c>
      <c r="G1832" t="s">
        <v>183</v>
      </c>
      <c r="H1832" s="94">
        <v>20</v>
      </c>
      <c r="I1832" t="s">
        <v>62</v>
      </c>
      <c r="J1832" t="s">
        <v>13</v>
      </c>
    </row>
    <row r="1833" spans="1:10" x14ac:dyDescent="0.25">
      <c r="A1833" t="s">
        <v>134</v>
      </c>
      <c r="B1833" t="s">
        <v>168</v>
      </c>
      <c r="C1833" s="12" t="s">
        <v>182</v>
      </c>
      <c r="D1833" t="s">
        <v>4</v>
      </c>
      <c r="E1833" t="s">
        <v>12</v>
      </c>
      <c r="F1833" t="s">
        <v>8</v>
      </c>
      <c r="G1833" t="s">
        <v>183</v>
      </c>
      <c r="H1833" s="94">
        <v>20</v>
      </c>
      <c r="I1833" t="s">
        <v>62</v>
      </c>
      <c r="J1833" t="s">
        <v>63</v>
      </c>
    </row>
    <row r="1834" spans="1:10" x14ac:dyDescent="0.25">
      <c r="A1834" t="s">
        <v>134</v>
      </c>
      <c r="B1834" t="s">
        <v>168</v>
      </c>
      <c r="C1834" s="12" t="s">
        <v>182</v>
      </c>
      <c r="D1834" t="s">
        <v>4</v>
      </c>
      <c r="E1834" t="s">
        <v>12</v>
      </c>
      <c r="F1834" t="s">
        <v>8</v>
      </c>
      <c r="G1834" t="s">
        <v>183</v>
      </c>
      <c r="H1834" s="94">
        <v>20</v>
      </c>
      <c r="I1834" t="s">
        <v>62</v>
      </c>
      <c r="J1834" t="s">
        <v>11</v>
      </c>
    </row>
    <row r="1835" spans="1:10" x14ac:dyDescent="0.25">
      <c r="A1835" t="s">
        <v>134</v>
      </c>
      <c r="B1835" t="s">
        <v>168</v>
      </c>
      <c r="C1835" s="12" t="s">
        <v>182</v>
      </c>
      <c r="D1835" t="s">
        <v>4</v>
      </c>
      <c r="E1835" t="s">
        <v>12</v>
      </c>
      <c r="F1835" t="s">
        <v>8</v>
      </c>
      <c r="G1835" t="s">
        <v>183</v>
      </c>
      <c r="H1835" s="94">
        <v>20</v>
      </c>
      <c r="I1835" t="s">
        <v>60</v>
      </c>
      <c r="J1835" t="s">
        <v>13</v>
      </c>
    </row>
    <row r="1836" spans="1:10" x14ac:dyDescent="0.25">
      <c r="A1836" t="s">
        <v>134</v>
      </c>
      <c r="B1836" t="s">
        <v>168</v>
      </c>
      <c r="C1836" s="12" t="s">
        <v>182</v>
      </c>
      <c r="D1836" t="s">
        <v>4</v>
      </c>
      <c r="E1836" t="s">
        <v>12</v>
      </c>
      <c r="F1836" t="s">
        <v>8</v>
      </c>
      <c r="G1836" t="s">
        <v>183</v>
      </c>
      <c r="H1836" s="94">
        <v>20</v>
      </c>
      <c r="I1836" t="s">
        <v>60</v>
      </c>
      <c r="J1836" t="s">
        <v>63</v>
      </c>
    </row>
    <row r="1837" spans="1:10" x14ac:dyDescent="0.25">
      <c r="A1837" t="s">
        <v>134</v>
      </c>
      <c r="B1837" t="s">
        <v>168</v>
      </c>
      <c r="C1837" s="12" t="s">
        <v>182</v>
      </c>
      <c r="D1837" t="s">
        <v>4</v>
      </c>
      <c r="E1837" t="s">
        <v>12</v>
      </c>
      <c r="F1837" t="s">
        <v>8</v>
      </c>
      <c r="G1837" t="s">
        <v>183</v>
      </c>
      <c r="H1837" s="94">
        <v>20</v>
      </c>
      <c r="I1837" t="s">
        <v>60</v>
      </c>
      <c r="J1837" t="s">
        <v>11</v>
      </c>
    </row>
    <row r="1838" spans="1:10" x14ac:dyDescent="0.25">
      <c r="A1838" t="s">
        <v>134</v>
      </c>
      <c r="B1838" t="s">
        <v>168</v>
      </c>
      <c r="C1838" s="12" t="s">
        <v>182</v>
      </c>
      <c r="D1838" t="s">
        <v>4</v>
      </c>
      <c r="E1838" t="s">
        <v>12</v>
      </c>
      <c r="F1838" t="s">
        <v>8</v>
      </c>
      <c r="G1838" t="s">
        <v>183</v>
      </c>
      <c r="H1838" s="94">
        <v>500</v>
      </c>
      <c r="I1838" t="s">
        <v>107</v>
      </c>
      <c r="J1838" t="s">
        <v>13</v>
      </c>
    </row>
    <row r="1839" spans="1:10" x14ac:dyDescent="0.25">
      <c r="A1839" t="s">
        <v>134</v>
      </c>
      <c r="B1839" t="s">
        <v>168</v>
      </c>
      <c r="C1839" s="12" t="s">
        <v>182</v>
      </c>
      <c r="D1839" t="s">
        <v>4</v>
      </c>
      <c r="E1839" t="s">
        <v>12</v>
      </c>
      <c r="F1839" t="s">
        <v>8</v>
      </c>
      <c r="G1839" t="s">
        <v>183</v>
      </c>
      <c r="H1839" s="94">
        <v>500</v>
      </c>
      <c r="I1839" t="s">
        <v>107</v>
      </c>
      <c r="J1839" t="s">
        <v>63</v>
      </c>
    </row>
    <row r="1840" spans="1:10" x14ac:dyDescent="0.25">
      <c r="A1840" t="s">
        <v>134</v>
      </c>
      <c r="B1840" t="s">
        <v>168</v>
      </c>
      <c r="C1840" s="12" t="s">
        <v>182</v>
      </c>
      <c r="D1840" t="s">
        <v>4</v>
      </c>
      <c r="E1840" t="s">
        <v>12</v>
      </c>
      <c r="F1840" t="s">
        <v>8</v>
      </c>
      <c r="G1840" t="s">
        <v>183</v>
      </c>
      <c r="H1840" s="94">
        <v>500</v>
      </c>
      <c r="I1840" t="s">
        <v>107</v>
      </c>
      <c r="J1840" t="s">
        <v>11</v>
      </c>
    </row>
    <row r="1841" spans="1:10" x14ac:dyDescent="0.25">
      <c r="A1841" t="s">
        <v>134</v>
      </c>
      <c r="B1841" t="s">
        <v>168</v>
      </c>
      <c r="C1841" s="12" t="s">
        <v>182</v>
      </c>
      <c r="D1841" t="s">
        <v>4</v>
      </c>
      <c r="E1841" t="s">
        <v>12</v>
      </c>
      <c r="F1841" t="s">
        <v>8</v>
      </c>
      <c r="G1841" t="s">
        <v>183</v>
      </c>
      <c r="H1841" s="94">
        <v>500</v>
      </c>
      <c r="I1841" t="s">
        <v>62</v>
      </c>
      <c r="J1841" t="s">
        <v>13</v>
      </c>
    </row>
    <row r="1842" spans="1:10" x14ac:dyDescent="0.25">
      <c r="A1842" t="s">
        <v>134</v>
      </c>
      <c r="B1842" t="s">
        <v>168</v>
      </c>
      <c r="C1842" s="12" t="s">
        <v>182</v>
      </c>
      <c r="D1842" t="s">
        <v>4</v>
      </c>
      <c r="E1842" t="s">
        <v>12</v>
      </c>
      <c r="F1842" t="s">
        <v>8</v>
      </c>
      <c r="G1842" t="s">
        <v>183</v>
      </c>
      <c r="H1842" s="94">
        <v>500</v>
      </c>
      <c r="I1842" t="s">
        <v>62</v>
      </c>
      <c r="J1842" t="s">
        <v>63</v>
      </c>
    </row>
    <row r="1843" spans="1:10" x14ac:dyDescent="0.25">
      <c r="A1843" t="s">
        <v>134</v>
      </c>
      <c r="B1843" t="s">
        <v>168</v>
      </c>
      <c r="C1843" s="12" t="s">
        <v>182</v>
      </c>
      <c r="D1843" t="s">
        <v>4</v>
      </c>
      <c r="E1843" t="s">
        <v>12</v>
      </c>
      <c r="F1843" t="s">
        <v>8</v>
      </c>
      <c r="G1843" t="s">
        <v>183</v>
      </c>
      <c r="H1843" s="94">
        <v>500</v>
      </c>
      <c r="I1843" t="s">
        <v>62</v>
      </c>
      <c r="J1843" t="s">
        <v>11</v>
      </c>
    </row>
    <row r="1844" spans="1:10" x14ac:dyDescent="0.25">
      <c r="A1844" t="s">
        <v>134</v>
      </c>
      <c r="B1844" t="s">
        <v>168</v>
      </c>
      <c r="C1844" s="12" t="s">
        <v>182</v>
      </c>
      <c r="D1844" t="s">
        <v>4</v>
      </c>
      <c r="E1844" t="s">
        <v>12</v>
      </c>
      <c r="F1844" t="s">
        <v>8</v>
      </c>
      <c r="G1844" t="s">
        <v>183</v>
      </c>
      <c r="H1844" s="94">
        <v>500</v>
      </c>
      <c r="I1844" t="s">
        <v>60</v>
      </c>
      <c r="J1844" t="s">
        <v>13</v>
      </c>
    </row>
    <row r="1845" spans="1:10" x14ac:dyDescent="0.25">
      <c r="A1845" t="s">
        <v>134</v>
      </c>
      <c r="B1845" t="s">
        <v>168</v>
      </c>
      <c r="C1845" s="12" t="s">
        <v>182</v>
      </c>
      <c r="D1845" t="s">
        <v>4</v>
      </c>
      <c r="E1845" t="s">
        <v>12</v>
      </c>
      <c r="F1845" t="s">
        <v>8</v>
      </c>
      <c r="G1845" t="s">
        <v>183</v>
      </c>
      <c r="H1845" s="94">
        <v>500</v>
      </c>
      <c r="I1845" t="s">
        <v>60</v>
      </c>
      <c r="J1845" t="s">
        <v>63</v>
      </c>
    </row>
    <row r="1846" spans="1:10" x14ac:dyDescent="0.25">
      <c r="A1846" t="s">
        <v>134</v>
      </c>
      <c r="B1846" t="s">
        <v>168</v>
      </c>
      <c r="C1846" s="12" t="s">
        <v>182</v>
      </c>
      <c r="D1846" t="s">
        <v>4</v>
      </c>
      <c r="E1846" t="s">
        <v>12</v>
      </c>
      <c r="F1846" t="s">
        <v>8</v>
      </c>
      <c r="G1846" t="s">
        <v>183</v>
      </c>
      <c r="H1846" s="94">
        <v>500</v>
      </c>
      <c r="I1846" t="s">
        <v>60</v>
      </c>
      <c r="J1846" t="s">
        <v>11</v>
      </c>
    </row>
    <row r="1847" spans="1:10" x14ac:dyDescent="0.25">
      <c r="A1847" t="s">
        <v>134</v>
      </c>
      <c r="B1847" t="s">
        <v>168</v>
      </c>
      <c r="C1847" s="12" t="s">
        <v>182</v>
      </c>
      <c r="D1847" t="s">
        <v>4</v>
      </c>
      <c r="E1847" t="s">
        <v>6</v>
      </c>
      <c r="F1847" t="s">
        <v>72</v>
      </c>
      <c r="G1847" t="s">
        <v>183</v>
      </c>
      <c r="H1847" s="94">
        <v>20</v>
      </c>
      <c r="I1847" t="s">
        <v>107</v>
      </c>
      <c r="J1847" t="s">
        <v>13</v>
      </c>
    </row>
    <row r="1848" spans="1:10" x14ac:dyDescent="0.25">
      <c r="A1848" t="s">
        <v>134</v>
      </c>
      <c r="B1848" t="s">
        <v>168</v>
      </c>
      <c r="C1848" s="12" t="s">
        <v>182</v>
      </c>
      <c r="D1848" t="s">
        <v>4</v>
      </c>
      <c r="E1848" t="s">
        <v>6</v>
      </c>
      <c r="F1848" t="s">
        <v>72</v>
      </c>
      <c r="G1848" t="s">
        <v>183</v>
      </c>
      <c r="H1848" s="94">
        <v>20</v>
      </c>
      <c r="I1848" t="s">
        <v>107</v>
      </c>
      <c r="J1848" t="s">
        <v>63</v>
      </c>
    </row>
    <row r="1849" spans="1:10" x14ac:dyDescent="0.25">
      <c r="A1849" t="s">
        <v>134</v>
      </c>
      <c r="B1849" t="s">
        <v>168</v>
      </c>
      <c r="C1849" s="12" t="s">
        <v>182</v>
      </c>
      <c r="D1849" t="s">
        <v>4</v>
      </c>
      <c r="E1849" t="s">
        <v>6</v>
      </c>
      <c r="F1849" t="s">
        <v>72</v>
      </c>
      <c r="G1849" t="s">
        <v>183</v>
      </c>
      <c r="H1849" s="94">
        <v>20</v>
      </c>
      <c r="I1849" t="s">
        <v>107</v>
      </c>
      <c r="J1849" t="s">
        <v>11</v>
      </c>
    </row>
    <row r="1850" spans="1:10" x14ac:dyDescent="0.25">
      <c r="A1850" t="s">
        <v>134</v>
      </c>
      <c r="B1850" t="s">
        <v>168</v>
      </c>
      <c r="C1850" s="12" t="s">
        <v>182</v>
      </c>
      <c r="D1850" t="s">
        <v>4</v>
      </c>
      <c r="E1850" t="s">
        <v>6</v>
      </c>
      <c r="F1850" t="s">
        <v>72</v>
      </c>
      <c r="G1850" t="s">
        <v>183</v>
      </c>
      <c r="H1850" s="94">
        <v>20</v>
      </c>
      <c r="I1850" t="s">
        <v>62</v>
      </c>
      <c r="J1850" t="s">
        <v>13</v>
      </c>
    </row>
    <row r="1851" spans="1:10" x14ac:dyDescent="0.25">
      <c r="A1851" t="s">
        <v>134</v>
      </c>
      <c r="B1851" t="s">
        <v>168</v>
      </c>
      <c r="C1851" s="12" t="s">
        <v>182</v>
      </c>
      <c r="D1851" t="s">
        <v>4</v>
      </c>
      <c r="E1851" t="s">
        <v>6</v>
      </c>
      <c r="F1851" t="s">
        <v>72</v>
      </c>
      <c r="G1851" t="s">
        <v>183</v>
      </c>
      <c r="H1851" s="94">
        <v>20</v>
      </c>
      <c r="I1851" t="s">
        <v>62</v>
      </c>
      <c r="J1851" t="s">
        <v>63</v>
      </c>
    </row>
    <row r="1852" spans="1:10" x14ac:dyDescent="0.25">
      <c r="A1852" t="s">
        <v>134</v>
      </c>
      <c r="B1852" t="s">
        <v>168</v>
      </c>
      <c r="C1852" s="12" t="s">
        <v>182</v>
      </c>
      <c r="D1852" t="s">
        <v>4</v>
      </c>
      <c r="E1852" t="s">
        <v>6</v>
      </c>
      <c r="F1852" t="s">
        <v>72</v>
      </c>
      <c r="G1852" t="s">
        <v>183</v>
      </c>
      <c r="H1852" s="94">
        <v>20</v>
      </c>
      <c r="I1852" t="s">
        <v>62</v>
      </c>
      <c r="J1852" t="s">
        <v>11</v>
      </c>
    </row>
    <row r="1853" spans="1:10" x14ac:dyDescent="0.25">
      <c r="A1853" t="s">
        <v>134</v>
      </c>
      <c r="B1853" t="s">
        <v>168</v>
      </c>
      <c r="C1853" s="12" t="s">
        <v>182</v>
      </c>
      <c r="D1853" t="s">
        <v>4</v>
      </c>
      <c r="E1853" t="s">
        <v>6</v>
      </c>
      <c r="F1853" t="s">
        <v>72</v>
      </c>
      <c r="G1853" t="s">
        <v>183</v>
      </c>
      <c r="H1853" s="94">
        <v>20</v>
      </c>
      <c r="I1853" t="s">
        <v>60</v>
      </c>
      <c r="J1853" t="s">
        <v>13</v>
      </c>
    </row>
    <row r="1854" spans="1:10" x14ac:dyDescent="0.25">
      <c r="A1854" t="s">
        <v>134</v>
      </c>
      <c r="B1854" t="s">
        <v>168</v>
      </c>
      <c r="C1854" s="12" t="s">
        <v>182</v>
      </c>
      <c r="D1854" t="s">
        <v>4</v>
      </c>
      <c r="E1854" t="s">
        <v>6</v>
      </c>
      <c r="F1854" t="s">
        <v>72</v>
      </c>
      <c r="G1854" t="s">
        <v>183</v>
      </c>
      <c r="H1854" s="94">
        <v>20</v>
      </c>
      <c r="I1854" t="s">
        <v>60</v>
      </c>
      <c r="J1854" t="s">
        <v>63</v>
      </c>
    </row>
    <row r="1855" spans="1:10" x14ac:dyDescent="0.25">
      <c r="A1855" t="s">
        <v>134</v>
      </c>
      <c r="B1855" t="s">
        <v>168</v>
      </c>
      <c r="C1855" s="12" t="s">
        <v>182</v>
      </c>
      <c r="D1855" t="s">
        <v>4</v>
      </c>
      <c r="E1855" t="s">
        <v>6</v>
      </c>
      <c r="F1855" t="s">
        <v>72</v>
      </c>
      <c r="G1855" t="s">
        <v>183</v>
      </c>
      <c r="H1855" s="94">
        <v>20</v>
      </c>
      <c r="I1855" t="s">
        <v>60</v>
      </c>
      <c r="J1855" t="s">
        <v>11</v>
      </c>
    </row>
    <row r="1856" spans="1:10" x14ac:dyDescent="0.25">
      <c r="A1856" t="s">
        <v>134</v>
      </c>
      <c r="B1856" t="s">
        <v>168</v>
      </c>
      <c r="C1856" s="12" t="s">
        <v>182</v>
      </c>
      <c r="D1856" t="s">
        <v>4</v>
      </c>
      <c r="E1856" t="s">
        <v>6</v>
      </c>
      <c r="F1856" t="s">
        <v>72</v>
      </c>
      <c r="G1856" t="s">
        <v>183</v>
      </c>
      <c r="H1856" s="94">
        <v>500</v>
      </c>
      <c r="I1856" t="s">
        <v>107</v>
      </c>
      <c r="J1856" t="s">
        <v>13</v>
      </c>
    </row>
    <row r="1857" spans="1:10" x14ac:dyDescent="0.25">
      <c r="A1857" t="s">
        <v>134</v>
      </c>
      <c r="B1857" t="s">
        <v>168</v>
      </c>
      <c r="C1857" s="12" t="s">
        <v>182</v>
      </c>
      <c r="D1857" t="s">
        <v>4</v>
      </c>
      <c r="E1857" t="s">
        <v>6</v>
      </c>
      <c r="F1857" t="s">
        <v>72</v>
      </c>
      <c r="G1857" t="s">
        <v>183</v>
      </c>
      <c r="H1857" s="94">
        <v>500</v>
      </c>
      <c r="I1857" t="s">
        <v>107</v>
      </c>
      <c r="J1857" t="s">
        <v>63</v>
      </c>
    </row>
    <row r="1858" spans="1:10" x14ac:dyDescent="0.25">
      <c r="A1858" t="s">
        <v>134</v>
      </c>
      <c r="B1858" t="s">
        <v>168</v>
      </c>
      <c r="C1858" s="12" t="s">
        <v>182</v>
      </c>
      <c r="D1858" t="s">
        <v>4</v>
      </c>
      <c r="E1858" t="s">
        <v>6</v>
      </c>
      <c r="F1858" t="s">
        <v>72</v>
      </c>
      <c r="G1858" t="s">
        <v>183</v>
      </c>
      <c r="H1858" s="94">
        <v>500</v>
      </c>
      <c r="I1858" t="s">
        <v>107</v>
      </c>
      <c r="J1858" t="s">
        <v>11</v>
      </c>
    </row>
    <row r="1859" spans="1:10" x14ac:dyDescent="0.25">
      <c r="A1859" t="s">
        <v>134</v>
      </c>
      <c r="B1859" t="s">
        <v>168</v>
      </c>
      <c r="C1859" s="12" t="s">
        <v>182</v>
      </c>
      <c r="D1859" t="s">
        <v>4</v>
      </c>
      <c r="E1859" t="s">
        <v>6</v>
      </c>
      <c r="F1859" t="s">
        <v>72</v>
      </c>
      <c r="G1859" t="s">
        <v>183</v>
      </c>
      <c r="H1859" s="94">
        <v>500</v>
      </c>
      <c r="I1859" t="s">
        <v>62</v>
      </c>
      <c r="J1859" t="s">
        <v>13</v>
      </c>
    </row>
    <row r="1860" spans="1:10" x14ac:dyDescent="0.25">
      <c r="A1860" t="s">
        <v>134</v>
      </c>
      <c r="B1860" t="s">
        <v>168</v>
      </c>
      <c r="C1860" s="12" t="s">
        <v>182</v>
      </c>
      <c r="D1860" t="s">
        <v>4</v>
      </c>
      <c r="E1860" t="s">
        <v>6</v>
      </c>
      <c r="F1860" t="s">
        <v>72</v>
      </c>
      <c r="G1860" t="s">
        <v>183</v>
      </c>
      <c r="H1860" s="94">
        <v>500</v>
      </c>
      <c r="I1860" t="s">
        <v>62</v>
      </c>
      <c r="J1860" t="s">
        <v>63</v>
      </c>
    </row>
    <row r="1861" spans="1:10" x14ac:dyDescent="0.25">
      <c r="A1861" t="s">
        <v>134</v>
      </c>
      <c r="B1861" t="s">
        <v>168</v>
      </c>
      <c r="C1861" s="12" t="s">
        <v>182</v>
      </c>
      <c r="D1861" t="s">
        <v>4</v>
      </c>
      <c r="E1861" t="s">
        <v>6</v>
      </c>
      <c r="F1861" t="s">
        <v>72</v>
      </c>
      <c r="G1861" t="s">
        <v>183</v>
      </c>
      <c r="H1861" s="94">
        <v>500</v>
      </c>
      <c r="I1861" t="s">
        <v>62</v>
      </c>
      <c r="J1861" t="s">
        <v>11</v>
      </c>
    </row>
    <row r="1862" spans="1:10" x14ac:dyDescent="0.25">
      <c r="A1862" t="s">
        <v>134</v>
      </c>
      <c r="B1862" t="s">
        <v>168</v>
      </c>
      <c r="C1862" s="12" t="s">
        <v>182</v>
      </c>
      <c r="D1862" t="s">
        <v>4</v>
      </c>
      <c r="E1862" t="s">
        <v>6</v>
      </c>
      <c r="F1862" t="s">
        <v>72</v>
      </c>
      <c r="G1862" t="s">
        <v>183</v>
      </c>
      <c r="H1862" s="94">
        <v>500</v>
      </c>
      <c r="I1862" t="s">
        <v>60</v>
      </c>
      <c r="J1862" t="s">
        <v>13</v>
      </c>
    </row>
    <row r="1863" spans="1:10" x14ac:dyDescent="0.25">
      <c r="A1863" t="s">
        <v>134</v>
      </c>
      <c r="B1863" t="s">
        <v>168</v>
      </c>
      <c r="C1863" s="12" t="s">
        <v>182</v>
      </c>
      <c r="D1863" t="s">
        <v>4</v>
      </c>
      <c r="E1863" t="s">
        <v>6</v>
      </c>
      <c r="F1863" t="s">
        <v>72</v>
      </c>
      <c r="G1863" t="s">
        <v>183</v>
      </c>
      <c r="H1863" s="94">
        <v>500</v>
      </c>
      <c r="I1863" t="s">
        <v>60</v>
      </c>
      <c r="J1863" t="s">
        <v>63</v>
      </c>
    </row>
    <row r="1864" spans="1:10" x14ac:dyDescent="0.25">
      <c r="A1864" t="s">
        <v>134</v>
      </c>
      <c r="B1864" t="s">
        <v>168</v>
      </c>
      <c r="C1864" s="12" t="s">
        <v>182</v>
      </c>
      <c r="D1864" t="s">
        <v>4</v>
      </c>
      <c r="E1864" t="s">
        <v>6</v>
      </c>
      <c r="F1864" t="s">
        <v>72</v>
      </c>
      <c r="G1864" t="s">
        <v>183</v>
      </c>
      <c r="H1864" s="94">
        <v>500</v>
      </c>
      <c r="I1864" t="s">
        <v>60</v>
      </c>
      <c r="J1864" t="s">
        <v>11</v>
      </c>
    </row>
    <row r="1865" spans="1:10" x14ac:dyDescent="0.25">
      <c r="A1865" t="s">
        <v>134</v>
      </c>
      <c r="B1865" t="s">
        <v>168</v>
      </c>
      <c r="C1865" s="12" t="s">
        <v>182</v>
      </c>
      <c r="D1865" t="s">
        <v>4</v>
      </c>
      <c r="E1865" t="s">
        <v>6</v>
      </c>
      <c r="F1865" t="s">
        <v>16</v>
      </c>
      <c r="G1865" t="s">
        <v>183</v>
      </c>
      <c r="H1865" s="94">
        <v>20</v>
      </c>
      <c r="I1865" t="s">
        <v>107</v>
      </c>
      <c r="J1865" t="s">
        <v>13</v>
      </c>
    </row>
    <row r="1866" spans="1:10" x14ac:dyDescent="0.25">
      <c r="A1866" t="s">
        <v>134</v>
      </c>
      <c r="B1866" t="s">
        <v>168</v>
      </c>
      <c r="C1866" s="12" t="s">
        <v>182</v>
      </c>
      <c r="D1866" t="s">
        <v>4</v>
      </c>
      <c r="E1866" t="s">
        <v>6</v>
      </c>
      <c r="F1866" t="s">
        <v>16</v>
      </c>
      <c r="G1866" t="s">
        <v>183</v>
      </c>
      <c r="H1866" s="94">
        <v>20</v>
      </c>
      <c r="I1866" t="s">
        <v>107</v>
      </c>
      <c r="J1866" t="s">
        <v>63</v>
      </c>
    </row>
    <row r="1867" spans="1:10" x14ac:dyDescent="0.25">
      <c r="A1867" t="s">
        <v>134</v>
      </c>
      <c r="B1867" t="s">
        <v>168</v>
      </c>
      <c r="C1867" s="12" t="s">
        <v>182</v>
      </c>
      <c r="D1867" t="s">
        <v>4</v>
      </c>
      <c r="E1867" t="s">
        <v>6</v>
      </c>
      <c r="F1867" t="s">
        <v>16</v>
      </c>
      <c r="G1867" t="s">
        <v>183</v>
      </c>
      <c r="H1867" s="94">
        <v>20</v>
      </c>
      <c r="I1867" t="s">
        <v>107</v>
      </c>
      <c r="J1867" t="s">
        <v>11</v>
      </c>
    </row>
    <row r="1868" spans="1:10" x14ac:dyDescent="0.25">
      <c r="A1868" t="s">
        <v>134</v>
      </c>
      <c r="B1868" t="s">
        <v>168</v>
      </c>
      <c r="C1868" s="12" t="s">
        <v>182</v>
      </c>
      <c r="D1868" t="s">
        <v>4</v>
      </c>
      <c r="E1868" t="s">
        <v>6</v>
      </c>
      <c r="F1868" t="s">
        <v>16</v>
      </c>
      <c r="G1868" t="s">
        <v>183</v>
      </c>
      <c r="H1868" s="94">
        <v>20</v>
      </c>
      <c r="I1868" t="s">
        <v>62</v>
      </c>
      <c r="J1868" t="s">
        <v>13</v>
      </c>
    </row>
    <row r="1869" spans="1:10" x14ac:dyDescent="0.25">
      <c r="A1869" t="s">
        <v>134</v>
      </c>
      <c r="B1869" t="s">
        <v>168</v>
      </c>
      <c r="C1869" s="12" t="s">
        <v>182</v>
      </c>
      <c r="D1869" t="s">
        <v>4</v>
      </c>
      <c r="E1869" t="s">
        <v>6</v>
      </c>
      <c r="F1869" t="s">
        <v>16</v>
      </c>
      <c r="G1869" t="s">
        <v>183</v>
      </c>
      <c r="H1869" s="94">
        <v>20</v>
      </c>
      <c r="I1869" t="s">
        <v>62</v>
      </c>
      <c r="J1869" t="s">
        <v>63</v>
      </c>
    </row>
    <row r="1870" spans="1:10" x14ac:dyDescent="0.25">
      <c r="A1870" t="s">
        <v>134</v>
      </c>
      <c r="B1870" t="s">
        <v>168</v>
      </c>
      <c r="C1870" s="12" t="s">
        <v>182</v>
      </c>
      <c r="D1870" t="s">
        <v>4</v>
      </c>
      <c r="E1870" t="s">
        <v>6</v>
      </c>
      <c r="F1870" t="s">
        <v>16</v>
      </c>
      <c r="G1870" t="s">
        <v>183</v>
      </c>
      <c r="H1870" s="94">
        <v>20</v>
      </c>
      <c r="I1870" t="s">
        <v>62</v>
      </c>
      <c r="J1870" t="s">
        <v>11</v>
      </c>
    </row>
    <row r="1871" spans="1:10" x14ac:dyDescent="0.25">
      <c r="A1871" t="s">
        <v>134</v>
      </c>
      <c r="B1871" t="s">
        <v>168</v>
      </c>
      <c r="C1871" s="12" t="s">
        <v>182</v>
      </c>
      <c r="D1871" t="s">
        <v>4</v>
      </c>
      <c r="E1871" t="s">
        <v>6</v>
      </c>
      <c r="F1871" t="s">
        <v>16</v>
      </c>
      <c r="G1871" t="s">
        <v>183</v>
      </c>
      <c r="H1871" s="94">
        <v>20</v>
      </c>
      <c r="I1871" t="s">
        <v>60</v>
      </c>
      <c r="J1871" t="s">
        <v>13</v>
      </c>
    </row>
    <row r="1872" spans="1:10" x14ac:dyDescent="0.25">
      <c r="A1872" t="s">
        <v>134</v>
      </c>
      <c r="B1872" t="s">
        <v>168</v>
      </c>
      <c r="C1872" s="12" t="s">
        <v>182</v>
      </c>
      <c r="D1872" t="s">
        <v>4</v>
      </c>
      <c r="E1872" t="s">
        <v>6</v>
      </c>
      <c r="F1872" t="s">
        <v>16</v>
      </c>
      <c r="G1872" t="s">
        <v>183</v>
      </c>
      <c r="H1872" s="94">
        <v>20</v>
      </c>
      <c r="I1872" t="s">
        <v>60</v>
      </c>
      <c r="J1872" t="s">
        <v>63</v>
      </c>
    </row>
    <row r="1873" spans="1:10" x14ac:dyDescent="0.25">
      <c r="A1873" t="s">
        <v>134</v>
      </c>
      <c r="B1873" t="s">
        <v>168</v>
      </c>
      <c r="C1873" s="12" t="s">
        <v>182</v>
      </c>
      <c r="D1873" t="s">
        <v>4</v>
      </c>
      <c r="E1873" t="s">
        <v>6</v>
      </c>
      <c r="F1873" t="s">
        <v>16</v>
      </c>
      <c r="G1873" t="s">
        <v>183</v>
      </c>
      <c r="H1873" s="94">
        <v>20</v>
      </c>
      <c r="I1873" t="s">
        <v>60</v>
      </c>
      <c r="J1873" t="s">
        <v>11</v>
      </c>
    </row>
    <row r="1874" spans="1:10" x14ac:dyDescent="0.25">
      <c r="A1874" t="s">
        <v>134</v>
      </c>
      <c r="B1874" t="s">
        <v>168</v>
      </c>
      <c r="C1874" s="12" t="s">
        <v>182</v>
      </c>
      <c r="D1874" t="s">
        <v>4</v>
      </c>
      <c r="E1874" t="s">
        <v>6</v>
      </c>
      <c r="F1874" t="s">
        <v>16</v>
      </c>
      <c r="G1874" t="s">
        <v>183</v>
      </c>
      <c r="H1874" s="94">
        <v>500</v>
      </c>
      <c r="I1874" t="s">
        <v>107</v>
      </c>
      <c r="J1874" t="s">
        <v>13</v>
      </c>
    </row>
    <row r="1875" spans="1:10" x14ac:dyDescent="0.25">
      <c r="A1875" t="s">
        <v>134</v>
      </c>
      <c r="B1875" t="s">
        <v>168</v>
      </c>
      <c r="C1875" s="12" t="s">
        <v>182</v>
      </c>
      <c r="D1875" t="s">
        <v>4</v>
      </c>
      <c r="E1875" t="s">
        <v>6</v>
      </c>
      <c r="F1875" t="s">
        <v>16</v>
      </c>
      <c r="G1875" t="s">
        <v>183</v>
      </c>
      <c r="H1875" s="94">
        <v>500</v>
      </c>
      <c r="I1875" t="s">
        <v>107</v>
      </c>
      <c r="J1875" t="s">
        <v>63</v>
      </c>
    </row>
    <row r="1876" spans="1:10" x14ac:dyDescent="0.25">
      <c r="A1876" t="s">
        <v>134</v>
      </c>
      <c r="B1876" t="s">
        <v>168</v>
      </c>
      <c r="C1876" s="12" t="s">
        <v>182</v>
      </c>
      <c r="D1876" t="s">
        <v>4</v>
      </c>
      <c r="E1876" t="s">
        <v>6</v>
      </c>
      <c r="F1876" t="s">
        <v>16</v>
      </c>
      <c r="G1876" t="s">
        <v>183</v>
      </c>
      <c r="H1876" s="94">
        <v>500</v>
      </c>
      <c r="I1876" t="s">
        <v>107</v>
      </c>
      <c r="J1876" t="s">
        <v>11</v>
      </c>
    </row>
    <row r="1877" spans="1:10" x14ac:dyDescent="0.25">
      <c r="A1877" t="s">
        <v>134</v>
      </c>
      <c r="B1877" t="s">
        <v>168</v>
      </c>
      <c r="C1877" s="12" t="s">
        <v>182</v>
      </c>
      <c r="D1877" t="s">
        <v>4</v>
      </c>
      <c r="E1877" t="s">
        <v>6</v>
      </c>
      <c r="F1877" t="s">
        <v>16</v>
      </c>
      <c r="G1877" t="s">
        <v>183</v>
      </c>
      <c r="H1877" s="94">
        <v>500</v>
      </c>
      <c r="I1877" t="s">
        <v>62</v>
      </c>
      <c r="J1877" t="s">
        <v>13</v>
      </c>
    </row>
    <row r="1878" spans="1:10" x14ac:dyDescent="0.25">
      <c r="A1878" t="s">
        <v>134</v>
      </c>
      <c r="B1878" t="s">
        <v>168</v>
      </c>
      <c r="C1878" s="12" t="s">
        <v>182</v>
      </c>
      <c r="D1878" t="s">
        <v>4</v>
      </c>
      <c r="E1878" t="s">
        <v>6</v>
      </c>
      <c r="F1878" t="s">
        <v>16</v>
      </c>
      <c r="G1878" t="s">
        <v>183</v>
      </c>
      <c r="H1878" s="94">
        <v>500</v>
      </c>
      <c r="I1878" t="s">
        <v>62</v>
      </c>
      <c r="J1878" t="s">
        <v>63</v>
      </c>
    </row>
    <row r="1879" spans="1:10" x14ac:dyDescent="0.25">
      <c r="A1879" t="s">
        <v>134</v>
      </c>
      <c r="B1879" t="s">
        <v>168</v>
      </c>
      <c r="C1879" s="12" t="s">
        <v>182</v>
      </c>
      <c r="D1879" t="s">
        <v>4</v>
      </c>
      <c r="E1879" t="s">
        <v>6</v>
      </c>
      <c r="F1879" t="s">
        <v>16</v>
      </c>
      <c r="G1879" t="s">
        <v>183</v>
      </c>
      <c r="H1879" s="94">
        <v>500</v>
      </c>
      <c r="I1879" t="s">
        <v>62</v>
      </c>
      <c r="J1879" t="s">
        <v>11</v>
      </c>
    </row>
    <row r="1880" spans="1:10" x14ac:dyDescent="0.25">
      <c r="A1880" t="s">
        <v>134</v>
      </c>
      <c r="B1880" t="s">
        <v>168</v>
      </c>
      <c r="C1880" s="12" t="s">
        <v>182</v>
      </c>
      <c r="D1880" t="s">
        <v>4</v>
      </c>
      <c r="E1880" t="s">
        <v>6</v>
      </c>
      <c r="F1880" t="s">
        <v>16</v>
      </c>
      <c r="G1880" t="s">
        <v>183</v>
      </c>
      <c r="H1880" s="94">
        <v>500</v>
      </c>
      <c r="I1880" t="s">
        <v>60</v>
      </c>
      <c r="J1880" t="s">
        <v>13</v>
      </c>
    </row>
    <row r="1881" spans="1:10" x14ac:dyDescent="0.25">
      <c r="A1881" t="s">
        <v>134</v>
      </c>
      <c r="B1881" t="s">
        <v>168</v>
      </c>
      <c r="C1881" s="12" t="s">
        <v>182</v>
      </c>
      <c r="D1881" t="s">
        <v>4</v>
      </c>
      <c r="E1881" t="s">
        <v>6</v>
      </c>
      <c r="F1881" t="s">
        <v>16</v>
      </c>
      <c r="G1881" t="s">
        <v>183</v>
      </c>
      <c r="H1881" s="94">
        <v>500</v>
      </c>
      <c r="I1881" t="s">
        <v>60</v>
      </c>
      <c r="J1881" t="s">
        <v>63</v>
      </c>
    </row>
    <row r="1882" spans="1:10" x14ac:dyDescent="0.25">
      <c r="A1882" t="s">
        <v>134</v>
      </c>
      <c r="B1882" t="s">
        <v>168</v>
      </c>
      <c r="C1882" s="12" t="s">
        <v>182</v>
      </c>
      <c r="D1882" t="s">
        <v>4</v>
      </c>
      <c r="E1882" t="s">
        <v>6</v>
      </c>
      <c r="F1882" t="s">
        <v>16</v>
      </c>
      <c r="G1882" t="s">
        <v>183</v>
      </c>
      <c r="H1882" s="94">
        <v>500</v>
      </c>
      <c r="I1882" t="s">
        <v>60</v>
      </c>
      <c r="J1882" t="s">
        <v>11</v>
      </c>
    </row>
    <row r="1883" spans="1:10" x14ac:dyDescent="0.25">
      <c r="A1883" t="s">
        <v>134</v>
      </c>
      <c r="B1883" t="s">
        <v>168</v>
      </c>
      <c r="C1883" s="12" t="s">
        <v>182</v>
      </c>
      <c r="D1883" t="s">
        <v>4</v>
      </c>
      <c r="E1883" t="s">
        <v>6</v>
      </c>
      <c r="F1883" t="s">
        <v>8</v>
      </c>
      <c r="G1883" t="s">
        <v>183</v>
      </c>
      <c r="H1883" s="94">
        <v>20</v>
      </c>
      <c r="I1883" t="s">
        <v>107</v>
      </c>
      <c r="J1883" t="s">
        <v>13</v>
      </c>
    </row>
    <row r="1884" spans="1:10" x14ac:dyDescent="0.25">
      <c r="A1884" t="s">
        <v>134</v>
      </c>
      <c r="B1884" t="s">
        <v>168</v>
      </c>
      <c r="C1884" s="12" t="s">
        <v>182</v>
      </c>
      <c r="D1884" t="s">
        <v>4</v>
      </c>
      <c r="E1884" t="s">
        <v>6</v>
      </c>
      <c r="F1884" t="s">
        <v>8</v>
      </c>
      <c r="G1884" t="s">
        <v>183</v>
      </c>
      <c r="H1884" s="94">
        <v>20</v>
      </c>
      <c r="I1884" t="s">
        <v>107</v>
      </c>
      <c r="J1884" t="s">
        <v>63</v>
      </c>
    </row>
    <row r="1885" spans="1:10" x14ac:dyDescent="0.25">
      <c r="A1885" t="s">
        <v>134</v>
      </c>
      <c r="B1885" t="s">
        <v>168</v>
      </c>
      <c r="C1885" s="12" t="s">
        <v>182</v>
      </c>
      <c r="D1885" t="s">
        <v>4</v>
      </c>
      <c r="E1885" t="s">
        <v>6</v>
      </c>
      <c r="F1885" t="s">
        <v>8</v>
      </c>
      <c r="G1885" t="s">
        <v>183</v>
      </c>
      <c r="H1885" s="94">
        <v>20</v>
      </c>
      <c r="I1885" t="s">
        <v>107</v>
      </c>
      <c r="J1885" t="s">
        <v>11</v>
      </c>
    </row>
    <row r="1886" spans="1:10" x14ac:dyDescent="0.25">
      <c r="A1886" t="s">
        <v>134</v>
      </c>
      <c r="B1886" t="s">
        <v>168</v>
      </c>
      <c r="C1886" s="12" t="s">
        <v>182</v>
      </c>
      <c r="D1886" t="s">
        <v>4</v>
      </c>
      <c r="E1886" t="s">
        <v>6</v>
      </c>
      <c r="F1886" t="s">
        <v>8</v>
      </c>
      <c r="G1886" t="s">
        <v>183</v>
      </c>
      <c r="H1886" s="94">
        <v>20</v>
      </c>
      <c r="I1886" t="s">
        <v>62</v>
      </c>
      <c r="J1886" t="s">
        <v>13</v>
      </c>
    </row>
    <row r="1887" spans="1:10" x14ac:dyDescent="0.25">
      <c r="A1887" t="s">
        <v>134</v>
      </c>
      <c r="B1887" t="s">
        <v>168</v>
      </c>
      <c r="C1887" s="12" t="s">
        <v>182</v>
      </c>
      <c r="D1887" t="s">
        <v>4</v>
      </c>
      <c r="E1887" t="s">
        <v>6</v>
      </c>
      <c r="F1887" t="s">
        <v>8</v>
      </c>
      <c r="G1887" t="s">
        <v>183</v>
      </c>
      <c r="H1887" s="94">
        <v>20</v>
      </c>
      <c r="I1887" t="s">
        <v>62</v>
      </c>
      <c r="J1887" t="s">
        <v>63</v>
      </c>
    </row>
    <row r="1888" spans="1:10" x14ac:dyDescent="0.25">
      <c r="A1888" t="s">
        <v>134</v>
      </c>
      <c r="B1888" t="s">
        <v>168</v>
      </c>
      <c r="C1888" s="12" t="s">
        <v>182</v>
      </c>
      <c r="D1888" t="s">
        <v>4</v>
      </c>
      <c r="E1888" t="s">
        <v>6</v>
      </c>
      <c r="F1888" t="s">
        <v>8</v>
      </c>
      <c r="G1888" t="s">
        <v>183</v>
      </c>
      <c r="H1888" s="94">
        <v>20</v>
      </c>
      <c r="I1888" t="s">
        <v>62</v>
      </c>
      <c r="J1888" t="s">
        <v>11</v>
      </c>
    </row>
    <row r="1889" spans="1:10" x14ac:dyDescent="0.25">
      <c r="A1889" t="s">
        <v>134</v>
      </c>
      <c r="B1889" t="s">
        <v>168</v>
      </c>
      <c r="C1889" s="12" t="s">
        <v>182</v>
      </c>
      <c r="D1889" t="s">
        <v>4</v>
      </c>
      <c r="E1889" t="s">
        <v>6</v>
      </c>
      <c r="F1889" t="s">
        <v>8</v>
      </c>
      <c r="G1889" t="s">
        <v>183</v>
      </c>
      <c r="H1889" s="94">
        <v>20</v>
      </c>
      <c r="I1889" t="s">
        <v>60</v>
      </c>
      <c r="J1889" t="s">
        <v>13</v>
      </c>
    </row>
    <row r="1890" spans="1:10" x14ac:dyDescent="0.25">
      <c r="A1890" t="s">
        <v>134</v>
      </c>
      <c r="B1890" t="s">
        <v>168</v>
      </c>
      <c r="C1890" s="12" t="s">
        <v>182</v>
      </c>
      <c r="D1890" t="s">
        <v>4</v>
      </c>
      <c r="E1890" t="s">
        <v>6</v>
      </c>
      <c r="F1890" t="s">
        <v>8</v>
      </c>
      <c r="G1890" t="s">
        <v>183</v>
      </c>
      <c r="H1890" s="94">
        <v>20</v>
      </c>
      <c r="I1890" t="s">
        <v>60</v>
      </c>
      <c r="J1890" t="s">
        <v>63</v>
      </c>
    </row>
    <row r="1891" spans="1:10" x14ac:dyDescent="0.25">
      <c r="A1891" t="s">
        <v>134</v>
      </c>
      <c r="B1891" t="s">
        <v>168</v>
      </c>
      <c r="C1891" s="12" t="s">
        <v>182</v>
      </c>
      <c r="D1891" t="s">
        <v>4</v>
      </c>
      <c r="E1891" t="s">
        <v>6</v>
      </c>
      <c r="F1891" t="s">
        <v>8</v>
      </c>
      <c r="G1891" t="s">
        <v>183</v>
      </c>
      <c r="H1891" s="94">
        <v>20</v>
      </c>
      <c r="I1891" t="s">
        <v>60</v>
      </c>
      <c r="J1891" t="s">
        <v>11</v>
      </c>
    </row>
    <row r="1892" spans="1:10" x14ac:dyDescent="0.25">
      <c r="A1892" t="s">
        <v>134</v>
      </c>
      <c r="B1892" t="s">
        <v>168</v>
      </c>
      <c r="C1892" s="12" t="s">
        <v>182</v>
      </c>
      <c r="D1892" t="s">
        <v>4</v>
      </c>
      <c r="E1892" t="s">
        <v>6</v>
      </c>
      <c r="F1892" t="s">
        <v>8</v>
      </c>
      <c r="G1892" t="s">
        <v>183</v>
      </c>
      <c r="H1892" s="94">
        <v>500</v>
      </c>
      <c r="I1892" t="s">
        <v>107</v>
      </c>
      <c r="J1892" t="s">
        <v>13</v>
      </c>
    </row>
    <row r="1893" spans="1:10" x14ac:dyDescent="0.25">
      <c r="A1893" t="s">
        <v>134</v>
      </c>
      <c r="B1893" t="s">
        <v>168</v>
      </c>
      <c r="C1893" s="12" t="s">
        <v>182</v>
      </c>
      <c r="D1893" t="s">
        <v>4</v>
      </c>
      <c r="E1893" t="s">
        <v>6</v>
      </c>
      <c r="F1893" t="s">
        <v>8</v>
      </c>
      <c r="G1893" t="s">
        <v>183</v>
      </c>
      <c r="H1893" s="94">
        <v>500</v>
      </c>
      <c r="I1893" t="s">
        <v>107</v>
      </c>
      <c r="J1893" t="s">
        <v>63</v>
      </c>
    </row>
    <row r="1894" spans="1:10" x14ac:dyDescent="0.25">
      <c r="A1894" t="s">
        <v>134</v>
      </c>
      <c r="B1894" t="s">
        <v>168</v>
      </c>
      <c r="C1894" s="12" t="s">
        <v>182</v>
      </c>
      <c r="D1894" t="s">
        <v>4</v>
      </c>
      <c r="E1894" t="s">
        <v>6</v>
      </c>
      <c r="F1894" t="s">
        <v>8</v>
      </c>
      <c r="G1894" t="s">
        <v>183</v>
      </c>
      <c r="H1894" s="94">
        <v>500</v>
      </c>
      <c r="I1894" t="s">
        <v>107</v>
      </c>
      <c r="J1894" t="s">
        <v>11</v>
      </c>
    </row>
    <row r="1895" spans="1:10" x14ac:dyDescent="0.25">
      <c r="A1895" t="s">
        <v>134</v>
      </c>
      <c r="B1895" t="s">
        <v>168</v>
      </c>
      <c r="C1895" s="12" t="s">
        <v>182</v>
      </c>
      <c r="D1895" t="s">
        <v>4</v>
      </c>
      <c r="E1895" t="s">
        <v>6</v>
      </c>
      <c r="F1895" t="s">
        <v>8</v>
      </c>
      <c r="G1895" t="s">
        <v>183</v>
      </c>
      <c r="H1895" s="94">
        <v>500</v>
      </c>
      <c r="I1895" t="s">
        <v>62</v>
      </c>
      <c r="J1895" t="s">
        <v>13</v>
      </c>
    </row>
    <row r="1896" spans="1:10" x14ac:dyDescent="0.25">
      <c r="A1896" t="s">
        <v>134</v>
      </c>
      <c r="B1896" t="s">
        <v>168</v>
      </c>
      <c r="C1896" s="12" t="s">
        <v>182</v>
      </c>
      <c r="D1896" t="s">
        <v>4</v>
      </c>
      <c r="E1896" t="s">
        <v>6</v>
      </c>
      <c r="F1896" t="s">
        <v>8</v>
      </c>
      <c r="G1896" t="s">
        <v>183</v>
      </c>
      <c r="H1896" s="94">
        <v>500</v>
      </c>
      <c r="I1896" t="s">
        <v>62</v>
      </c>
      <c r="J1896" t="s">
        <v>63</v>
      </c>
    </row>
    <row r="1897" spans="1:10" x14ac:dyDescent="0.25">
      <c r="A1897" t="s">
        <v>134</v>
      </c>
      <c r="B1897" t="s">
        <v>168</v>
      </c>
      <c r="C1897" s="12" t="s">
        <v>182</v>
      </c>
      <c r="D1897" t="s">
        <v>4</v>
      </c>
      <c r="E1897" t="s">
        <v>6</v>
      </c>
      <c r="F1897" t="s">
        <v>8</v>
      </c>
      <c r="G1897" t="s">
        <v>183</v>
      </c>
      <c r="H1897" s="94">
        <v>500</v>
      </c>
      <c r="I1897" t="s">
        <v>62</v>
      </c>
      <c r="J1897" t="s">
        <v>11</v>
      </c>
    </row>
    <row r="1898" spans="1:10" x14ac:dyDescent="0.25">
      <c r="A1898" t="s">
        <v>134</v>
      </c>
      <c r="B1898" t="s">
        <v>168</v>
      </c>
      <c r="C1898" s="12" t="s">
        <v>182</v>
      </c>
      <c r="D1898" t="s">
        <v>4</v>
      </c>
      <c r="E1898" t="s">
        <v>6</v>
      </c>
      <c r="F1898" t="s">
        <v>8</v>
      </c>
      <c r="G1898" t="s">
        <v>183</v>
      </c>
      <c r="H1898" s="94">
        <v>500</v>
      </c>
      <c r="I1898" t="s">
        <v>60</v>
      </c>
      <c r="J1898" t="s">
        <v>13</v>
      </c>
    </row>
    <row r="1899" spans="1:10" x14ac:dyDescent="0.25">
      <c r="A1899" t="s">
        <v>134</v>
      </c>
      <c r="B1899" t="s">
        <v>168</v>
      </c>
      <c r="C1899" s="12" t="s">
        <v>182</v>
      </c>
      <c r="D1899" t="s">
        <v>4</v>
      </c>
      <c r="E1899" t="s">
        <v>6</v>
      </c>
      <c r="F1899" t="s">
        <v>8</v>
      </c>
      <c r="G1899" t="s">
        <v>183</v>
      </c>
      <c r="H1899" s="94">
        <v>500</v>
      </c>
      <c r="I1899" t="s">
        <v>60</v>
      </c>
      <c r="J1899" t="s">
        <v>63</v>
      </c>
    </row>
    <row r="1900" spans="1:10" x14ac:dyDescent="0.25">
      <c r="A1900" t="s">
        <v>134</v>
      </c>
      <c r="B1900" t="s">
        <v>168</v>
      </c>
      <c r="C1900" s="12" t="s">
        <v>182</v>
      </c>
      <c r="D1900" t="s">
        <v>4</v>
      </c>
      <c r="E1900" t="s">
        <v>6</v>
      </c>
      <c r="F1900" t="s">
        <v>8</v>
      </c>
      <c r="G1900" t="s">
        <v>183</v>
      </c>
      <c r="H1900" s="94">
        <v>500</v>
      </c>
      <c r="I1900" t="s">
        <v>60</v>
      </c>
      <c r="J1900" t="s">
        <v>11</v>
      </c>
    </row>
    <row r="1901" spans="1:10" x14ac:dyDescent="0.25">
      <c r="A1901" t="s">
        <v>134</v>
      </c>
      <c r="B1901" t="s">
        <v>168</v>
      </c>
      <c r="C1901" s="12" t="s">
        <v>182</v>
      </c>
      <c r="D1901" t="s">
        <v>4</v>
      </c>
      <c r="E1901" t="s">
        <v>12</v>
      </c>
      <c r="F1901" t="s">
        <v>72</v>
      </c>
      <c r="G1901" t="s">
        <v>184</v>
      </c>
      <c r="H1901" s="94">
        <v>1</v>
      </c>
      <c r="I1901" t="s">
        <v>107</v>
      </c>
      <c r="J1901" t="s">
        <v>13</v>
      </c>
    </row>
    <row r="1902" spans="1:10" x14ac:dyDescent="0.25">
      <c r="A1902" t="s">
        <v>134</v>
      </c>
      <c r="B1902" t="s">
        <v>168</v>
      </c>
      <c r="C1902" s="12" t="s">
        <v>182</v>
      </c>
      <c r="D1902" t="s">
        <v>4</v>
      </c>
      <c r="E1902" t="s">
        <v>12</v>
      </c>
      <c r="F1902" t="s">
        <v>72</v>
      </c>
      <c r="G1902" t="s">
        <v>184</v>
      </c>
      <c r="H1902" s="94">
        <v>1</v>
      </c>
      <c r="I1902" t="s">
        <v>107</v>
      </c>
      <c r="J1902" t="s">
        <v>63</v>
      </c>
    </row>
    <row r="1903" spans="1:10" x14ac:dyDescent="0.25">
      <c r="A1903" t="s">
        <v>134</v>
      </c>
      <c r="B1903" t="s">
        <v>168</v>
      </c>
      <c r="C1903" s="12" t="s">
        <v>182</v>
      </c>
      <c r="D1903" t="s">
        <v>4</v>
      </c>
      <c r="E1903" t="s">
        <v>12</v>
      </c>
      <c r="F1903" t="s">
        <v>72</v>
      </c>
      <c r="G1903" t="s">
        <v>184</v>
      </c>
      <c r="H1903" s="94">
        <v>1</v>
      </c>
      <c r="I1903" t="s">
        <v>107</v>
      </c>
      <c r="J1903" t="s">
        <v>11</v>
      </c>
    </row>
    <row r="1904" spans="1:10" x14ac:dyDescent="0.25">
      <c r="A1904" t="s">
        <v>134</v>
      </c>
      <c r="B1904" t="s">
        <v>168</v>
      </c>
      <c r="C1904" s="12" t="s">
        <v>182</v>
      </c>
      <c r="D1904" t="s">
        <v>4</v>
      </c>
      <c r="E1904" t="s">
        <v>12</v>
      </c>
      <c r="F1904" t="s">
        <v>72</v>
      </c>
      <c r="G1904" t="s">
        <v>184</v>
      </c>
      <c r="H1904" s="94">
        <v>1</v>
      </c>
      <c r="I1904" t="s">
        <v>62</v>
      </c>
      <c r="J1904" t="s">
        <v>13</v>
      </c>
    </row>
    <row r="1905" spans="1:10" x14ac:dyDescent="0.25">
      <c r="A1905" t="s">
        <v>134</v>
      </c>
      <c r="B1905" t="s">
        <v>168</v>
      </c>
      <c r="C1905" s="12" t="s">
        <v>182</v>
      </c>
      <c r="D1905" t="s">
        <v>4</v>
      </c>
      <c r="E1905" t="s">
        <v>12</v>
      </c>
      <c r="F1905" t="s">
        <v>72</v>
      </c>
      <c r="G1905" t="s">
        <v>184</v>
      </c>
      <c r="H1905" s="94">
        <v>1</v>
      </c>
      <c r="I1905" t="s">
        <v>62</v>
      </c>
      <c r="J1905" t="s">
        <v>63</v>
      </c>
    </row>
    <row r="1906" spans="1:10" x14ac:dyDescent="0.25">
      <c r="A1906" t="s">
        <v>134</v>
      </c>
      <c r="B1906" t="s">
        <v>168</v>
      </c>
      <c r="C1906" s="12" t="s">
        <v>182</v>
      </c>
      <c r="D1906" t="s">
        <v>4</v>
      </c>
      <c r="E1906" t="s">
        <v>12</v>
      </c>
      <c r="F1906" t="s">
        <v>72</v>
      </c>
      <c r="G1906" t="s">
        <v>184</v>
      </c>
      <c r="H1906" s="94">
        <v>1</v>
      </c>
      <c r="I1906" t="s">
        <v>62</v>
      </c>
      <c r="J1906" t="s">
        <v>11</v>
      </c>
    </row>
    <row r="1907" spans="1:10" x14ac:dyDescent="0.25">
      <c r="A1907" t="s">
        <v>134</v>
      </c>
      <c r="B1907" t="s">
        <v>168</v>
      </c>
      <c r="C1907" s="12" t="s">
        <v>182</v>
      </c>
      <c r="D1907" t="s">
        <v>4</v>
      </c>
      <c r="E1907" t="s">
        <v>12</v>
      </c>
      <c r="F1907" t="s">
        <v>72</v>
      </c>
      <c r="G1907" t="s">
        <v>184</v>
      </c>
      <c r="H1907" s="94">
        <v>1</v>
      </c>
      <c r="I1907" t="s">
        <v>60</v>
      </c>
      <c r="J1907" t="s">
        <v>13</v>
      </c>
    </row>
    <row r="1908" spans="1:10" x14ac:dyDescent="0.25">
      <c r="A1908" t="s">
        <v>134</v>
      </c>
      <c r="B1908" t="s">
        <v>168</v>
      </c>
      <c r="C1908" s="12" t="s">
        <v>182</v>
      </c>
      <c r="D1908" t="s">
        <v>4</v>
      </c>
      <c r="E1908" t="s">
        <v>12</v>
      </c>
      <c r="F1908" t="s">
        <v>72</v>
      </c>
      <c r="G1908" t="s">
        <v>184</v>
      </c>
      <c r="H1908" s="94">
        <v>1</v>
      </c>
      <c r="I1908" t="s">
        <v>60</v>
      </c>
      <c r="J1908" t="s">
        <v>63</v>
      </c>
    </row>
    <row r="1909" spans="1:10" x14ac:dyDescent="0.25">
      <c r="A1909" t="s">
        <v>134</v>
      </c>
      <c r="B1909" t="s">
        <v>168</v>
      </c>
      <c r="C1909" s="12" t="s">
        <v>182</v>
      </c>
      <c r="D1909" t="s">
        <v>4</v>
      </c>
      <c r="E1909" t="s">
        <v>12</v>
      </c>
      <c r="F1909" t="s">
        <v>72</v>
      </c>
      <c r="G1909" t="s">
        <v>184</v>
      </c>
      <c r="H1909" s="94">
        <v>1</v>
      </c>
      <c r="I1909" t="s">
        <v>60</v>
      </c>
      <c r="J1909" t="s">
        <v>11</v>
      </c>
    </row>
    <row r="1910" spans="1:10" x14ac:dyDescent="0.25">
      <c r="A1910" t="s">
        <v>134</v>
      </c>
      <c r="B1910" t="s">
        <v>168</v>
      </c>
      <c r="C1910" s="12" t="s">
        <v>182</v>
      </c>
      <c r="D1910" t="s">
        <v>4</v>
      </c>
      <c r="E1910" t="s">
        <v>12</v>
      </c>
      <c r="F1910" t="s">
        <v>72</v>
      </c>
      <c r="G1910" t="s">
        <v>184</v>
      </c>
      <c r="H1910" s="94">
        <v>0.9</v>
      </c>
      <c r="I1910" t="s">
        <v>107</v>
      </c>
      <c r="J1910" t="s">
        <v>13</v>
      </c>
    </row>
    <row r="1911" spans="1:10" x14ac:dyDescent="0.25">
      <c r="A1911" t="s">
        <v>134</v>
      </c>
      <c r="B1911" t="s">
        <v>168</v>
      </c>
      <c r="C1911" s="12" t="s">
        <v>182</v>
      </c>
      <c r="D1911" t="s">
        <v>4</v>
      </c>
      <c r="E1911" t="s">
        <v>12</v>
      </c>
      <c r="F1911" t="s">
        <v>72</v>
      </c>
      <c r="G1911" t="s">
        <v>184</v>
      </c>
      <c r="H1911" s="94">
        <v>0.9</v>
      </c>
      <c r="I1911" t="s">
        <v>107</v>
      </c>
      <c r="J1911" t="s">
        <v>63</v>
      </c>
    </row>
    <row r="1912" spans="1:10" x14ac:dyDescent="0.25">
      <c r="A1912" t="s">
        <v>134</v>
      </c>
      <c r="B1912" t="s">
        <v>168</v>
      </c>
      <c r="C1912" s="12" t="s">
        <v>182</v>
      </c>
      <c r="D1912" t="s">
        <v>4</v>
      </c>
      <c r="E1912" t="s">
        <v>12</v>
      </c>
      <c r="F1912" t="s">
        <v>72</v>
      </c>
      <c r="G1912" t="s">
        <v>184</v>
      </c>
      <c r="H1912" s="94">
        <v>0.9</v>
      </c>
      <c r="I1912" t="s">
        <v>107</v>
      </c>
      <c r="J1912" t="s">
        <v>11</v>
      </c>
    </row>
    <row r="1913" spans="1:10" x14ac:dyDescent="0.25">
      <c r="A1913" t="s">
        <v>134</v>
      </c>
      <c r="B1913" t="s">
        <v>168</v>
      </c>
      <c r="C1913" s="12" t="s">
        <v>182</v>
      </c>
      <c r="D1913" t="s">
        <v>4</v>
      </c>
      <c r="E1913" t="s">
        <v>12</v>
      </c>
      <c r="F1913" t="s">
        <v>72</v>
      </c>
      <c r="G1913" t="s">
        <v>184</v>
      </c>
      <c r="H1913" s="94">
        <v>0.9</v>
      </c>
      <c r="I1913" t="s">
        <v>62</v>
      </c>
      <c r="J1913" t="s">
        <v>13</v>
      </c>
    </row>
    <row r="1914" spans="1:10" x14ac:dyDescent="0.25">
      <c r="A1914" t="s">
        <v>134</v>
      </c>
      <c r="B1914" t="s">
        <v>168</v>
      </c>
      <c r="C1914" s="12" t="s">
        <v>182</v>
      </c>
      <c r="D1914" t="s">
        <v>4</v>
      </c>
      <c r="E1914" t="s">
        <v>12</v>
      </c>
      <c r="F1914" t="s">
        <v>72</v>
      </c>
      <c r="G1914" t="s">
        <v>184</v>
      </c>
      <c r="H1914" s="94">
        <v>0.9</v>
      </c>
      <c r="I1914" t="s">
        <v>62</v>
      </c>
      <c r="J1914" t="s">
        <v>63</v>
      </c>
    </row>
    <row r="1915" spans="1:10" x14ac:dyDescent="0.25">
      <c r="A1915" t="s">
        <v>134</v>
      </c>
      <c r="B1915" t="s">
        <v>168</v>
      </c>
      <c r="C1915" s="12" t="s">
        <v>182</v>
      </c>
      <c r="D1915" t="s">
        <v>4</v>
      </c>
      <c r="E1915" t="s">
        <v>12</v>
      </c>
      <c r="F1915" t="s">
        <v>72</v>
      </c>
      <c r="G1915" t="s">
        <v>184</v>
      </c>
      <c r="H1915" s="94">
        <v>0.9</v>
      </c>
      <c r="I1915" t="s">
        <v>62</v>
      </c>
      <c r="J1915" t="s">
        <v>11</v>
      </c>
    </row>
    <row r="1916" spans="1:10" x14ac:dyDescent="0.25">
      <c r="A1916" t="s">
        <v>134</v>
      </c>
      <c r="B1916" t="s">
        <v>168</v>
      </c>
      <c r="C1916" s="12" t="s">
        <v>182</v>
      </c>
      <c r="D1916" t="s">
        <v>4</v>
      </c>
      <c r="E1916" t="s">
        <v>12</v>
      </c>
      <c r="F1916" t="s">
        <v>72</v>
      </c>
      <c r="G1916" t="s">
        <v>184</v>
      </c>
      <c r="H1916" s="94">
        <v>0.9</v>
      </c>
      <c r="I1916" t="s">
        <v>60</v>
      </c>
      <c r="J1916" t="s">
        <v>13</v>
      </c>
    </row>
    <row r="1917" spans="1:10" x14ac:dyDescent="0.25">
      <c r="A1917" t="s">
        <v>134</v>
      </c>
      <c r="B1917" t="s">
        <v>168</v>
      </c>
      <c r="C1917" s="12" t="s">
        <v>182</v>
      </c>
      <c r="D1917" t="s">
        <v>4</v>
      </c>
      <c r="E1917" t="s">
        <v>12</v>
      </c>
      <c r="F1917" t="s">
        <v>72</v>
      </c>
      <c r="G1917" t="s">
        <v>184</v>
      </c>
      <c r="H1917" s="94">
        <v>0.9</v>
      </c>
      <c r="I1917" t="s">
        <v>60</v>
      </c>
      <c r="J1917" t="s">
        <v>63</v>
      </c>
    </row>
    <row r="1918" spans="1:10" x14ac:dyDescent="0.25">
      <c r="A1918" t="s">
        <v>134</v>
      </c>
      <c r="B1918" t="s">
        <v>168</v>
      </c>
      <c r="C1918" s="12" t="s">
        <v>182</v>
      </c>
      <c r="D1918" t="s">
        <v>4</v>
      </c>
      <c r="E1918" t="s">
        <v>12</v>
      </c>
      <c r="F1918" t="s">
        <v>72</v>
      </c>
      <c r="G1918" t="s">
        <v>184</v>
      </c>
      <c r="H1918" s="94">
        <v>0.9</v>
      </c>
      <c r="I1918" t="s">
        <v>60</v>
      </c>
      <c r="J1918" t="s">
        <v>11</v>
      </c>
    </row>
    <row r="1919" spans="1:10" x14ac:dyDescent="0.25">
      <c r="A1919" t="s">
        <v>134</v>
      </c>
      <c r="B1919" t="s">
        <v>168</v>
      </c>
      <c r="C1919" s="12" t="s">
        <v>182</v>
      </c>
      <c r="D1919" t="s">
        <v>4</v>
      </c>
      <c r="E1919" t="s">
        <v>12</v>
      </c>
      <c r="F1919" t="s">
        <v>16</v>
      </c>
      <c r="G1919" t="s">
        <v>184</v>
      </c>
      <c r="H1919" s="94">
        <v>1</v>
      </c>
      <c r="I1919" t="s">
        <v>107</v>
      </c>
      <c r="J1919" t="s">
        <v>13</v>
      </c>
    </row>
    <row r="1920" spans="1:10" x14ac:dyDescent="0.25">
      <c r="A1920" t="s">
        <v>134</v>
      </c>
      <c r="B1920" t="s">
        <v>168</v>
      </c>
      <c r="C1920" s="12" t="s">
        <v>182</v>
      </c>
      <c r="D1920" t="s">
        <v>4</v>
      </c>
      <c r="E1920" t="s">
        <v>12</v>
      </c>
      <c r="F1920" t="s">
        <v>16</v>
      </c>
      <c r="G1920" t="s">
        <v>184</v>
      </c>
      <c r="H1920" s="94">
        <v>1</v>
      </c>
      <c r="I1920" t="s">
        <v>107</v>
      </c>
      <c r="J1920" t="s">
        <v>63</v>
      </c>
    </row>
    <row r="1921" spans="1:10" x14ac:dyDescent="0.25">
      <c r="A1921" t="s">
        <v>134</v>
      </c>
      <c r="B1921" t="s">
        <v>168</v>
      </c>
      <c r="C1921" s="12" t="s">
        <v>182</v>
      </c>
      <c r="D1921" t="s">
        <v>4</v>
      </c>
      <c r="E1921" t="s">
        <v>12</v>
      </c>
      <c r="F1921" t="s">
        <v>16</v>
      </c>
      <c r="G1921" t="s">
        <v>184</v>
      </c>
      <c r="H1921" s="94">
        <v>1</v>
      </c>
      <c r="I1921" t="s">
        <v>107</v>
      </c>
      <c r="J1921" t="s">
        <v>11</v>
      </c>
    </row>
    <row r="1922" spans="1:10" x14ac:dyDescent="0.25">
      <c r="A1922" t="s">
        <v>134</v>
      </c>
      <c r="B1922" t="s">
        <v>168</v>
      </c>
      <c r="C1922" s="12" t="s">
        <v>182</v>
      </c>
      <c r="D1922" t="s">
        <v>4</v>
      </c>
      <c r="E1922" t="s">
        <v>12</v>
      </c>
      <c r="F1922" t="s">
        <v>16</v>
      </c>
      <c r="G1922" t="s">
        <v>184</v>
      </c>
      <c r="H1922" s="94">
        <v>1</v>
      </c>
      <c r="I1922" t="s">
        <v>62</v>
      </c>
      <c r="J1922" t="s">
        <v>13</v>
      </c>
    </row>
    <row r="1923" spans="1:10" x14ac:dyDescent="0.25">
      <c r="A1923" t="s">
        <v>134</v>
      </c>
      <c r="B1923" t="s">
        <v>168</v>
      </c>
      <c r="C1923" s="12" t="s">
        <v>182</v>
      </c>
      <c r="D1923" t="s">
        <v>4</v>
      </c>
      <c r="E1923" t="s">
        <v>12</v>
      </c>
      <c r="F1923" t="s">
        <v>16</v>
      </c>
      <c r="G1923" t="s">
        <v>184</v>
      </c>
      <c r="H1923" s="94">
        <v>1</v>
      </c>
      <c r="I1923" t="s">
        <v>62</v>
      </c>
      <c r="J1923" t="s">
        <v>63</v>
      </c>
    </row>
    <row r="1924" spans="1:10" x14ac:dyDescent="0.25">
      <c r="A1924" t="s">
        <v>134</v>
      </c>
      <c r="B1924" t="s">
        <v>168</v>
      </c>
      <c r="C1924" s="12" t="s">
        <v>182</v>
      </c>
      <c r="D1924" t="s">
        <v>4</v>
      </c>
      <c r="E1924" t="s">
        <v>12</v>
      </c>
      <c r="F1924" t="s">
        <v>16</v>
      </c>
      <c r="G1924" t="s">
        <v>184</v>
      </c>
      <c r="H1924" s="94">
        <v>1</v>
      </c>
      <c r="I1924" t="s">
        <v>62</v>
      </c>
      <c r="J1924" t="s">
        <v>11</v>
      </c>
    </row>
    <row r="1925" spans="1:10" x14ac:dyDescent="0.25">
      <c r="A1925" t="s">
        <v>134</v>
      </c>
      <c r="B1925" t="s">
        <v>168</v>
      </c>
      <c r="C1925" s="12" t="s">
        <v>182</v>
      </c>
      <c r="D1925" t="s">
        <v>4</v>
      </c>
      <c r="E1925" t="s">
        <v>12</v>
      </c>
      <c r="F1925" t="s">
        <v>16</v>
      </c>
      <c r="G1925" t="s">
        <v>184</v>
      </c>
      <c r="H1925" s="94">
        <v>1</v>
      </c>
      <c r="I1925" t="s">
        <v>60</v>
      </c>
      <c r="J1925" t="s">
        <v>13</v>
      </c>
    </row>
    <row r="1926" spans="1:10" x14ac:dyDescent="0.25">
      <c r="A1926" t="s">
        <v>134</v>
      </c>
      <c r="B1926" t="s">
        <v>168</v>
      </c>
      <c r="C1926" s="12" t="s">
        <v>182</v>
      </c>
      <c r="D1926" t="s">
        <v>4</v>
      </c>
      <c r="E1926" t="s">
        <v>12</v>
      </c>
      <c r="F1926" t="s">
        <v>16</v>
      </c>
      <c r="G1926" t="s">
        <v>184</v>
      </c>
      <c r="H1926" s="94">
        <v>1</v>
      </c>
      <c r="I1926" t="s">
        <v>60</v>
      </c>
      <c r="J1926" t="s">
        <v>63</v>
      </c>
    </row>
    <row r="1927" spans="1:10" x14ac:dyDescent="0.25">
      <c r="A1927" t="s">
        <v>134</v>
      </c>
      <c r="B1927" t="s">
        <v>168</v>
      </c>
      <c r="C1927" s="12" t="s">
        <v>182</v>
      </c>
      <c r="D1927" t="s">
        <v>4</v>
      </c>
      <c r="E1927" t="s">
        <v>12</v>
      </c>
      <c r="F1927" t="s">
        <v>16</v>
      </c>
      <c r="G1927" t="s">
        <v>184</v>
      </c>
      <c r="H1927" s="94">
        <v>1</v>
      </c>
      <c r="I1927" t="s">
        <v>60</v>
      </c>
      <c r="J1927" t="s">
        <v>11</v>
      </c>
    </row>
    <row r="1928" spans="1:10" x14ac:dyDescent="0.25">
      <c r="A1928" t="s">
        <v>134</v>
      </c>
      <c r="B1928" t="s">
        <v>168</v>
      </c>
      <c r="C1928" s="12" t="s">
        <v>182</v>
      </c>
      <c r="D1928" t="s">
        <v>4</v>
      </c>
      <c r="E1928" t="s">
        <v>12</v>
      </c>
      <c r="F1928" t="s">
        <v>16</v>
      </c>
      <c r="G1928" t="s">
        <v>184</v>
      </c>
      <c r="H1928" s="94">
        <v>0.9</v>
      </c>
      <c r="I1928" t="s">
        <v>107</v>
      </c>
      <c r="J1928" t="s">
        <v>13</v>
      </c>
    </row>
    <row r="1929" spans="1:10" x14ac:dyDescent="0.25">
      <c r="A1929" t="s">
        <v>134</v>
      </c>
      <c r="B1929" t="s">
        <v>168</v>
      </c>
      <c r="C1929" s="12" t="s">
        <v>182</v>
      </c>
      <c r="D1929" t="s">
        <v>4</v>
      </c>
      <c r="E1929" t="s">
        <v>12</v>
      </c>
      <c r="F1929" t="s">
        <v>16</v>
      </c>
      <c r="G1929" t="s">
        <v>184</v>
      </c>
      <c r="H1929" s="94">
        <v>0.9</v>
      </c>
      <c r="I1929" t="s">
        <v>107</v>
      </c>
      <c r="J1929" t="s">
        <v>63</v>
      </c>
    </row>
    <row r="1930" spans="1:10" x14ac:dyDescent="0.25">
      <c r="A1930" t="s">
        <v>134</v>
      </c>
      <c r="B1930" t="s">
        <v>168</v>
      </c>
      <c r="C1930" s="12" t="s">
        <v>182</v>
      </c>
      <c r="D1930" t="s">
        <v>4</v>
      </c>
      <c r="E1930" t="s">
        <v>12</v>
      </c>
      <c r="F1930" t="s">
        <v>16</v>
      </c>
      <c r="G1930" t="s">
        <v>184</v>
      </c>
      <c r="H1930" s="94">
        <v>0.9</v>
      </c>
      <c r="I1930" t="s">
        <v>107</v>
      </c>
      <c r="J1930" t="s">
        <v>11</v>
      </c>
    </row>
    <row r="1931" spans="1:10" x14ac:dyDescent="0.25">
      <c r="A1931" t="s">
        <v>134</v>
      </c>
      <c r="B1931" t="s">
        <v>168</v>
      </c>
      <c r="C1931" s="12" t="s">
        <v>182</v>
      </c>
      <c r="D1931" t="s">
        <v>4</v>
      </c>
      <c r="E1931" t="s">
        <v>12</v>
      </c>
      <c r="F1931" t="s">
        <v>16</v>
      </c>
      <c r="G1931" t="s">
        <v>184</v>
      </c>
      <c r="H1931" s="94">
        <v>0.9</v>
      </c>
      <c r="I1931" t="s">
        <v>62</v>
      </c>
      <c r="J1931" t="s">
        <v>13</v>
      </c>
    </row>
    <row r="1932" spans="1:10" x14ac:dyDescent="0.25">
      <c r="A1932" t="s">
        <v>134</v>
      </c>
      <c r="B1932" t="s">
        <v>168</v>
      </c>
      <c r="C1932" s="12" t="s">
        <v>182</v>
      </c>
      <c r="D1932" t="s">
        <v>4</v>
      </c>
      <c r="E1932" t="s">
        <v>12</v>
      </c>
      <c r="F1932" t="s">
        <v>16</v>
      </c>
      <c r="G1932" t="s">
        <v>184</v>
      </c>
      <c r="H1932" s="94">
        <v>0.9</v>
      </c>
      <c r="I1932" t="s">
        <v>62</v>
      </c>
      <c r="J1932" t="s">
        <v>63</v>
      </c>
    </row>
    <row r="1933" spans="1:10" x14ac:dyDescent="0.25">
      <c r="A1933" t="s">
        <v>134</v>
      </c>
      <c r="B1933" t="s">
        <v>168</v>
      </c>
      <c r="C1933" s="12" t="s">
        <v>182</v>
      </c>
      <c r="D1933" t="s">
        <v>4</v>
      </c>
      <c r="E1933" t="s">
        <v>12</v>
      </c>
      <c r="F1933" t="s">
        <v>16</v>
      </c>
      <c r="G1933" t="s">
        <v>184</v>
      </c>
      <c r="H1933" s="94">
        <v>0.9</v>
      </c>
      <c r="I1933" t="s">
        <v>62</v>
      </c>
      <c r="J1933" t="s">
        <v>11</v>
      </c>
    </row>
    <row r="1934" spans="1:10" x14ac:dyDescent="0.25">
      <c r="A1934" t="s">
        <v>134</v>
      </c>
      <c r="B1934" t="s">
        <v>168</v>
      </c>
      <c r="C1934" s="12" t="s">
        <v>182</v>
      </c>
      <c r="D1934" t="s">
        <v>4</v>
      </c>
      <c r="E1934" t="s">
        <v>12</v>
      </c>
      <c r="F1934" t="s">
        <v>16</v>
      </c>
      <c r="G1934" t="s">
        <v>184</v>
      </c>
      <c r="H1934" s="94">
        <v>0.9</v>
      </c>
      <c r="I1934" t="s">
        <v>60</v>
      </c>
      <c r="J1934" t="s">
        <v>13</v>
      </c>
    </row>
    <row r="1935" spans="1:10" x14ac:dyDescent="0.25">
      <c r="A1935" t="s">
        <v>134</v>
      </c>
      <c r="B1935" t="s">
        <v>168</v>
      </c>
      <c r="C1935" s="12" t="s">
        <v>182</v>
      </c>
      <c r="D1935" t="s">
        <v>4</v>
      </c>
      <c r="E1935" t="s">
        <v>12</v>
      </c>
      <c r="F1935" t="s">
        <v>16</v>
      </c>
      <c r="G1935" t="s">
        <v>184</v>
      </c>
      <c r="H1935" s="94">
        <v>0.9</v>
      </c>
      <c r="I1935" t="s">
        <v>60</v>
      </c>
      <c r="J1935" t="s">
        <v>63</v>
      </c>
    </row>
    <row r="1936" spans="1:10" x14ac:dyDescent="0.25">
      <c r="A1936" t="s">
        <v>134</v>
      </c>
      <c r="B1936" t="s">
        <v>168</v>
      </c>
      <c r="C1936" s="12" t="s">
        <v>182</v>
      </c>
      <c r="D1936" t="s">
        <v>4</v>
      </c>
      <c r="E1936" t="s">
        <v>12</v>
      </c>
      <c r="F1936" t="s">
        <v>16</v>
      </c>
      <c r="G1936" t="s">
        <v>184</v>
      </c>
      <c r="H1936" s="94">
        <v>0.9</v>
      </c>
      <c r="I1936" t="s">
        <v>60</v>
      </c>
      <c r="J1936" t="s">
        <v>11</v>
      </c>
    </row>
    <row r="1937" spans="1:10" x14ac:dyDescent="0.25">
      <c r="A1937" t="s">
        <v>134</v>
      </c>
      <c r="B1937" t="s">
        <v>168</v>
      </c>
      <c r="C1937" s="12" t="s">
        <v>182</v>
      </c>
      <c r="D1937" t="s">
        <v>4</v>
      </c>
      <c r="E1937" t="s">
        <v>12</v>
      </c>
      <c r="F1937" t="s">
        <v>8</v>
      </c>
      <c r="G1937" t="s">
        <v>184</v>
      </c>
      <c r="H1937" s="94">
        <v>1</v>
      </c>
      <c r="I1937" t="s">
        <v>107</v>
      </c>
      <c r="J1937" t="s">
        <v>13</v>
      </c>
    </row>
    <row r="1938" spans="1:10" x14ac:dyDescent="0.25">
      <c r="A1938" t="s">
        <v>134</v>
      </c>
      <c r="B1938" t="s">
        <v>168</v>
      </c>
      <c r="C1938" s="12" t="s">
        <v>182</v>
      </c>
      <c r="D1938" t="s">
        <v>4</v>
      </c>
      <c r="E1938" t="s">
        <v>12</v>
      </c>
      <c r="F1938" t="s">
        <v>8</v>
      </c>
      <c r="G1938" t="s">
        <v>184</v>
      </c>
      <c r="H1938" s="94">
        <v>1</v>
      </c>
      <c r="I1938" t="s">
        <v>107</v>
      </c>
      <c r="J1938" t="s">
        <v>63</v>
      </c>
    </row>
    <row r="1939" spans="1:10" x14ac:dyDescent="0.25">
      <c r="A1939" t="s">
        <v>134</v>
      </c>
      <c r="B1939" t="s">
        <v>168</v>
      </c>
      <c r="C1939" s="12" t="s">
        <v>182</v>
      </c>
      <c r="D1939" t="s">
        <v>4</v>
      </c>
      <c r="E1939" t="s">
        <v>12</v>
      </c>
      <c r="F1939" t="s">
        <v>8</v>
      </c>
      <c r="G1939" t="s">
        <v>184</v>
      </c>
      <c r="H1939" s="94">
        <v>1</v>
      </c>
      <c r="I1939" t="s">
        <v>107</v>
      </c>
      <c r="J1939" t="s">
        <v>11</v>
      </c>
    </row>
    <row r="1940" spans="1:10" x14ac:dyDescent="0.25">
      <c r="A1940" t="s">
        <v>134</v>
      </c>
      <c r="B1940" t="s">
        <v>168</v>
      </c>
      <c r="C1940" s="12" t="s">
        <v>182</v>
      </c>
      <c r="D1940" t="s">
        <v>4</v>
      </c>
      <c r="E1940" t="s">
        <v>12</v>
      </c>
      <c r="F1940" t="s">
        <v>8</v>
      </c>
      <c r="G1940" t="s">
        <v>184</v>
      </c>
      <c r="H1940" s="94">
        <v>1</v>
      </c>
      <c r="I1940" t="s">
        <v>62</v>
      </c>
      <c r="J1940" t="s">
        <v>13</v>
      </c>
    </row>
    <row r="1941" spans="1:10" x14ac:dyDescent="0.25">
      <c r="A1941" t="s">
        <v>134</v>
      </c>
      <c r="B1941" t="s">
        <v>168</v>
      </c>
      <c r="C1941" s="12" t="s">
        <v>182</v>
      </c>
      <c r="D1941" t="s">
        <v>4</v>
      </c>
      <c r="E1941" t="s">
        <v>12</v>
      </c>
      <c r="F1941" t="s">
        <v>8</v>
      </c>
      <c r="G1941" t="s">
        <v>184</v>
      </c>
      <c r="H1941" s="94">
        <v>1</v>
      </c>
      <c r="I1941" t="s">
        <v>62</v>
      </c>
      <c r="J1941" t="s">
        <v>63</v>
      </c>
    </row>
    <row r="1942" spans="1:10" x14ac:dyDescent="0.25">
      <c r="A1942" t="s">
        <v>134</v>
      </c>
      <c r="B1942" t="s">
        <v>168</v>
      </c>
      <c r="C1942" s="12" t="s">
        <v>182</v>
      </c>
      <c r="D1942" t="s">
        <v>4</v>
      </c>
      <c r="E1942" t="s">
        <v>12</v>
      </c>
      <c r="F1942" t="s">
        <v>8</v>
      </c>
      <c r="G1942" t="s">
        <v>184</v>
      </c>
      <c r="H1942" s="94">
        <v>1</v>
      </c>
      <c r="I1942" t="s">
        <v>62</v>
      </c>
      <c r="J1942" t="s">
        <v>11</v>
      </c>
    </row>
    <row r="1943" spans="1:10" x14ac:dyDescent="0.25">
      <c r="A1943" t="s">
        <v>134</v>
      </c>
      <c r="B1943" t="s">
        <v>168</v>
      </c>
      <c r="C1943" s="12" t="s">
        <v>182</v>
      </c>
      <c r="D1943" t="s">
        <v>4</v>
      </c>
      <c r="E1943" t="s">
        <v>12</v>
      </c>
      <c r="F1943" t="s">
        <v>8</v>
      </c>
      <c r="G1943" t="s">
        <v>184</v>
      </c>
      <c r="H1943" s="94">
        <v>1</v>
      </c>
      <c r="I1943" t="s">
        <v>60</v>
      </c>
      <c r="J1943" t="s">
        <v>13</v>
      </c>
    </row>
    <row r="1944" spans="1:10" x14ac:dyDescent="0.25">
      <c r="A1944" t="s">
        <v>134</v>
      </c>
      <c r="B1944" t="s">
        <v>168</v>
      </c>
      <c r="C1944" s="12" t="s">
        <v>182</v>
      </c>
      <c r="D1944" t="s">
        <v>4</v>
      </c>
      <c r="E1944" t="s">
        <v>12</v>
      </c>
      <c r="F1944" t="s">
        <v>8</v>
      </c>
      <c r="G1944" t="s">
        <v>184</v>
      </c>
      <c r="H1944" s="94">
        <v>1</v>
      </c>
      <c r="I1944" t="s">
        <v>60</v>
      </c>
      <c r="J1944" t="s">
        <v>63</v>
      </c>
    </row>
    <row r="1945" spans="1:10" x14ac:dyDescent="0.25">
      <c r="A1945" t="s">
        <v>134</v>
      </c>
      <c r="B1945" t="s">
        <v>168</v>
      </c>
      <c r="C1945" s="12" t="s">
        <v>182</v>
      </c>
      <c r="D1945" t="s">
        <v>4</v>
      </c>
      <c r="E1945" t="s">
        <v>12</v>
      </c>
      <c r="F1945" t="s">
        <v>8</v>
      </c>
      <c r="G1945" t="s">
        <v>184</v>
      </c>
      <c r="H1945" s="94">
        <v>1</v>
      </c>
      <c r="I1945" t="s">
        <v>60</v>
      </c>
      <c r="J1945" t="s">
        <v>11</v>
      </c>
    </row>
    <row r="1946" spans="1:10" x14ac:dyDescent="0.25">
      <c r="A1946" t="s">
        <v>134</v>
      </c>
      <c r="B1946" t="s">
        <v>168</v>
      </c>
      <c r="C1946" s="12" t="s">
        <v>182</v>
      </c>
      <c r="D1946" t="s">
        <v>4</v>
      </c>
      <c r="E1946" t="s">
        <v>12</v>
      </c>
      <c r="F1946" t="s">
        <v>8</v>
      </c>
      <c r="G1946" t="s">
        <v>184</v>
      </c>
      <c r="H1946" s="94">
        <v>0.9</v>
      </c>
      <c r="I1946" t="s">
        <v>107</v>
      </c>
      <c r="J1946" t="s">
        <v>13</v>
      </c>
    </row>
    <row r="1947" spans="1:10" x14ac:dyDescent="0.25">
      <c r="A1947" t="s">
        <v>134</v>
      </c>
      <c r="B1947" t="s">
        <v>168</v>
      </c>
      <c r="C1947" s="12" t="s">
        <v>182</v>
      </c>
      <c r="D1947" t="s">
        <v>4</v>
      </c>
      <c r="E1947" t="s">
        <v>12</v>
      </c>
      <c r="F1947" t="s">
        <v>8</v>
      </c>
      <c r="G1947" t="s">
        <v>184</v>
      </c>
      <c r="H1947" s="94">
        <v>0.9</v>
      </c>
      <c r="I1947" t="s">
        <v>107</v>
      </c>
      <c r="J1947" t="s">
        <v>63</v>
      </c>
    </row>
    <row r="1948" spans="1:10" x14ac:dyDescent="0.25">
      <c r="A1948" t="s">
        <v>134</v>
      </c>
      <c r="B1948" t="s">
        <v>168</v>
      </c>
      <c r="C1948" s="12" t="s">
        <v>182</v>
      </c>
      <c r="D1948" t="s">
        <v>4</v>
      </c>
      <c r="E1948" t="s">
        <v>12</v>
      </c>
      <c r="F1948" t="s">
        <v>8</v>
      </c>
      <c r="G1948" t="s">
        <v>184</v>
      </c>
      <c r="H1948" s="94">
        <v>0.9</v>
      </c>
      <c r="I1948" t="s">
        <v>107</v>
      </c>
      <c r="J1948" t="s">
        <v>11</v>
      </c>
    </row>
    <row r="1949" spans="1:10" x14ac:dyDescent="0.25">
      <c r="A1949" t="s">
        <v>134</v>
      </c>
      <c r="B1949" t="s">
        <v>168</v>
      </c>
      <c r="C1949" s="12" t="s">
        <v>182</v>
      </c>
      <c r="D1949" t="s">
        <v>4</v>
      </c>
      <c r="E1949" t="s">
        <v>12</v>
      </c>
      <c r="F1949" t="s">
        <v>8</v>
      </c>
      <c r="G1949" t="s">
        <v>184</v>
      </c>
      <c r="H1949" s="94">
        <v>0.9</v>
      </c>
      <c r="I1949" t="s">
        <v>62</v>
      </c>
      <c r="J1949" t="s">
        <v>13</v>
      </c>
    </row>
    <row r="1950" spans="1:10" x14ac:dyDescent="0.25">
      <c r="A1950" t="s">
        <v>134</v>
      </c>
      <c r="B1950" t="s">
        <v>168</v>
      </c>
      <c r="C1950" s="12" t="s">
        <v>182</v>
      </c>
      <c r="D1950" t="s">
        <v>4</v>
      </c>
      <c r="E1950" t="s">
        <v>12</v>
      </c>
      <c r="F1950" t="s">
        <v>8</v>
      </c>
      <c r="G1950" t="s">
        <v>184</v>
      </c>
      <c r="H1950" s="94">
        <v>0.9</v>
      </c>
      <c r="I1950" t="s">
        <v>62</v>
      </c>
      <c r="J1950" t="s">
        <v>63</v>
      </c>
    </row>
    <row r="1951" spans="1:10" x14ac:dyDescent="0.25">
      <c r="A1951" t="s">
        <v>134</v>
      </c>
      <c r="B1951" t="s">
        <v>168</v>
      </c>
      <c r="C1951" s="12" t="s">
        <v>182</v>
      </c>
      <c r="D1951" t="s">
        <v>4</v>
      </c>
      <c r="E1951" t="s">
        <v>12</v>
      </c>
      <c r="F1951" t="s">
        <v>8</v>
      </c>
      <c r="G1951" t="s">
        <v>184</v>
      </c>
      <c r="H1951" s="94">
        <v>0.9</v>
      </c>
      <c r="I1951" t="s">
        <v>62</v>
      </c>
      <c r="J1951" t="s">
        <v>11</v>
      </c>
    </row>
    <row r="1952" spans="1:10" x14ac:dyDescent="0.25">
      <c r="A1952" t="s">
        <v>134</v>
      </c>
      <c r="B1952" t="s">
        <v>168</v>
      </c>
      <c r="C1952" s="12" t="s">
        <v>182</v>
      </c>
      <c r="D1952" t="s">
        <v>4</v>
      </c>
      <c r="E1952" t="s">
        <v>12</v>
      </c>
      <c r="F1952" t="s">
        <v>8</v>
      </c>
      <c r="G1952" t="s">
        <v>184</v>
      </c>
      <c r="H1952" s="94">
        <v>0.9</v>
      </c>
      <c r="I1952" t="s">
        <v>60</v>
      </c>
      <c r="J1952" t="s">
        <v>13</v>
      </c>
    </row>
    <row r="1953" spans="1:10" x14ac:dyDescent="0.25">
      <c r="A1953" t="s">
        <v>134</v>
      </c>
      <c r="B1953" t="s">
        <v>168</v>
      </c>
      <c r="C1953" s="12" t="s">
        <v>182</v>
      </c>
      <c r="D1953" t="s">
        <v>4</v>
      </c>
      <c r="E1953" t="s">
        <v>12</v>
      </c>
      <c r="F1953" t="s">
        <v>8</v>
      </c>
      <c r="G1953" t="s">
        <v>184</v>
      </c>
      <c r="H1953" s="94">
        <v>0.9</v>
      </c>
      <c r="I1953" t="s">
        <v>60</v>
      </c>
      <c r="J1953" t="s">
        <v>63</v>
      </c>
    </row>
    <row r="1954" spans="1:10" x14ac:dyDescent="0.25">
      <c r="A1954" t="s">
        <v>134</v>
      </c>
      <c r="B1954" t="s">
        <v>168</v>
      </c>
      <c r="C1954" s="12" t="s">
        <v>182</v>
      </c>
      <c r="D1954" t="s">
        <v>4</v>
      </c>
      <c r="E1954" t="s">
        <v>12</v>
      </c>
      <c r="F1954" t="s">
        <v>8</v>
      </c>
      <c r="G1954" t="s">
        <v>184</v>
      </c>
      <c r="H1954" s="94">
        <v>0.9</v>
      </c>
      <c r="I1954" t="s">
        <v>60</v>
      </c>
      <c r="J1954" t="s">
        <v>11</v>
      </c>
    </row>
    <row r="1955" spans="1:10" x14ac:dyDescent="0.25">
      <c r="A1955" t="s">
        <v>134</v>
      </c>
      <c r="B1955" t="s">
        <v>168</v>
      </c>
      <c r="C1955" s="12" t="s">
        <v>182</v>
      </c>
      <c r="D1955" t="s">
        <v>4</v>
      </c>
      <c r="E1955" t="s">
        <v>6</v>
      </c>
      <c r="F1955" t="s">
        <v>72</v>
      </c>
      <c r="G1955" t="s">
        <v>184</v>
      </c>
      <c r="H1955" s="94">
        <v>1</v>
      </c>
      <c r="I1955" t="s">
        <v>107</v>
      </c>
      <c r="J1955" t="s">
        <v>13</v>
      </c>
    </row>
    <row r="1956" spans="1:10" x14ac:dyDescent="0.25">
      <c r="A1956" t="s">
        <v>134</v>
      </c>
      <c r="B1956" t="s">
        <v>168</v>
      </c>
      <c r="C1956" s="12" t="s">
        <v>182</v>
      </c>
      <c r="D1956" t="s">
        <v>4</v>
      </c>
      <c r="E1956" t="s">
        <v>6</v>
      </c>
      <c r="F1956" t="s">
        <v>72</v>
      </c>
      <c r="G1956" t="s">
        <v>184</v>
      </c>
      <c r="H1956" s="94">
        <v>1</v>
      </c>
      <c r="I1956" t="s">
        <v>107</v>
      </c>
      <c r="J1956" t="s">
        <v>63</v>
      </c>
    </row>
    <row r="1957" spans="1:10" x14ac:dyDescent="0.25">
      <c r="A1957" t="s">
        <v>134</v>
      </c>
      <c r="B1957" t="s">
        <v>168</v>
      </c>
      <c r="C1957" s="12" t="s">
        <v>182</v>
      </c>
      <c r="D1957" t="s">
        <v>4</v>
      </c>
      <c r="E1957" t="s">
        <v>6</v>
      </c>
      <c r="F1957" t="s">
        <v>72</v>
      </c>
      <c r="G1957" t="s">
        <v>184</v>
      </c>
      <c r="H1957" s="94">
        <v>1</v>
      </c>
      <c r="I1957" t="s">
        <v>107</v>
      </c>
      <c r="J1957" t="s">
        <v>11</v>
      </c>
    </row>
    <row r="1958" spans="1:10" x14ac:dyDescent="0.25">
      <c r="A1958" t="s">
        <v>134</v>
      </c>
      <c r="B1958" t="s">
        <v>168</v>
      </c>
      <c r="C1958" s="12" t="s">
        <v>182</v>
      </c>
      <c r="D1958" t="s">
        <v>4</v>
      </c>
      <c r="E1958" t="s">
        <v>6</v>
      </c>
      <c r="F1958" t="s">
        <v>72</v>
      </c>
      <c r="G1958" t="s">
        <v>184</v>
      </c>
      <c r="H1958" s="94">
        <v>1</v>
      </c>
      <c r="I1958" t="s">
        <v>62</v>
      </c>
      <c r="J1958" t="s">
        <v>13</v>
      </c>
    </row>
    <row r="1959" spans="1:10" x14ac:dyDescent="0.25">
      <c r="A1959" t="s">
        <v>134</v>
      </c>
      <c r="B1959" t="s">
        <v>168</v>
      </c>
      <c r="C1959" s="12" t="s">
        <v>182</v>
      </c>
      <c r="D1959" t="s">
        <v>4</v>
      </c>
      <c r="E1959" t="s">
        <v>6</v>
      </c>
      <c r="F1959" t="s">
        <v>72</v>
      </c>
      <c r="G1959" t="s">
        <v>184</v>
      </c>
      <c r="H1959" s="94">
        <v>1</v>
      </c>
      <c r="I1959" t="s">
        <v>62</v>
      </c>
      <c r="J1959" t="s">
        <v>63</v>
      </c>
    </row>
    <row r="1960" spans="1:10" x14ac:dyDescent="0.25">
      <c r="A1960" t="s">
        <v>134</v>
      </c>
      <c r="B1960" t="s">
        <v>168</v>
      </c>
      <c r="C1960" s="12" t="s">
        <v>182</v>
      </c>
      <c r="D1960" t="s">
        <v>4</v>
      </c>
      <c r="E1960" t="s">
        <v>6</v>
      </c>
      <c r="F1960" t="s">
        <v>72</v>
      </c>
      <c r="G1960" t="s">
        <v>184</v>
      </c>
      <c r="H1960" s="94">
        <v>1</v>
      </c>
      <c r="I1960" t="s">
        <v>62</v>
      </c>
      <c r="J1960" t="s">
        <v>11</v>
      </c>
    </row>
    <row r="1961" spans="1:10" x14ac:dyDescent="0.25">
      <c r="A1961" t="s">
        <v>134</v>
      </c>
      <c r="B1961" t="s">
        <v>168</v>
      </c>
      <c r="C1961" s="12" t="s">
        <v>182</v>
      </c>
      <c r="D1961" t="s">
        <v>4</v>
      </c>
      <c r="E1961" t="s">
        <v>6</v>
      </c>
      <c r="F1961" t="s">
        <v>72</v>
      </c>
      <c r="G1961" t="s">
        <v>184</v>
      </c>
      <c r="H1961" s="94">
        <v>1</v>
      </c>
      <c r="I1961" t="s">
        <v>60</v>
      </c>
      <c r="J1961" t="s">
        <v>13</v>
      </c>
    </row>
    <row r="1962" spans="1:10" x14ac:dyDescent="0.25">
      <c r="A1962" t="s">
        <v>134</v>
      </c>
      <c r="B1962" t="s">
        <v>168</v>
      </c>
      <c r="C1962" s="12" t="s">
        <v>182</v>
      </c>
      <c r="D1962" t="s">
        <v>4</v>
      </c>
      <c r="E1962" t="s">
        <v>6</v>
      </c>
      <c r="F1962" t="s">
        <v>72</v>
      </c>
      <c r="G1962" t="s">
        <v>184</v>
      </c>
      <c r="H1962" s="94">
        <v>1</v>
      </c>
      <c r="I1962" t="s">
        <v>60</v>
      </c>
      <c r="J1962" t="s">
        <v>63</v>
      </c>
    </row>
    <row r="1963" spans="1:10" x14ac:dyDescent="0.25">
      <c r="A1963" t="s">
        <v>134</v>
      </c>
      <c r="B1963" t="s">
        <v>168</v>
      </c>
      <c r="C1963" s="12" t="s">
        <v>182</v>
      </c>
      <c r="D1963" t="s">
        <v>4</v>
      </c>
      <c r="E1963" t="s">
        <v>6</v>
      </c>
      <c r="F1963" t="s">
        <v>72</v>
      </c>
      <c r="G1963" t="s">
        <v>184</v>
      </c>
      <c r="H1963" s="94">
        <v>1</v>
      </c>
      <c r="I1963" t="s">
        <v>60</v>
      </c>
      <c r="J1963" t="s">
        <v>11</v>
      </c>
    </row>
    <row r="1964" spans="1:10" x14ac:dyDescent="0.25">
      <c r="A1964" t="s">
        <v>134</v>
      </c>
      <c r="B1964" t="s">
        <v>168</v>
      </c>
      <c r="C1964" s="12" t="s">
        <v>182</v>
      </c>
      <c r="D1964" t="s">
        <v>4</v>
      </c>
      <c r="E1964" t="s">
        <v>6</v>
      </c>
      <c r="F1964" t="s">
        <v>72</v>
      </c>
      <c r="G1964" t="s">
        <v>184</v>
      </c>
      <c r="H1964" s="94">
        <v>0.9</v>
      </c>
      <c r="I1964" t="s">
        <v>107</v>
      </c>
      <c r="J1964" t="s">
        <v>13</v>
      </c>
    </row>
    <row r="1965" spans="1:10" x14ac:dyDescent="0.25">
      <c r="A1965" t="s">
        <v>134</v>
      </c>
      <c r="B1965" t="s">
        <v>168</v>
      </c>
      <c r="C1965" s="12" t="s">
        <v>182</v>
      </c>
      <c r="D1965" t="s">
        <v>4</v>
      </c>
      <c r="E1965" t="s">
        <v>6</v>
      </c>
      <c r="F1965" t="s">
        <v>72</v>
      </c>
      <c r="G1965" t="s">
        <v>184</v>
      </c>
      <c r="H1965" s="94">
        <v>0.9</v>
      </c>
      <c r="I1965" t="s">
        <v>107</v>
      </c>
      <c r="J1965" t="s">
        <v>63</v>
      </c>
    </row>
    <row r="1966" spans="1:10" x14ac:dyDescent="0.25">
      <c r="A1966" t="s">
        <v>134</v>
      </c>
      <c r="B1966" t="s">
        <v>168</v>
      </c>
      <c r="C1966" s="12" t="s">
        <v>182</v>
      </c>
      <c r="D1966" t="s">
        <v>4</v>
      </c>
      <c r="E1966" t="s">
        <v>6</v>
      </c>
      <c r="F1966" t="s">
        <v>72</v>
      </c>
      <c r="G1966" t="s">
        <v>184</v>
      </c>
      <c r="H1966" s="94">
        <v>0.9</v>
      </c>
      <c r="I1966" t="s">
        <v>107</v>
      </c>
      <c r="J1966" t="s">
        <v>11</v>
      </c>
    </row>
    <row r="1967" spans="1:10" x14ac:dyDescent="0.25">
      <c r="A1967" t="s">
        <v>134</v>
      </c>
      <c r="B1967" t="s">
        <v>168</v>
      </c>
      <c r="C1967" s="12" t="s">
        <v>182</v>
      </c>
      <c r="D1967" t="s">
        <v>4</v>
      </c>
      <c r="E1967" t="s">
        <v>6</v>
      </c>
      <c r="F1967" t="s">
        <v>72</v>
      </c>
      <c r="G1967" t="s">
        <v>184</v>
      </c>
      <c r="H1967" s="94">
        <v>0.9</v>
      </c>
      <c r="I1967" t="s">
        <v>62</v>
      </c>
      <c r="J1967" t="s">
        <v>13</v>
      </c>
    </row>
    <row r="1968" spans="1:10" x14ac:dyDescent="0.25">
      <c r="A1968" t="s">
        <v>134</v>
      </c>
      <c r="B1968" t="s">
        <v>168</v>
      </c>
      <c r="C1968" s="12" t="s">
        <v>182</v>
      </c>
      <c r="D1968" t="s">
        <v>4</v>
      </c>
      <c r="E1968" t="s">
        <v>6</v>
      </c>
      <c r="F1968" t="s">
        <v>72</v>
      </c>
      <c r="G1968" t="s">
        <v>184</v>
      </c>
      <c r="H1968" s="94">
        <v>0.9</v>
      </c>
      <c r="I1968" t="s">
        <v>62</v>
      </c>
      <c r="J1968" t="s">
        <v>63</v>
      </c>
    </row>
    <row r="1969" spans="1:10" x14ac:dyDescent="0.25">
      <c r="A1969" t="s">
        <v>134</v>
      </c>
      <c r="B1969" t="s">
        <v>168</v>
      </c>
      <c r="C1969" s="12" t="s">
        <v>182</v>
      </c>
      <c r="D1969" t="s">
        <v>4</v>
      </c>
      <c r="E1969" t="s">
        <v>6</v>
      </c>
      <c r="F1969" t="s">
        <v>72</v>
      </c>
      <c r="G1969" t="s">
        <v>184</v>
      </c>
      <c r="H1969" s="94">
        <v>0.9</v>
      </c>
      <c r="I1969" t="s">
        <v>62</v>
      </c>
      <c r="J1969" t="s">
        <v>11</v>
      </c>
    </row>
    <row r="1970" spans="1:10" x14ac:dyDescent="0.25">
      <c r="A1970" t="s">
        <v>134</v>
      </c>
      <c r="B1970" t="s">
        <v>168</v>
      </c>
      <c r="C1970" s="12" t="s">
        <v>182</v>
      </c>
      <c r="D1970" t="s">
        <v>4</v>
      </c>
      <c r="E1970" t="s">
        <v>6</v>
      </c>
      <c r="F1970" t="s">
        <v>72</v>
      </c>
      <c r="G1970" t="s">
        <v>184</v>
      </c>
      <c r="H1970" s="94">
        <v>0.9</v>
      </c>
      <c r="I1970" t="s">
        <v>60</v>
      </c>
      <c r="J1970" t="s">
        <v>13</v>
      </c>
    </row>
    <row r="1971" spans="1:10" x14ac:dyDescent="0.25">
      <c r="A1971" t="s">
        <v>134</v>
      </c>
      <c r="B1971" t="s">
        <v>168</v>
      </c>
      <c r="C1971" s="12" t="s">
        <v>182</v>
      </c>
      <c r="D1971" t="s">
        <v>4</v>
      </c>
      <c r="E1971" t="s">
        <v>6</v>
      </c>
      <c r="F1971" t="s">
        <v>72</v>
      </c>
      <c r="G1971" t="s">
        <v>184</v>
      </c>
      <c r="H1971" s="94">
        <v>0.9</v>
      </c>
      <c r="I1971" t="s">
        <v>60</v>
      </c>
      <c r="J1971" t="s">
        <v>63</v>
      </c>
    </row>
    <row r="1972" spans="1:10" x14ac:dyDescent="0.25">
      <c r="A1972" t="s">
        <v>134</v>
      </c>
      <c r="B1972" t="s">
        <v>168</v>
      </c>
      <c r="C1972" s="12" t="s">
        <v>182</v>
      </c>
      <c r="D1972" t="s">
        <v>4</v>
      </c>
      <c r="E1972" t="s">
        <v>6</v>
      </c>
      <c r="F1972" t="s">
        <v>72</v>
      </c>
      <c r="G1972" t="s">
        <v>184</v>
      </c>
      <c r="H1972" s="94">
        <v>0.9</v>
      </c>
      <c r="I1972" t="s">
        <v>60</v>
      </c>
      <c r="J1972" t="s">
        <v>11</v>
      </c>
    </row>
    <row r="1973" spans="1:10" x14ac:dyDescent="0.25">
      <c r="A1973" t="s">
        <v>134</v>
      </c>
      <c r="B1973" t="s">
        <v>168</v>
      </c>
      <c r="C1973" s="12" t="s">
        <v>182</v>
      </c>
      <c r="D1973" t="s">
        <v>4</v>
      </c>
      <c r="E1973" t="s">
        <v>6</v>
      </c>
      <c r="F1973" t="s">
        <v>16</v>
      </c>
      <c r="G1973" t="s">
        <v>184</v>
      </c>
      <c r="H1973" s="94">
        <v>1</v>
      </c>
      <c r="I1973" t="s">
        <v>107</v>
      </c>
      <c r="J1973" t="s">
        <v>13</v>
      </c>
    </row>
    <row r="1974" spans="1:10" x14ac:dyDescent="0.25">
      <c r="A1974" t="s">
        <v>134</v>
      </c>
      <c r="B1974" t="s">
        <v>168</v>
      </c>
      <c r="C1974" s="12" t="s">
        <v>182</v>
      </c>
      <c r="D1974" t="s">
        <v>4</v>
      </c>
      <c r="E1974" t="s">
        <v>6</v>
      </c>
      <c r="F1974" t="s">
        <v>16</v>
      </c>
      <c r="G1974" t="s">
        <v>184</v>
      </c>
      <c r="H1974" s="94">
        <v>1</v>
      </c>
      <c r="I1974" t="s">
        <v>107</v>
      </c>
      <c r="J1974" t="s">
        <v>63</v>
      </c>
    </row>
    <row r="1975" spans="1:10" x14ac:dyDescent="0.25">
      <c r="A1975" t="s">
        <v>134</v>
      </c>
      <c r="B1975" t="s">
        <v>168</v>
      </c>
      <c r="C1975" s="12" t="s">
        <v>182</v>
      </c>
      <c r="D1975" t="s">
        <v>4</v>
      </c>
      <c r="E1975" t="s">
        <v>6</v>
      </c>
      <c r="F1975" t="s">
        <v>16</v>
      </c>
      <c r="G1975" t="s">
        <v>184</v>
      </c>
      <c r="H1975" s="94">
        <v>1</v>
      </c>
      <c r="I1975" t="s">
        <v>107</v>
      </c>
      <c r="J1975" t="s">
        <v>11</v>
      </c>
    </row>
    <row r="1976" spans="1:10" x14ac:dyDescent="0.25">
      <c r="A1976" t="s">
        <v>134</v>
      </c>
      <c r="B1976" t="s">
        <v>168</v>
      </c>
      <c r="C1976" s="12" t="s">
        <v>182</v>
      </c>
      <c r="D1976" t="s">
        <v>4</v>
      </c>
      <c r="E1976" t="s">
        <v>6</v>
      </c>
      <c r="F1976" t="s">
        <v>16</v>
      </c>
      <c r="G1976" t="s">
        <v>184</v>
      </c>
      <c r="H1976" s="94">
        <v>1</v>
      </c>
      <c r="I1976" t="s">
        <v>62</v>
      </c>
      <c r="J1976" t="s">
        <v>13</v>
      </c>
    </row>
    <row r="1977" spans="1:10" x14ac:dyDescent="0.25">
      <c r="A1977" t="s">
        <v>134</v>
      </c>
      <c r="B1977" t="s">
        <v>168</v>
      </c>
      <c r="C1977" s="12" t="s">
        <v>182</v>
      </c>
      <c r="D1977" t="s">
        <v>4</v>
      </c>
      <c r="E1977" t="s">
        <v>6</v>
      </c>
      <c r="F1977" t="s">
        <v>16</v>
      </c>
      <c r="G1977" t="s">
        <v>184</v>
      </c>
      <c r="H1977" s="94">
        <v>1</v>
      </c>
      <c r="I1977" t="s">
        <v>62</v>
      </c>
      <c r="J1977" t="s">
        <v>63</v>
      </c>
    </row>
    <row r="1978" spans="1:10" x14ac:dyDescent="0.25">
      <c r="A1978" t="s">
        <v>134</v>
      </c>
      <c r="B1978" t="s">
        <v>168</v>
      </c>
      <c r="C1978" s="12" t="s">
        <v>182</v>
      </c>
      <c r="D1978" t="s">
        <v>4</v>
      </c>
      <c r="E1978" t="s">
        <v>6</v>
      </c>
      <c r="F1978" t="s">
        <v>16</v>
      </c>
      <c r="G1978" t="s">
        <v>184</v>
      </c>
      <c r="H1978" s="94">
        <v>1</v>
      </c>
      <c r="I1978" t="s">
        <v>62</v>
      </c>
      <c r="J1978" t="s">
        <v>11</v>
      </c>
    </row>
    <row r="1979" spans="1:10" x14ac:dyDescent="0.25">
      <c r="A1979" t="s">
        <v>134</v>
      </c>
      <c r="B1979" t="s">
        <v>168</v>
      </c>
      <c r="C1979" s="12" t="s">
        <v>182</v>
      </c>
      <c r="D1979" t="s">
        <v>4</v>
      </c>
      <c r="E1979" t="s">
        <v>6</v>
      </c>
      <c r="F1979" t="s">
        <v>16</v>
      </c>
      <c r="G1979" t="s">
        <v>184</v>
      </c>
      <c r="H1979" s="94">
        <v>1</v>
      </c>
      <c r="I1979" t="s">
        <v>60</v>
      </c>
      <c r="J1979" t="s">
        <v>13</v>
      </c>
    </row>
    <row r="1980" spans="1:10" x14ac:dyDescent="0.25">
      <c r="A1980" t="s">
        <v>134</v>
      </c>
      <c r="B1980" t="s">
        <v>168</v>
      </c>
      <c r="C1980" s="12" t="s">
        <v>182</v>
      </c>
      <c r="D1980" t="s">
        <v>4</v>
      </c>
      <c r="E1980" t="s">
        <v>6</v>
      </c>
      <c r="F1980" t="s">
        <v>16</v>
      </c>
      <c r="G1980" t="s">
        <v>184</v>
      </c>
      <c r="H1980" s="94">
        <v>1</v>
      </c>
      <c r="I1980" t="s">
        <v>60</v>
      </c>
      <c r="J1980" t="s">
        <v>63</v>
      </c>
    </row>
    <row r="1981" spans="1:10" x14ac:dyDescent="0.25">
      <c r="A1981" t="s">
        <v>134</v>
      </c>
      <c r="B1981" t="s">
        <v>168</v>
      </c>
      <c r="C1981" s="12" t="s">
        <v>182</v>
      </c>
      <c r="D1981" t="s">
        <v>4</v>
      </c>
      <c r="E1981" t="s">
        <v>6</v>
      </c>
      <c r="F1981" t="s">
        <v>16</v>
      </c>
      <c r="G1981" t="s">
        <v>184</v>
      </c>
      <c r="H1981" s="94">
        <v>1</v>
      </c>
      <c r="I1981" t="s">
        <v>60</v>
      </c>
      <c r="J1981" t="s">
        <v>11</v>
      </c>
    </row>
    <row r="1982" spans="1:10" x14ac:dyDescent="0.25">
      <c r="A1982" t="s">
        <v>134</v>
      </c>
      <c r="B1982" t="s">
        <v>168</v>
      </c>
      <c r="C1982" s="12" t="s">
        <v>182</v>
      </c>
      <c r="D1982" t="s">
        <v>4</v>
      </c>
      <c r="E1982" t="s">
        <v>6</v>
      </c>
      <c r="F1982" t="s">
        <v>16</v>
      </c>
      <c r="G1982" t="s">
        <v>184</v>
      </c>
      <c r="H1982" s="94">
        <v>0.9</v>
      </c>
      <c r="I1982" t="s">
        <v>107</v>
      </c>
      <c r="J1982" t="s">
        <v>13</v>
      </c>
    </row>
    <row r="1983" spans="1:10" x14ac:dyDescent="0.25">
      <c r="A1983" t="s">
        <v>134</v>
      </c>
      <c r="B1983" t="s">
        <v>168</v>
      </c>
      <c r="C1983" s="12" t="s">
        <v>182</v>
      </c>
      <c r="D1983" t="s">
        <v>4</v>
      </c>
      <c r="E1983" t="s">
        <v>6</v>
      </c>
      <c r="F1983" t="s">
        <v>16</v>
      </c>
      <c r="G1983" t="s">
        <v>184</v>
      </c>
      <c r="H1983" s="94">
        <v>0.9</v>
      </c>
      <c r="I1983" t="s">
        <v>107</v>
      </c>
      <c r="J1983" t="s">
        <v>63</v>
      </c>
    </row>
    <row r="1984" spans="1:10" x14ac:dyDescent="0.25">
      <c r="A1984" t="s">
        <v>134</v>
      </c>
      <c r="B1984" t="s">
        <v>168</v>
      </c>
      <c r="C1984" s="12" t="s">
        <v>182</v>
      </c>
      <c r="D1984" t="s">
        <v>4</v>
      </c>
      <c r="E1984" t="s">
        <v>6</v>
      </c>
      <c r="F1984" t="s">
        <v>16</v>
      </c>
      <c r="G1984" t="s">
        <v>184</v>
      </c>
      <c r="H1984" s="94">
        <v>0.9</v>
      </c>
      <c r="I1984" t="s">
        <v>107</v>
      </c>
      <c r="J1984" t="s">
        <v>11</v>
      </c>
    </row>
    <row r="1985" spans="1:10" x14ac:dyDescent="0.25">
      <c r="A1985" t="s">
        <v>134</v>
      </c>
      <c r="B1985" t="s">
        <v>168</v>
      </c>
      <c r="C1985" s="12" t="s">
        <v>182</v>
      </c>
      <c r="D1985" t="s">
        <v>4</v>
      </c>
      <c r="E1985" t="s">
        <v>6</v>
      </c>
      <c r="F1985" t="s">
        <v>16</v>
      </c>
      <c r="G1985" t="s">
        <v>184</v>
      </c>
      <c r="H1985" s="94">
        <v>0.9</v>
      </c>
      <c r="I1985" t="s">
        <v>62</v>
      </c>
      <c r="J1985" t="s">
        <v>13</v>
      </c>
    </row>
    <row r="1986" spans="1:10" x14ac:dyDescent="0.25">
      <c r="A1986" t="s">
        <v>134</v>
      </c>
      <c r="B1986" t="s">
        <v>168</v>
      </c>
      <c r="C1986" s="12" t="s">
        <v>182</v>
      </c>
      <c r="D1986" t="s">
        <v>4</v>
      </c>
      <c r="E1986" t="s">
        <v>6</v>
      </c>
      <c r="F1986" t="s">
        <v>16</v>
      </c>
      <c r="G1986" t="s">
        <v>184</v>
      </c>
      <c r="H1986" s="94">
        <v>0.9</v>
      </c>
      <c r="I1986" t="s">
        <v>62</v>
      </c>
      <c r="J1986" t="s">
        <v>63</v>
      </c>
    </row>
    <row r="1987" spans="1:10" x14ac:dyDescent="0.25">
      <c r="A1987" t="s">
        <v>134</v>
      </c>
      <c r="B1987" t="s">
        <v>168</v>
      </c>
      <c r="C1987" s="12" t="s">
        <v>182</v>
      </c>
      <c r="D1987" t="s">
        <v>4</v>
      </c>
      <c r="E1987" t="s">
        <v>6</v>
      </c>
      <c r="F1987" t="s">
        <v>16</v>
      </c>
      <c r="G1987" t="s">
        <v>184</v>
      </c>
      <c r="H1987" s="94">
        <v>0.9</v>
      </c>
      <c r="I1987" t="s">
        <v>62</v>
      </c>
      <c r="J1987" t="s">
        <v>11</v>
      </c>
    </row>
    <row r="1988" spans="1:10" x14ac:dyDescent="0.25">
      <c r="A1988" t="s">
        <v>134</v>
      </c>
      <c r="B1988" t="s">
        <v>168</v>
      </c>
      <c r="C1988" s="12" t="s">
        <v>182</v>
      </c>
      <c r="D1988" t="s">
        <v>4</v>
      </c>
      <c r="E1988" t="s">
        <v>6</v>
      </c>
      <c r="F1988" t="s">
        <v>16</v>
      </c>
      <c r="G1988" t="s">
        <v>184</v>
      </c>
      <c r="H1988" s="94">
        <v>0.9</v>
      </c>
      <c r="I1988" t="s">
        <v>60</v>
      </c>
      <c r="J1988" t="s">
        <v>13</v>
      </c>
    </row>
    <row r="1989" spans="1:10" x14ac:dyDescent="0.25">
      <c r="A1989" t="s">
        <v>134</v>
      </c>
      <c r="B1989" t="s">
        <v>168</v>
      </c>
      <c r="C1989" s="12" t="s">
        <v>182</v>
      </c>
      <c r="D1989" t="s">
        <v>4</v>
      </c>
      <c r="E1989" t="s">
        <v>6</v>
      </c>
      <c r="F1989" t="s">
        <v>16</v>
      </c>
      <c r="G1989" t="s">
        <v>184</v>
      </c>
      <c r="H1989" s="94">
        <v>0.9</v>
      </c>
      <c r="I1989" t="s">
        <v>60</v>
      </c>
      <c r="J1989" t="s">
        <v>63</v>
      </c>
    </row>
    <row r="1990" spans="1:10" x14ac:dyDescent="0.25">
      <c r="A1990" t="s">
        <v>134</v>
      </c>
      <c r="B1990" t="s">
        <v>168</v>
      </c>
      <c r="C1990" s="12" t="s">
        <v>182</v>
      </c>
      <c r="D1990" t="s">
        <v>4</v>
      </c>
      <c r="E1990" t="s">
        <v>6</v>
      </c>
      <c r="F1990" t="s">
        <v>16</v>
      </c>
      <c r="G1990" t="s">
        <v>184</v>
      </c>
      <c r="H1990" s="94">
        <v>0.9</v>
      </c>
      <c r="I1990" t="s">
        <v>60</v>
      </c>
      <c r="J1990" t="s">
        <v>11</v>
      </c>
    </row>
    <row r="1991" spans="1:10" x14ac:dyDescent="0.25">
      <c r="A1991" t="s">
        <v>134</v>
      </c>
      <c r="B1991" t="s">
        <v>168</v>
      </c>
      <c r="C1991" s="12" t="s">
        <v>182</v>
      </c>
      <c r="D1991" t="s">
        <v>4</v>
      </c>
      <c r="E1991" t="s">
        <v>6</v>
      </c>
      <c r="F1991" t="s">
        <v>8</v>
      </c>
      <c r="G1991" t="s">
        <v>184</v>
      </c>
      <c r="H1991" s="94">
        <v>1</v>
      </c>
      <c r="I1991" t="s">
        <v>107</v>
      </c>
      <c r="J1991" t="s">
        <v>13</v>
      </c>
    </row>
    <row r="1992" spans="1:10" x14ac:dyDescent="0.25">
      <c r="A1992" t="s">
        <v>134</v>
      </c>
      <c r="B1992" t="s">
        <v>168</v>
      </c>
      <c r="C1992" s="12" t="s">
        <v>182</v>
      </c>
      <c r="D1992" t="s">
        <v>4</v>
      </c>
      <c r="E1992" t="s">
        <v>6</v>
      </c>
      <c r="F1992" t="s">
        <v>8</v>
      </c>
      <c r="G1992" t="s">
        <v>184</v>
      </c>
      <c r="H1992" s="94">
        <v>1</v>
      </c>
      <c r="I1992" t="s">
        <v>107</v>
      </c>
      <c r="J1992" t="s">
        <v>63</v>
      </c>
    </row>
    <row r="1993" spans="1:10" x14ac:dyDescent="0.25">
      <c r="A1993" t="s">
        <v>134</v>
      </c>
      <c r="B1993" t="s">
        <v>168</v>
      </c>
      <c r="C1993" s="12" t="s">
        <v>182</v>
      </c>
      <c r="D1993" t="s">
        <v>4</v>
      </c>
      <c r="E1993" t="s">
        <v>6</v>
      </c>
      <c r="F1993" t="s">
        <v>8</v>
      </c>
      <c r="G1993" t="s">
        <v>184</v>
      </c>
      <c r="H1993" s="94">
        <v>1</v>
      </c>
      <c r="I1993" t="s">
        <v>107</v>
      </c>
      <c r="J1993" t="s">
        <v>11</v>
      </c>
    </row>
    <row r="1994" spans="1:10" x14ac:dyDescent="0.25">
      <c r="A1994" t="s">
        <v>134</v>
      </c>
      <c r="B1994" t="s">
        <v>168</v>
      </c>
      <c r="C1994" s="12" t="s">
        <v>182</v>
      </c>
      <c r="D1994" t="s">
        <v>4</v>
      </c>
      <c r="E1994" t="s">
        <v>6</v>
      </c>
      <c r="F1994" t="s">
        <v>8</v>
      </c>
      <c r="G1994" t="s">
        <v>184</v>
      </c>
      <c r="H1994" s="94">
        <v>1</v>
      </c>
      <c r="I1994" t="s">
        <v>62</v>
      </c>
      <c r="J1994" t="s">
        <v>13</v>
      </c>
    </row>
    <row r="1995" spans="1:10" x14ac:dyDescent="0.25">
      <c r="A1995" t="s">
        <v>134</v>
      </c>
      <c r="B1995" t="s">
        <v>168</v>
      </c>
      <c r="C1995" s="12" t="s">
        <v>182</v>
      </c>
      <c r="D1995" t="s">
        <v>4</v>
      </c>
      <c r="E1995" t="s">
        <v>6</v>
      </c>
      <c r="F1995" t="s">
        <v>8</v>
      </c>
      <c r="G1995" t="s">
        <v>184</v>
      </c>
      <c r="H1995" s="94">
        <v>1</v>
      </c>
      <c r="I1995" t="s">
        <v>62</v>
      </c>
      <c r="J1995" t="s">
        <v>63</v>
      </c>
    </row>
    <row r="1996" spans="1:10" x14ac:dyDescent="0.25">
      <c r="A1996" t="s">
        <v>134</v>
      </c>
      <c r="B1996" t="s">
        <v>168</v>
      </c>
      <c r="C1996" s="12" t="s">
        <v>182</v>
      </c>
      <c r="D1996" t="s">
        <v>4</v>
      </c>
      <c r="E1996" t="s">
        <v>6</v>
      </c>
      <c r="F1996" t="s">
        <v>8</v>
      </c>
      <c r="G1996" t="s">
        <v>184</v>
      </c>
      <c r="H1996" s="94">
        <v>1</v>
      </c>
      <c r="I1996" t="s">
        <v>62</v>
      </c>
      <c r="J1996" t="s">
        <v>11</v>
      </c>
    </row>
    <row r="1997" spans="1:10" x14ac:dyDescent="0.25">
      <c r="A1997" t="s">
        <v>134</v>
      </c>
      <c r="B1997" t="s">
        <v>168</v>
      </c>
      <c r="C1997" s="12" t="s">
        <v>182</v>
      </c>
      <c r="D1997" t="s">
        <v>4</v>
      </c>
      <c r="E1997" t="s">
        <v>6</v>
      </c>
      <c r="F1997" t="s">
        <v>8</v>
      </c>
      <c r="G1997" t="s">
        <v>184</v>
      </c>
      <c r="H1997" s="94">
        <v>1</v>
      </c>
      <c r="I1997" t="s">
        <v>60</v>
      </c>
      <c r="J1997" t="s">
        <v>13</v>
      </c>
    </row>
    <row r="1998" spans="1:10" x14ac:dyDescent="0.25">
      <c r="A1998" t="s">
        <v>134</v>
      </c>
      <c r="B1998" t="s">
        <v>168</v>
      </c>
      <c r="C1998" s="12" t="s">
        <v>182</v>
      </c>
      <c r="D1998" t="s">
        <v>4</v>
      </c>
      <c r="E1998" t="s">
        <v>6</v>
      </c>
      <c r="F1998" t="s">
        <v>8</v>
      </c>
      <c r="G1998" t="s">
        <v>184</v>
      </c>
      <c r="H1998" s="94">
        <v>1</v>
      </c>
      <c r="I1998" t="s">
        <v>60</v>
      </c>
      <c r="J1998" t="s">
        <v>63</v>
      </c>
    </row>
    <row r="1999" spans="1:10" x14ac:dyDescent="0.25">
      <c r="A1999" t="s">
        <v>134</v>
      </c>
      <c r="B1999" t="s">
        <v>168</v>
      </c>
      <c r="C1999" s="12" t="s">
        <v>182</v>
      </c>
      <c r="D1999" t="s">
        <v>4</v>
      </c>
      <c r="E1999" t="s">
        <v>6</v>
      </c>
      <c r="F1999" t="s">
        <v>8</v>
      </c>
      <c r="G1999" t="s">
        <v>184</v>
      </c>
      <c r="H1999" s="94">
        <v>1</v>
      </c>
      <c r="I1999" t="s">
        <v>60</v>
      </c>
      <c r="J1999" t="s">
        <v>11</v>
      </c>
    </row>
    <row r="2000" spans="1:10" x14ac:dyDescent="0.25">
      <c r="A2000" t="s">
        <v>134</v>
      </c>
      <c r="B2000" t="s">
        <v>168</v>
      </c>
      <c r="C2000" s="12" t="s">
        <v>182</v>
      </c>
      <c r="D2000" t="s">
        <v>4</v>
      </c>
      <c r="E2000" t="s">
        <v>6</v>
      </c>
      <c r="F2000" t="s">
        <v>8</v>
      </c>
      <c r="G2000" t="s">
        <v>184</v>
      </c>
      <c r="H2000" s="94">
        <v>0.9</v>
      </c>
      <c r="I2000" t="s">
        <v>107</v>
      </c>
      <c r="J2000" t="s">
        <v>13</v>
      </c>
    </row>
    <row r="2001" spans="1:10" x14ac:dyDescent="0.25">
      <c r="A2001" t="s">
        <v>134</v>
      </c>
      <c r="B2001" t="s">
        <v>168</v>
      </c>
      <c r="C2001" s="12" t="s">
        <v>182</v>
      </c>
      <c r="D2001" t="s">
        <v>4</v>
      </c>
      <c r="E2001" t="s">
        <v>6</v>
      </c>
      <c r="F2001" t="s">
        <v>8</v>
      </c>
      <c r="G2001" t="s">
        <v>184</v>
      </c>
      <c r="H2001" s="94">
        <v>0.9</v>
      </c>
      <c r="I2001" t="s">
        <v>107</v>
      </c>
      <c r="J2001" t="s">
        <v>63</v>
      </c>
    </row>
    <row r="2002" spans="1:10" x14ac:dyDescent="0.25">
      <c r="A2002" t="s">
        <v>134</v>
      </c>
      <c r="B2002" t="s">
        <v>168</v>
      </c>
      <c r="C2002" s="12" t="s">
        <v>182</v>
      </c>
      <c r="D2002" t="s">
        <v>4</v>
      </c>
      <c r="E2002" t="s">
        <v>6</v>
      </c>
      <c r="F2002" t="s">
        <v>8</v>
      </c>
      <c r="G2002" t="s">
        <v>184</v>
      </c>
      <c r="H2002" s="94">
        <v>0.9</v>
      </c>
      <c r="I2002" t="s">
        <v>107</v>
      </c>
      <c r="J2002" t="s">
        <v>11</v>
      </c>
    </row>
    <row r="2003" spans="1:10" x14ac:dyDescent="0.25">
      <c r="A2003" t="s">
        <v>134</v>
      </c>
      <c r="B2003" t="s">
        <v>168</v>
      </c>
      <c r="C2003" s="12" t="s">
        <v>182</v>
      </c>
      <c r="D2003" t="s">
        <v>4</v>
      </c>
      <c r="E2003" t="s">
        <v>6</v>
      </c>
      <c r="F2003" t="s">
        <v>8</v>
      </c>
      <c r="G2003" t="s">
        <v>184</v>
      </c>
      <c r="H2003" s="94">
        <v>0.9</v>
      </c>
      <c r="I2003" t="s">
        <v>62</v>
      </c>
      <c r="J2003" t="s">
        <v>13</v>
      </c>
    </row>
    <row r="2004" spans="1:10" x14ac:dyDescent="0.25">
      <c r="A2004" t="s">
        <v>134</v>
      </c>
      <c r="B2004" t="s">
        <v>168</v>
      </c>
      <c r="C2004" s="12" t="s">
        <v>182</v>
      </c>
      <c r="D2004" t="s">
        <v>4</v>
      </c>
      <c r="E2004" t="s">
        <v>6</v>
      </c>
      <c r="F2004" t="s">
        <v>8</v>
      </c>
      <c r="G2004" t="s">
        <v>184</v>
      </c>
      <c r="H2004" s="94">
        <v>0.9</v>
      </c>
      <c r="I2004" t="s">
        <v>62</v>
      </c>
      <c r="J2004" t="s">
        <v>63</v>
      </c>
    </row>
    <row r="2005" spans="1:10" x14ac:dyDescent="0.25">
      <c r="A2005" t="s">
        <v>134</v>
      </c>
      <c r="B2005" t="s">
        <v>168</v>
      </c>
      <c r="C2005" s="12" t="s">
        <v>182</v>
      </c>
      <c r="D2005" t="s">
        <v>4</v>
      </c>
      <c r="E2005" t="s">
        <v>6</v>
      </c>
      <c r="F2005" t="s">
        <v>8</v>
      </c>
      <c r="G2005" t="s">
        <v>184</v>
      </c>
      <c r="H2005" s="94">
        <v>0.9</v>
      </c>
      <c r="I2005" t="s">
        <v>62</v>
      </c>
      <c r="J2005" t="s">
        <v>11</v>
      </c>
    </row>
    <row r="2006" spans="1:10" x14ac:dyDescent="0.25">
      <c r="A2006" t="s">
        <v>134</v>
      </c>
      <c r="B2006" t="s">
        <v>168</v>
      </c>
      <c r="C2006" s="12" t="s">
        <v>182</v>
      </c>
      <c r="D2006" t="s">
        <v>4</v>
      </c>
      <c r="E2006" t="s">
        <v>6</v>
      </c>
      <c r="F2006" t="s">
        <v>8</v>
      </c>
      <c r="G2006" t="s">
        <v>184</v>
      </c>
      <c r="H2006" s="94">
        <v>0.9</v>
      </c>
      <c r="I2006" t="s">
        <v>60</v>
      </c>
      <c r="J2006" t="s">
        <v>13</v>
      </c>
    </row>
    <row r="2007" spans="1:10" x14ac:dyDescent="0.25">
      <c r="A2007" t="s">
        <v>134</v>
      </c>
      <c r="B2007" t="s">
        <v>168</v>
      </c>
      <c r="C2007" s="12" t="s">
        <v>182</v>
      </c>
      <c r="D2007" t="s">
        <v>4</v>
      </c>
      <c r="E2007" t="s">
        <v>6</v>
      </c>
      <c r="F2007" t="s">
        <v>8</v>
      </c>
      <c r="G2007" t="s">
        <v>184</v>
      </c>
      <c r="H2007" s="94">
        <v>0.9</v>
      </c>
      <c r="I2007" t="s">
        <v>60</v>
      </c>
      <c r="J2007" t="s">
        <v>63</v>
      </c>
    </row>
    <row r="2008" spans="1:10" x14ac:dyDescent="0.25">
      <c r="A2008" t="s">
        <v>134</v>
      </c>
      <c r="B2008" t="s">
        <v>168</v>
      </c>
      <c r="C2008" s="12" t="s">
        <v>182</v>
      </c>
      <c r="D2008" t="s">
        <v>4</v>
      </c>
      <c r="E2008" t="s">
        <v>6</v>
      </c>
      <c r="F2008" t="s">
        <v>8</v>
      </c>
      <c r="G2008" t="s">
        <v>184</v>
      </c>
      <c r="H2008" s="94">
        <v>0.9</v>
      </c>
      <c r="I2008" t="s">
        <v>60</v>
      </c>
      <c r="J2008" t="s">
        <v>11</v>
      </c>
    </row>
    <row r="2009" spans="1:10" x14ac:dyDescent="0.25">
      <c r="A2009" t="s">
        <v>134</v>
      </c>
      <c r="B2009" t="s">
        <v>168</v>
      </c>
      <c r="C2009" s="12" t="s">
        <v>182</v>
      </c>
      <c r="D2009" t="s">
        <v>4</v>
      </c>
      <c r="E2009" t="s">
        <v>12</v>
      </c>
      <c r="F2009" t="s">
        <v>72</v>
      </c>
      <c r="G2009" t="s">
        <v>184</v>
      </c>
      <c r="H2009" s="95">
        <v>1.5</v>
      </c>
      <c r="I2009" t="s">
        <v>107</v>
      </c>
      <c r="J2009" t="s">
        <v>13</v>
      </c>
    </row>
    <row r="2010" spans="1:10" x14ac:dyDescent="0.25">
      <c r="A2010" t="s">
        <v>134</v>
      </c>
      <c r="B2010" t="s">
        <v>168</v>
      </c>
      <c r="C2010" s="12" t="s">
        <v>182</v>
      </c>
      <c r="D2010" t="s">
        <v>4</v>
      </c>
      <c r="E2010" t="s">
        <v>12</v>
      </c>
      <c r="F2010" t="s">
        <v>72</v>
      </c>
      <c r="G2010" t="s">
        <v>184</v>
      </c>
      <c r="H2010" s="95">
        <v>1.5</v>
      </c>
      <c r="I2010" t="s">
        <v>107</v>
      </c>
      <c r="J2010" t="s">
        <v>63</v>
      </c>
    </row>
    <row r="2011" spans="1:10" x14ac:dyDescent="0.25">
      <c r="A2011" t="s">
        <v>134</v>
      </c>
      <c r="B2011" t="s">
        <v>168</v>
      </c>
      <c r="C2011" s="12" t="s">
        <v>182</v>
      </c>
      <c r="D2011" t="s">
        <v>4</v>
      </c>
      <c r="E2011" t="s">
        <v>12</v>
      </c>
      <c r="F2011" t="s">
        <v>72</v>
      </c>
      <c r="G2011" t="s">
        <v>184</v>
      </c>
      <c r="H2011" s="95">
        <v>1.5</v>
      </c>
      <c r="I2011" t="s">
        <v>107</v>
      </c>
      <c r="J2011" t="s">
        <v>11</v>
      </c>
    </row>
    <row r="2012" spans="1:10" x14ac:dyDescent="0.25">
      <c r="A2012" t="s">
        <v>134</v>
      </c>
      <c r="B2012" t="s">
        <v>168</v>
      </c>
      <c r="C2012" s="12" t="s">
        <v>182</v>
      </c>
      <c r="D2012" t="s">
        <v>4</v>
      </c>
      <c r="E2012" t="s">
        <v>12</v>
      </c>
      <c r="F2012" t="s">
        <v>72</v>
      </c>
      <c r="G2012" t="s">
        <v>184</v>
      </c>
      <c r="H2012" s="95">
        <v>1.5</v>
      </c>
      <c r="I2012" t="s">
        <v>62</v>
      </c>
      <c r="J2012" t="s">
        <v>13</v>
      </c>
    </row>
    <row r="2013" spans="1:10" x14ac:dyDescent="0.25">
      <c r="A2013" t="s">
        <v>134</v>
      </c>
      <c r="B2013" t="s">
        <v>168</v>
      </c>
      <c r="C2013" s="12" t="s">
        <v>182</v>
      </c>
      <c r="D2013" t="s">
        <v>4</v>
      </c>
      <c r="E2013" t="s">
        <v>12</v>
      </c>
      <c r="F2013" t="s">
        <v>72</v>
      </c>
      <c r="G2013" t="s">
        <v>184</v>
      </c>
      <c r="H2013" s="95">
        <v>1.5</v>
      </c>
      <c r="I2013" t="s">
        <v>62</v>
      </c>
      <c r="J2013" t="s">
        <v>63</v>
      </c>
    </row>
    <row r="2014" spans="1:10" x14ac:dyDescent="0.25">
      <c r="A2014" t="s">
        <v>134</v>
      </c>
      <c r="B2014" t="s">
        <v>168</v>
      </c>
      <c r="C2014" s="12" t="s">
        <v>182</v>
      </c>
      <c r="D2014" t="s">
        <v>4</v>
      </c>
      <c r="E2014" t="s">
        <v>12</v>
      </c>
      <c r="F2014" t="s">
        <v>72</v>
      </c>
      <c r="G2014" t="s">
        <v>184</v>
      </c>
      <c r="H2014" s="95">
        <v>1.5</v>
      </c>
      <c r="I2014" t="s">
        <v>62</v>
      </c>
      <c r="J2014" t="s">
        <v>11</v>
      </c>
    </row>
    <row r="2015" spans="1:10" x14ac:dyDescent="0.25">
      <c r="A2015" t="s">
        <v>134</v>
      </c>
      <c r="B2015" t="s">
        <v>168</v>
      </c>
      <c r="C2015" s="12" t="s">
        <v>182</v>
      </c>
      <c r="D2015" t="s">
        <v>4</v>
      </c>
      <c r="E2015" t="s">
        <v>12</v>
      </c>
      <c r="F2015" t="s">
        <v>72</v>
      </c>
      <c r="G2015" t="s">
        <v>184</v>
      </c>
      <c r="H2015" s="95">
        <v>1.5</v>
      </c>
      <c r="I2015" t="s">
        <v>60</v>
      </c>
      <c r="J2015" t="s">
        <v>13</v>
      </c>
    </row>
    <row r="2016" spans="1:10" x14ac:dyDescent="0.25">
      <c r="A2016" t="s">
        <v>134</v>
      </c>
      <c r="B2016" t="s">
        <v>168</v>
      </c>
      <c r="C2016" s="12" t="s">
        <v>182</v>
      </c>
      <c r="D2016" t="s">
        <v>4</v>
      </c>
      <c r="E2016" t="s">
        <v>12</v>
      </c>
      <c r="F2016" t="s">
        <v>72</v>
      </c>
      <c r="G2016" t="s">
        <v>184</v>
      </c>
      <c r="H2016" s="95">
        <v>1.5</v>
      </c>
      <c r="I2016" t="s">
        <v>60</v>
      </c>
      <c r="J2016" t="s">
        <v>63</v>
      </c>
    </row>
    <row r="2017" spans="1:10" x14ac:dyDescent="0.25">
      <c r="A2017" t="s">
        <v>134</v>
      </c>
      <c r="B2017" t="s">
        <v>168</v>
      </c>
      <c r="C2017" s="12" t="s">
        <v>182</v>
      </c>
      <c r="D2017" t="s">
        <v>4</v>
      </c>
      <c r="E2017" t="s">
        <v>12</v>
      </c>
      <c r="F2017" t="s">
        <v>72</v>
      </c>
      <c r="G2017" t="s">
        <v>184</v>
      </c>
      <c r="H2017" s="95">
        <v>1.5</v>
      </c>
      <c r="I2017" t="s">
        <v>60</v>
      </c>
      <c r="J2017" t="s">
        <v>11</v>
      </c>
    </row>
    <row r="2018" spans="1:10" x14ac:dyDescent="0.25">
      <c r="A2018" t="s">
        <v>134</v>
      </c>
      <c r="B2018" t="s">
        <v>168</v>
      </c>
      <c r="C2018" s="12" t="s">
        <v>182</v>
      </c>
      <c r="D2018" t="s">
        <v>4</v>
      </c>
      <c r="E2018" t="s">
        <v>12</v>
      </c>
      <c r="F2018" t="s">
        <v>16</v>
      </c>
      <c r="G2018" t="s">
        <v>184</v>
      </c>
      <c r="H2018" s="95">
        <v>1.5</v>
      </c>
      <c r="I2018" t="s">
        <v>107</v>
      </c>
      <c r="J2018" t="s">
        <v>13</v>
      </c>
    </row>
    <row r="2019" spans="1:10" x14ac:dyDescent="0.25">
      <c r="A2019" t="s">
        <v>134</v>
      </c>
      <c r="B2019" t="s">
        <v>168</v>
      </c>
      <c r="C2019" s="12" t="s">
        <v>182</v>
      </c>
      <c r="D2019" t="s">
        <v>4</v>
      </c>
      <c r="E2019" t="s">
        <v>12</v>
      </c>
      <c r="F2019" t="s">
        <v>16</v>
      </c>
      <c r="G2019" t="s">
        <v>184</v>
      </c>
      <c r="H2019" s="95">
        <v>1.5</v>
      </c>
      <c r="I2019" t="s">
        <v>107</v>
      </c>
      <c r="J2019" t="s">
        <v>63</v>
      </c>
    </row>
    <row r="2020" spans="1:10" x14ac:dyDescent="0.25">
      <c r="A2020" t="s">
        <v>134</v>
      </c>
      <c r="B2020" t="s">
        <v>168</v>
      </c>
      <c r="C2020" s="12" t="s">
        <v>182</v>
      </c>
      <c r="D2020" t="s">
        <v>4</v>
      </c>
      <c r="E2020" t="s">
        <v>12</v>
      </c>
      <c r="F2020" t="s">
        <v>16</v>
      </c>
      <c r="G2020" t="s">
        <v>184</v>
      </c>
      <c r="H2020" s="95">
        <v>1.5</v>
      </c>
      <c r="I2020" t="s">
        <v>107</v>
      </c>
      <c r="J2020" t="s">
        <v>11</v>
      </c>
    </row>
    <row r="2021" spans="1:10" x14ac:dyDescent="0.25">
      <c r="A2021" t="s">
        <v>134</v>
      </c>
      <c r="B2021" t="s">
        <v>168</v>
      </c>
      <c r="C2021" s="12" t="s">
        <v>182</v>
      </c>
      <c r="D2021" t="s">
        <v>4</v>
      </c>
      <c r="E2021" t="s">
        <v>12</v>
      </c>
      <c r="F2021" t="s">
        <v>16</v>
      </c>
      <c r="G2021" t="s">
        <v>184</v>
      </c>
      <c r="H2021" s="95">
        <v>1.5</v>
      </c>
      <c r="I2021" t="s">
        <v>62</v>
      </c>
      <c r="J2021" t="s">
        <v>13</v>
      </c>
    </row>
    <row r="2022" spans="1:10" x14ac:dyDescent="0.25">
      <c r="A2022" t="s">
        <v>134</v>
      </c>
      <c r="B2022" t="s">
        <v>168</v>
      </c>
      <c r="C2022" s="12" t="s">
        <v>182</v>
      </c>
      <c r="D2022" t="s">
        <v>4</v>
      </c>
      <c r="E2022" t="s">
        <v>12</v>
      </c>
      <c r="F2022" t="s">
        <v>16</v>
      </c>
      <c r="G2022" t="s">
        <v>184</v>
      </c>
      <c r="H2022" s="95">
        <v>1.5</v>
      </c>
      <c r="I2022" t="s">
        <v>62</v>
      </c>
      <c r="J2022" t="s">
        <v>63</v>
      </c>
    </row>
    <row r="2023" spans="1:10" x14ac:dyDescent="0.25">
      <c r="A2023" t="s">
        <v>134</v>
      </c>
      <c r="B2023" t="s">
        <v>168</v>
      </c>
      <c r="C2023" s="12" t="s">
        <v>182</v>
      </c>
      <c r="D2023" t="s">
        <v>4</v>
      </c>
      <c r="E2023" t="s">
        <v>12</v>
      </c>
      <c r="F2023" t="s">
        <v>16</v>
      </c>
      <c r="G2023" t="s">
        <v>184</v>
      </c>
      <c r="H2023" s="95">
        <v>1.5</v>
      </c>
      <c r="I2023" t="s">
        <v>62</v>
      </c>
      <c r="J2023" t="s">
        <v>11</v>
      </c>
    </row>
    <row r="2024" spans="1:10" x14ac:dyDescent="0.25">
      <c r="A2024" t="s">
        <v>134</v>
      </c>
      <c r="B2024" t="s">
        <v>168</v>
      </c>
      <c r="C2024" s="12" t="s">
        <v>182</v>
      </c>
      <c r="D2024" t="s">
        <v>4</v>
      </c>
      <c r="E2024" t="s">
        <v>12</v>
      </c>
      <c r="F2024" t="s">
        <v>16</v>
      </c>
      <c r="G2024" t="s">
        <v>184</v>
      </c>
      <c r="H2024" s="95">
        <v>1.5</v>
      </c>
      <c r="I2024" t="s">
        <v>60</v>
      </c>
      <c r="J2024" t="s">
        <v>13</v>
      </c>
    </row>
    <row r="2025" spans="1:10" x14ac:dyDescent="0.25">
      <c r="A2025" t="s">
        <v>134</v>
      </c>
      <c r="B2025" t="s">
        <v>168</v>
      </c>
      <c r="C2025" s="12" t="s">
        <v>182</v>
      </c>
      <c r="D2025" t="s">
        <v>4</v>
      </c>
      <c r="E2025" t="s">
        <v>12</v>
      </c>
      <c r="F2025" t="s">
        <v>16</v>
      </c>
      <c r="G2025" t="s">
        <v>184</v>
      </c>
      <c r="H2025" s="95">
        <v>1.5</v>
      </c>
      <c r="I2025" t="s">
        <v>60</v>
      </c>
      <c r="J2025" t="s">
        <v>63</v>
      </c>
    </row>
    <row r="2026" spans="1:10" x14ac:dyDescent="0.25">
      <c r="A2026" t="s">
        <v>134</v>
      </c>
      <c r="B2026" t="s">
        <v>168</v>
      </c>
      <c r="C2026" s="12" t="s">
        <v>182</v>
      </c>
      <c r="D2026" t="s">
        <v>4</v>
      </c>
      <c r="E2026" t="s">
        <v>12</v>
      </c>
      <c r="F2026" t="s">
        <v>16</v>
      </c>
      <c r="G2026" t="s">
        <v>184</v>
      </c>
      <c r="H2026" s="95">
        <v>1.5</v>
      </c>
      <c r="I2026" t="s">
        <v>60</v>
      </c>
      <c r="J2026" t="s">
        <v>11</v>
      </c>
    </row>
    <row r="2027" spans="1:10" x14ac:dyDescent="0.25">
      <c r="A2027" t="s">
        <v>134</v>
      </c>
      <c r="B2027" t="s">
        <v>168</v>
      </c>
      <c r="C2027" s="12" t="s">
        <v>182</v>
      </c>
      <c r="D2027" t="s">
        <v>4</v>
      </c>
      <c r="E2027" t="s">
        <v>12</v>
      </c>
      <c r="F2027" t="s">
        <v>8</v>
      </c>
      <c r="G2027" t="s">
        <v>184</v>
      </c>
      <c r="H2027" s="95">
        <v>1.5</v>
      </c>
      <c r="I2027" t="s">
        <v>107</v>
      </c>
      <c r="J2027" t="s">
        <v>13</v>
      </c>
    </row>
    <row r="2028" spans="1:10" x14ac:dyDescent="0.25">
      <c r="A2028" t="s">
        <v>134</v>
      </c>
      <c r="B2028" t="s">
        <v>168</v>
      </c>
      <c r="C2028" s="12" t="s">
        <v>182</v>
      </c>
      <c r="D2028" t="s">
        <v>4</v>
      </c>
      <c r="E2028" t="s">
        <v>12</v>
      </c>
      <c r="F2028" t="s">
        <v>8</v>
      </c>
      <c r="G2028" t="s">
        <v>184</v>
      </c>
      <c r="H2028" s="95">
        <v>1.5</v>
      </c>
      <c r="I2028" t="s">
        <v>107</v>
      </c>
      <c r="J2028" t="s">
        <v>63</v>
      </c>
    </row>
    <row r="2029" spans="1:10" x14ac:dyDescent="0.25">
      <c r="A2029" t="s">
        <v>134</v>
      </c>
      <c r="B2029" t="s">
        <v>168</v>
      </c>
      <c r="C2029" s="12" t="s">
        <v>182</v>
      </c>
      <c r="D2029" t="s">
        <v>4</v>
      </c>
      <c r="E2029" t="s">
        <v>12</v>
      </c>
      <c r="F2029" t="s">
        <v>8</v>
      </c>
      <c r="G2029" t="s">
        <v>184</v>
      </c>
      <c r="H2029" s="95">
        <v>1.5</v>
      </c>
      <c r="I2029" t="s">
        <v>107</v>
      </c>
      <c r="J2029" t="s">
        <v>11</v>
      </c>
    </row>
    <row r="2030" spans="1:10" x14ac:dyDescent="0.25">
      <c r="A2030" t="s">
        <v>134</v>
      </c>
      <c r="B2030" t="s">
        <v>168</v>
      </c>
      <c r="C2030" s="12" t="s">
        <v>182</v>
      </c>
      <c r="D2030" t="s">
        <v>4</v>
      </c>
      <c r="E2030" t="s">
        <v>12</v>
      </c>
      <c r="F2030" t="s">
        <v>8</v>
      </c>
      <c r="G2030" t="s">
        <v>184</v>
      </c>
      <c r="H2030" s="95">
        <v>1.5</v>
      </c>
      <c r="I2030" t="s">
        <v>62</v>
      </c>
      <c r="J2030" t="s">
        <v>13</v>
      </c>
    </row>
    <row r="2031" spans="1:10" x14ac:dyDescent="0.25">
      <c r="A2031" t="s">
        <v>134</v>
      </c>
      <c r="B2031" t="s">
        <v>168</v>
      </c>
      <c r="C2031" s="12" t="s">
        <v>182</v>
      </c>
      <c r="D2031" t="s">
        <v>4</v>
      </c>
      <c r="E2031" t="s">
        <v>12</v>
      </c>
      <c r="F2031" t="s">
        <v>8</v>
      </c>
      <c r="G2031" t="s">
        <v>184</v>
      </c>
      <c r="H2031" s="95">
        <v>1.5</v>
      </c>
      <c r="I2031" t="s">
        <v>62</v>
      </c>
      <c r="J2031" t="s">
        <v>63</v>
      </c>
    </row>
    <row r="2032" spans="1:10" x14ac:dyDescent="0.25">
      <c r="A2032" t="s">
        <v>134</v>
      </c>
      <c r="B2032" t="s">
        <v>168</v>
      </c>
      <c r="C2032" s="12" t="s">
        <v>182</v>
      </c>
      <c r="D2032" t="s">
        <v>4</v>
      </c>
      <c r="E2032" t="s">
        <v>12</v>
      </c>
      <c r="F2032" t="s">
        <v>8</v>
      </c>
      <c r="G2032" t="s">
        <v>184</v>
      </c>
      <c r="H2032" s="95">
        <v>1.5</v>
      </c>
      <c r="I2032" t="s">
        <v>62</v>
      </c>
      <c r="J2032" t="s">
        <v>11</v>
      </c>
    </row>
    <row r="2033" spans="1:10" x14ac:dyDescent="0.25">
      <c r="A2033" t="s">
        <v>134</v>
      </c>
      <c r="B2033" t="s">
        <v>168</v>
      </c>
      <c r="C2033" s="12" t="s">
        <v>182</v>
      </c>
      <c r="D2033" t="s">
        <v>4</v>
      </c>
      <c r="E2033" t="s">
        <v>12</v>
      </c>
      <c r="F2033" t="s">
        <v>8</v>
      </c>
      <c r="G2033" t="s">
        <v>184</v>
      </c>
      <c r="H2033" s="95">
        <v>1.5</v>
      </c>
      <c r="I2033" t="s">
        <v>60</v>
      </c>
      <c r="J2033" t="s">
        <v>13</v>
      </c>
    </row>
    <row r="2034" spans="1:10" x14ac:dyDescent="0.25">
      <c r="A2034" t="s">
        <v>134</v>
      </c>
      <c r="B2034" t="s">
        <v>168</v>
      </c>
      <c r="C2034" s="12" t="s">
        <v>182</v>
      </c>
      <c r="D2034" t="s">
        <v>4</v>
      </c>
      <c r="E2034" t="s">
        <v>12</v>
      </c>
      <c r="F2034" t="s">
        <v>8</v>
      </c>
      <c r="G2034" t="s">
        <v>184</v>
      </c>
      <c r="H2034" s="95">
        <v>1.5</v>
      </c>
      <c r="I2034" t="s">
        <v>60</v>
      </c>
      <c r="J2034" t="s">
        <v>63</v>
      </c>
    </row>
    <row r="2035" spans="1:10" x14ac:dyDescent="0.25">
      <c r="A2035" t="s">
        <v>134</v>
      </c>
      <c r="B2035" t="s">
        <v>168</v>
      </c>
      <c r="C2035" s="12" t="s">
        <v>182</v>
      </c>
      <c r="D2035" t="s">
        <v>4</v>
      </c>
      <c r="E2035" t="s">
        <v>12</v>
      </c>
      <c r="F2035" t="s">
        <v>8</v>
      </c>
      <c r="G2035" t="s">
        <v>184</v>
      </c>
      <c r="H2035" s="95">
        <v>1.5</v>
      </c>
      <c r="I2035" t="s">
        <v>60</v>
      </c>
      <c r="J2035" t="s">
        <v>11</v>
      </c>
    </row>
    <row r="2036" spans="1:10" x14ac:dyDescent="0.25">
      <c r="A2036" t="s">
        <v>134</v>
      </c>
      <c r="B2036" t="s">
        <v>168</v>
      </c>
      <c r="C2036" s="12" t="s">
        <v>182</v>
      </c>
      <c r="D2036" t="s">
        <v>4</v>
      </c>
      <c r="E2036" t="s">
        <v>6</v>
      </c>
      <c r="F2036" t="s">
        <v>72</v>
      </c>
      <c r="G2036" t="s">
        <v>184</v>
      </c>
      <c r="H2036" s="95">
        <v>1.5</v>
      </c>
      <c r="I2036" t="s">
        <v>107</v>
      </c>
      <c r="J2036" t="s">
        <v>13</v>
      </c>
    </row>
    <row r="2037" spans="1:10" x14ac:dyDescent="0.25">
      <c r="A2037" t="s">
        <v>134</v>
      </c>
      <c r="B2037" t="s">
        <v>168</v>
      </c>
      <c r="C2037" s="12" t="s">
        <v>182</v>
      </c>
      <c r="D2037" t="s">
        <v>4</v>
      </c>
      <c r="E2037" t="s">
        <v>6</v>
      </c>
      <c r="F2037" t="s">
        <v>72</v>
      </c>
      <c r="G2037" t="s">
        <v>184</v>
      </c>
      <c r="H2037" s="95">
        <v>1.5</v>
      </c>
      <c r="I2037" t="s">
        <v>107</v>
      </c>
      <c r="J2037" t="s">
        <v>63</v>
      </c>
    </row>
    <row r="2038" spans="1:10" x14ac:dyDescent="0.25">
      <c r="A2038" t="s">
        <v>134</v>
      </c>
      <c r="B2038" t="s">
        <v>168</v>
      </c>
      <c r="C2038" s="12" t="s">
        <v>182</v>
      </c>
      <c r="D2038" t="s">
        <v>4</v>
      </c>
      <c r="E2038" t="s">
        <v>6</v>
      </c>
      <c r="F2038" t="s">
        <v>72</v>
      </c>
      <c r="G2038" t="s">
        <v>184</v>
      </c>
      <c r="H2038" s="95">
        <v>1.5</v>
      </c>
      <c r="I2038" t="s">
        <v>107</v>
      </c>
      <c r="J2038" t="s">
        <v>11</v>
      </c>
    </row>
    <row r="2039" spans="1:10" x14ac:dyDescent="0.25">
      <c r="A2039" t="s">
        <v>134</v>
      </c>
      <c r="B2039" t="s">
        <v>168</v>
      </c>
      <c r="C2039" s="12" t="s">
        <v>182</v>
      </c>
      <c r="D2039" t="s">
        <v>4</v>
      </c>
      <c r="E2039" t="s">
        <v>6</v>
      </c>
      <c r="F2039" t="s">
        <v>72</v>
      </c>
      <c r="G2039" t="s">
        <v>184</v>
      </c>
      <c r="H2039" s="95">
        <v>1.5</v>
      </c>
      <c r="I2039" t="s">
        <v>62</v>
      </c>
      <c r="J2039" t="s">
        <v>13</v>
      </c>
    </row>
    <row r="2040" spans="1:10" x14ac:dyDescent="0.25">
      <c r="A2040" t="s">
        <v>134</v>
      </c>
      <c r="B2040" t="s">
        <v>168</v>
      </c>
      <c r="C2040" s="12" t="s">
        <v>182</v>
      </c>
      <c r="D2040" t="s">
        <v>4</v>
      </c>
      <c r="E2040" t="s">
        <v>6</v>
      </c>
      <c r="F2040" t="s">
        <v>72</v>
      </c>
      <c r="G2040" t="s">
        <v>184</v>
      </c>
      <c r="H2040" s="95">
        <v>1.5</v>
      </c>
      <c r="I2040" t="s">
        <v>62</v>
      </c>
      <c r="J2040" t="s">
        <v>63</v>
      </c>
    </row>
    <row r="2041" spans="1:10" x14ac:dyDescent="0.25">
      <c r="A2041" t="s">
        <v>134</v>
      </c>
      <c r="B2041" t="s">
        <v>168</v>
      </c>
      <c r="C2041" s="12" t="s">
        <v>182</v>
      </c>
      <c r="D2041" t="s">
        <v>4</v>
      </c>
      <c r="E2041" t="s">
        <v>6</v>
      </c>
      <c r="F2041" t="s">
        <v>72</v>
      </c>
      <c r="G2041" t="s">
        <v>184</v>
      </c>
      <c r="H2041" s="95">
        <v>1.5</v>
      </c>
      <c r="I2041" t="s">
        <v>62</v>
      </c>
      <c r="J2041" t="s">
        <v>11</v>
      </c>
    </row>
    <row r="2042" spans="1:10" x14ac:dyDescent="0.25">
      <c r="A2042" t="s">
        <v>134</v>
      </c>
      <c r="B2042" t="s">
        <v>168</v>
      </c>
      <c r="C2042" s="12" t="s">
        <v>182</v>
      </c>
      <c r="D2042" t="s">
        <v>4</v>
      </c>
      <c r="E2042" t="s">
        <v>6</v>
      </c>
      <c r="F2042" t="s">
        <v>72</v>
      </c>
      <c r="G2042" t="s">
        <v>184</v>
      </c>
      <c r="H2042" s="95">
        <v>1.5</v>
      </c>
      <c r="I2042" t="s">
        <v>60</v>
      </c>
      <c r="J2042" t="s">
        <v>13</v>
      </c>
    </row>
    <row r="2043" spans="1:10" x14ac:dyDescent="0.25">
      <c r="A2043" t="s">
        <v>134</v>
      </c>
      <c r="B2043" t="s">
        <v>168</v>
      </c>
      <c r="C2043" s="12" t="s">
        <v>182</v>
      </c>
      <c r="D2043" t="s">
        <v>4</v>
      </c>
      <c r="E2043" t="s">
        <v>6</v>
      </c>
      <c r="F2043" t="s">
        <v>72</v>
      </c>
      <c r="G2043" t="s">
        <v>184</v>
      </c>
      <c r="H2043" s="95">
        <v>1.5</v>
      </c>
      <c r="I2043" t="s">
        <v>60</v>
      </c>
      <c r="J2043" t="s">
        <v>63</v>
      </c>
    </row>
    <row r="2044" spans="1:10" x14ac:dyDescent="0.25">
      <c r="A2044" t="s">
        <v>134</v>
      </c>
      <c r="B2044" t="s">
        <v>168</v>
      </c>
      <c r="C2044" s="12" t="s">
        <v>182</v>
      </c>
      <c r="D2044" t="s">
        <v>4</v>
      </c>
      <c r="E2044" t="s">
        <v>6</v>
      </c>
      <c r="F2044" t="s">
        <v>72</v>
      </c>
      <c r="G2044" t="s">
        <v>184</v>
      </c>
      <c r="H2044" s="95">
        <v>1.5</v>
      </c>
      <c r="I2044" t="s">
        <v>60</v>
      </c>
      <c r="J2044" t="s">
        <v>11</v>
      </c>
    </row>
    <row r="2045" spans="1:10" x14ac:dyDescent="0.25">
      <c r="A2045" t="s">
        <v>134</v>
      </c>
      <c r="B2045" t="s">
        <v>168</v>
      </c>
      <c r="C2045" s="12" t="s">
        <v>182</v>
      </c>
      <c r="D2045" t="s">
        <v>4</v>
      </c>
      <c r="E2045" t="s">
        <v>6</v>
      </c>
      <c r="F2045" t="s">
        <v>16</v>
      </c>
      <c r="G2045" t="s">
        <v>184</v>
      </c>
      <c r="H2045" s="95">
        <v>1.5</v>
      </c>
      <c r="I2045" t="s">
        <v>107</v>
      </c>
      <c r="J2045" t="s">
        <v>13</v>
      </c>
    </row>
    <row r="2046" spans="1:10" x14ac:dyDescent="0.25">
      <c r="A2046" t="s">
        <v>134</v>
      </c>
      <c r="B2046" t="s">
        <v>168</v>
      </c>
      <c r="C2046" s="12" t="s">
        <v>182</v>
      </c>
      <c r="D2046" t="s">
        <v>4</v>
      </c>
      <c r="E2046" t="s">
        <v>6</v>
      </c>
      <c r="F2046" t="s">
        <v>16</v>
      </c>
      <c r="G2046" t="s">
        <v>184</v>
      </c>
      <c r="H2046" s="95">
        <v>1.5</v>
      </c>
      <c r="I2046" t="s">
        <v>107</v>
      </c>
      <c r="J2046" t="s">
        <v>63</v>
      </c>
    </row>
    <row r="2047" spans="1:10" x14ac:dyDescent="0.25">
      <c r="A2047" t="s">
        <v>134</v>
      </c>
      <c r="B2047" t="s">
        <v>168</v>
      </c>
      <c r="C2047" s="12" t="s">
        <v>182</v>
      </c>
      <c r="D2047" t="s">
        <v>4</v>
      </c>
      <c r="E2047" t="s">
        <v>6</v>
      </c>
      <c r="F2047" t="s">
        <v>16</v>
      </c>
      <c r="G2047" t="s">
        <v>184</v>
      </c>
      <c r="H2047" s="95">
        <v>1.5</v>
      </c>
      <c r="I2047" t="s">
        <v>107</v>
      </c>
      <c r="J2047" t="s">
        <v>11</v>
      </c>
    </row>
    <row r="2048" spans="1:10" x14ac:dyDescent="0.25">
      <c r="A2048" t="s">
        <v>134</v>
      </c>
      <c r="B2048" t="s">
        <v>168</v>
      </c>
      <c r="C2048" s="12" t="s">
        <v>182</v>
      </c>
      <c r="D2048" t="s">
        <v>4</v>
      </c>
      <c r="E2048" t="s">
        <v>6</v>
      </c>
      <c r="F2048" t="s">
        <v>16</v>
      </c>
      <c r="G2048" t="s">
        <v>184</v>
      </c>
      <c r="H2048" s="95">
        <v>1.5</v>
      </c>
      <c r="I2048" t="s">
        <v>62</v>
      </c>
      <c r="J2048" t="s">
        <v>13</v>
      </c>
    </row>
    <row r="2049" spans="1:10" x14ac:dyDescent="0.25">
      <c r="A2049" t="s">
        <v>134</v>
      </c>
      <c r="B2049" t="s">
        <v>168</v>
      </c>
      <c r="C2049" s="12" t="s">
        <v>182</v>
      </c>
      <c r="D2049" t="s">
        <v>4</v>
      </c>
      <c r="E2049" t="s">
        <v>6</v>
      </c>
      <c r="F2049" t="s">
        <v>16</v>
      </c>
      <c r="G2049" t="s">
        <v>184</v>
      </c>
      <c r="H2049" s="95">
        <v>1.5</v>
      </c>
      <c r="I2049" t="s">
        <v>62</v>
      </c>
      <c r="J2049" t="s">
        <v>63</v>
      </c>
    </row>
    <row r="2050" spans="1:10" x14ac:dyDescent="0.25">
      <c r="A2050" t="s">
        <v>134</v>
      </c>
      <c r="B2050" t="s">
        <v>168</v>
      </c>
      <c r="C2050" s="12" t="s">
        <v>182</v>
      </c>
      <c r="D2050" t="s">
        <v>4</v>
      </c>
      <c r="E2050" t="s">
        <v>6</v>
      </c>
      <c r="F2050" t="s">
        <v>16</v>
      </c>
      <c r="G2050" t="s">
        <v>184</v>
      </c>
      <c r="H2050" s="95">
        <v>1.5</v>
      </c>
      <c r="I2050" t="s">
        <v>62</v>
      </c>
      <c r="J2050" t="s">
        <v>11</v>
      </c>
    </row>
    <row r="2051" spans="1:10" x14ac:dyDescent="0.25">
      <c r="A2051" t="s">
        <v>134</v>
      </c>
      <c r="B2051" t="s">
        <v>168</v>
      </c>
      <c r="C2051" s="12" t="s">
        <v>182</v>
      </c>
      <c r="D2051" t="s">
        <v>4</v>
      </c>
      <c r="E2051" t="s">
        <v>6</v>
      </c>
      <c r="F2051" t="s">
        <v>16</v>
      </c>
      <c r="G2051" t="s">
        <v>184</v>
      </c>
      <c r="H2051" s="95">
        <v>1.5</v>
      </c>
      <c r="I2051" t="s">
        <v>60</v>
      </c>
      <c r="J2051" t="s">
        <v>13</v>
      </c>
    </row>
    <row r="2052" spans="1:10" x14ac:dyDescent="0.25">
      <c r="A2052" t="s">
        <v>134</v>
      </c>
      <c r="B2052" t="s">
        <v>168</v>
      </c>
      <c r="C2052" s="12" t="s">
        <v>182</v>
      </c>
      <c r="D2052" t="s">
        <v>4</v>
      </c>
      <c r="E2052" t="s">
        <v>6</v>
      </c>
      <c r="F2052" t="s">
        <v>16</v>
      </c>
      <c r="G2052" t="s">
        <v>184</v>
      </c>
      <c r="H2052" s="95">
        <v>1.5</v>
      </c>
      <c r="I2052" t="s">
        <v>60</v>
      </c>
      <c r="J2052" t="s">
        <v>63</v>
      </c>
    </row>
    <row r="2053" spans="1:10" x14ac:dyDescent="0.25">
      <c r="A2053" t="s">
        <v>134</v>
      </c>
      <c r="B2053" t="s">
        <v>168</v>
      </c>
      <c r="C2053" s="12" t="s">
        <v>182</v>
      </c>
      <c r="D2053" t="s">
        <v>4</v>
      </c>
      <c r="E2053" t="s">
        <v>6</v>
      </c>
      <c r="F2053" t="s">
        <v>16</v>
      </c>
      <c r="G2053" t="s">
        <v>184</v>
      </c>
      <c r="H2053" s="95">
        <v>1.5</v>
      </c>
      <c r="I2053" t="s">
        <v>60</v>
      </c>
      <c r="J2053" t="s">
        <v>11</v>
      </c>
    </row>
    <row r="2054" spans="1:10" x14ac:dyDescent="0.25">
      <c r="A2054" t="s">
        <v>134</v>
      </c>
      <c r="B2054" t="s">
        <v>168</v>
      </c>
      <c r="C2054" s="12" t="s">
        <v>182</v>
      </c>
      <c r="D2054" t="s">
        <v>4</v>
      </c>
      <c r="E2054" t="s">
        <v>6</v>
      </c>
      <c r="F2054" t="s">
        <v>8</v>
      </c>
      <c r="G2054" t="s">
        <v>184</v>
      </c>
      <c r="H2054" s="95">
        <v>1.5</v>
      </c>
      <c r="I2054" t="s">
        <v>107</v>
      </c>
      <c r="J2054" t="s">
        <v>13</v>
      </c>
    </row>
    <row r="2055" spans="1:10" x14ac:dyDescent="0.25">
      <c r="A2055" t="s">
        <v>134</v>
      </c>
      <c r="B2055" t="s">
        <v>168</v>
      </c>
      <c r="C2055" s="12" t="s">
        <v>182</v>
      </c>
      <c r="D2055" t="s">
        <v>4</v>
      </c>
      <c r="E2055" t="s">
        <v>6</v>
      </c>
      <c r="F2055" t="s">
        <v>8</v>
      </c>
      <c r="G2055" t="s">
        <v>184</v>
      </c>
      <c r="H2055" s="95">
        <v>1.5</v>
      </c>
      <c r="I2055" t="s">
        <v>107</v>
      </c>
      <c r="J2055" t="s">
        <v>63</v>
      </c>
    </row>
    <row r="2056" spans="1:10" x14ac:dyDescent="0.25">
      <c r="A2056" t="s">
        <v>134</v>
      </c>
      <c r="B2056" t="s">
        <v>168</v>
      </c>
      <c r="C2056" s="12" t="s">
        <v>182</v>
      </c>
      <c r="D2056" t="s">
        <v>4</v>
      </c>
      <c r="E2056" t="s">
        <v>6</v>
      </c>
      <c r="F2056" t="s">
        <v>8</v>
      </c>
      <c r="G2056" t="s">
        <v>184</v>
      </c>
      <c r="H2056" s="95">
        <v>1.5</v>
      </c>
      <c r="I2056" t="s">
        <v>107</v>
      </c>
      <c r="J2056" t="s">
        <v>11</v>
      </c>
    </row>
    <row r="2057" spans="1:10" x14ac:dyDescent="0.25">
      <c r="A2057" t="s">
        <v>134</v>
      </c>
      <c r="B2057" t="s">
        <v>168</v>
      </c>
      <c r="C2057" s="12" t="s">
        <v>182</v>
      </c>
      <c r="D2057" t="s">
        <v>4</v>
      </c>
      <c r="E2057" t="s">
        <v>6</v>
      </c>
      <c r="F2057" t="s">
        <v>8</v>
      </c>
      <c r="G2057" t="s">
        <v>184</v>
      </c>
      <c r="H2057" s="95">
        <v>1.5</v>
      </c>
      <c r="I2057" t="s">
        <v>62</v>
      </c>
      <c r="J2057" t="s">
        <v>13</v>
      </c>
    </row>
    <row r="2058" spans="1:10" x14ac:dyDescent="0.25">
      <c r="A2058" t="s">
        <v>134</v>
      </c>
      <c r="B2058" t="s">
        <v>168</v>
      </c>
      <c r="C2058" s="12" t="s">
        <v>182</v>
      </c>
      <c r="D2058" t="s">
        <v>4</v>
      </c>
      <c r="E2058" t="s">
        <v>6</v>
      </c>
      <c r="F2058" t="s">
        <v>8</v>
      </c>
      <c r="G2058" t="s">
        <v>184</v>
      </c>
      <c r="H2058" s="95">
        <v>1.5</v>
      </c>
      <c r="I2058" t="s">
        <v>62</v>
      </c>
      <c r="J2058" t="s">
        <v>63</v>
      </c>
    </row>
    <row r="2059" spans="1:10" x14ac:dyDescent="0.25">
      <c r="A2059" t="s">
        <v>134</v>
      </c>
      <c r="B2059" t="s">
        <v>168</v>
      </c>
      <c r="C2059" s="12" t="s">
        <v>182</v>
      </c>
      <c r="D2059" t="s">
        <v>4</v>
      </c>
      <c r="E2059" t="s">
        <v>6</v>
      </c>
      <c r="F2059" t="s">
        <v>8</v>
      </c>
      <c r="G2059" t="s">
        <v>184</v>
      </c>
      <c r="H2059" s="95">
        <v>1.5</v>
      </c>
      <c r="I2059" t="s">
        <v>62</v>
      </c>
      <c r="J2059" t="s">
        <v>11</v>
      </c>
    </row>
    <row r="2060" spans="1:10" x14ac:dyDescent="0.25">
      <c r="A2060" t="s">
        <v>134</v>
      </c>
      <c r="B2060" t="s">
        <v>168</v>
      </c>
      <c r="C2060" s="12" t="s">
        <v>182</v>
      </c>
      <c r="D2060" t="s">
        <v>4</v>
      </c>
      <c r="E2060" t="s">
        <v>6</v>
      </c>
      <c r="F2060" t="s">
        <v>8</v>
      </c>
      <c r="G2060" t="s">
        <v>184</v>
      </c>
      <c r="H2060" s="95">
        <v>1.5</v>
      </c>
      <c r="I2060" t="s">
        <v>60</v>
      </c>
      <c r="J2060" t="s">
        <v>13</v>
      </c>
    </row>
    <row r="2061" spans="1:10" x14ac:dyDescent="0.25">
      <c r="A2061" t="s">
        <v>134</v>
      </c>
      <c r="B2061" t="s">
        <v>168</v>
      </c>
      <c r="C2061" s="12" t="s">
        <v>182</v>
      </c>
      <c r="D2061" t="s">
        <v>4</v>
      </c>
      <c r="E2061" t="s">
        <v>6</v>
      </c>
      <c r="F2061" t="s">
        <v>8</v>
      </c>
      <c r="G2061" t="s">
        <v>184</v>
      </c>
      <c r="H2061" s="95">
        <v>1.5</v>
      </c>
      <c r="I2061" t="s">
        <v>60</v>
      </c>
      <c r="J2061" t="s">
        <v>63</v>
      </c>
    </row>
    <row r="2062" spans="1:10" x14ac:dyDescent="0.25">
      <c r="A2062" t="s">
        <v>134</v>
      </c>
      <c r="B2062" t="s">
        <v>168</v>
      </c>
      <c r="C2062" s="12" t="s">
        <v>182</v>
      </c>
      <c r="D2062" t="s">
        <v>4</v>
      </c>
      <c r="E2062" t="s">
        <v>6</v>
      </c>
      <c r="F2062" t="s">
        <v>8</v>
      </c>
      <c r="G2062" t="s">
        <v>184</v>
      </c>
      <c r="H2062" s="95">
        <v>1.5</v>
      </c>
      <c r="I2062" t="s">
        <v>60</v>
      </c>
      <c r="J2062" t="s">
        <v>11</v>
      </c>
    </row>
    <row r="2063" spans="1:10" x14ac:dyDescent="0.25">
      <c r="A2063" t="s">
        <v>134</v>
      </c>
      <c r="B2063" t="s">
        <v>168</v>
      </c>
      <c r="C2063" s="12" t="s">
        <v>182</v>
      </c>
      <c r="D2063" t="s">
        <v>4</v>
      </c>
      <c r="E2063" t="s">
        <v>12</v>
      </c>
      <c r="F2063" t="s">
        <v>72</v>
      </c>
      <c r="G2063" t="s">
        <v>184</v>
      </c>
      <c r="H2063" s="95">
        <v>2</v>
      </c>
      <c r="I2063" t="s">
        <v>107</v>
      </c>
      <c r="J2063" t="s">
        <v>13</v>
      </c>
    </row>
    <row r="2064" spans="1:10" x14ac:dyDescent="0.25">
      <c r="A2064" t="s">
        <v>134</v>
      </c>
      <c r="B2064" t="s">
        <v>168</v>
      </c>
      <c r="C2064" s="12" t="s">
        <v>182</v>
      </c>
      <c r="D2064" t="s">
        <v>4</v>
      </c>
      <c r="E2064" t="s">
        <v>12</v>
      </c>
      <c r="F2064" t="s">
        <v>72</v>
      </c>
      <c r="G2064" t="s">
        <v>184</v>
      </c>
      <c r="H2064" s="95">
        <v>2</v>
      </c>
      <c r="I2064" t="s">
        <v>107</v>
      </c>
      <c r="J2064" t="s">
        <v>63</v>
      </c>
    </row>
    <row r="2065" spans="1:10" x14ac:dyDescent="0.25">
      <c r="A2065" t="s">
        <v>134</v>
      </c>
      <c r="B2065" t="s">
        <v>168</v>
      </c>
      <c r="C2065" s="12" t="s">
        <v>182</v>
      </c>
      <c r="D2065" t="s">
        <v>4</v>
      </c>
      <c r="E2065" t="s">
        <v>12</v>
      </c>
      <c r="F2065" t="s">
        <v>72</v>
      </c>
      <c r="G2065" t="s">
        <v>184</v>
      </c>
      <c r="H2065" s="95">
        <v>2</v>
      </c>
      <c r="I2065" t="s">
        <v>107</v>
      </c>
      <c r="J2065" t="s">
        <v>11</v>
      </c>
    </row>
    <row r="2066" spans="1:10" x14ac:dyDescent="0.25">
      <c r="A2066" t="s">
        <v>134</v>
      </c>
      <c r="B2066" t="s">
        <v>168</v>
      </c>
      <c r="C2066" s="12" t="s">
        <v>182</v>
      </c>
      <c r="D2066" t="s">
        <v>4</v>
      </c>
      <c r="E2066" t="s">
        <v>12</v>
      </c>
      <c r="F2066" t="s">
        <v>72</v>
      </c>
      <c r="G2066" t="s">
        <v>184</v>
      </c>
      <c r="H2066" s="95">
        <v>2</v>
      </c>
      <c r="I2066" t="s">
        <v>62</v>
      </c>
      <c r="J2066" t="s">
        <v>13</v>
      </c>
    </row>
    <row r="2067" spans="1:10" x14ac:dyDescent="0.25">
      <c r="A2067" t="s">
        <v>134</v>
      </c>
      <c r="B2067" t="s">
        <v>168</v>
      </c>
      <c r="C2067" s="12" t="s">
        <v>182</v>
      </c>
      <c r="D2067" t="s">
        <v>4</v>
      </c>
      <c r="E2067" t="s">
        <v>12</v>
      </c>
      <c r="F2067" t="s">
        <v>72</v>
      </c>
      <c r="G2067" t="s">
        <v>184</v>
      </c>
      <c r="H2067" s="95">
        <v>2</v>
      </c>
      <c r="I2067" t="s">
        <v>62</v>
      </c>
      <c r="J2067" t="s">
        <v>63</v>
      </c>
    </row>
    <row r="2068" spans="1:10" x14ac:dyDescent="0.25">
      <c r="A2068" t="s">
        <v>134</v>
      </c>
      <c r="B2068" t="s">
        <v>168</v>
      </c>
      <c r="C2068" s="12" t="s">
        <v>182</v>
      </c>
      <c r="D2068" t="s">
        <v>4</v>
      </c>
      <c r="E2068" t="s">
        <v>12</v>
      </c>
      <c r="F2068" t="s">
        <v>72</v>
      </c>
      <c r="G2068" t="s">
        <v>184</v>
      </c>
      <c r="H2068" s="95">
        <v>2</v>
      </c>
      <c r="I2068" t="s">
        <v>62</v>
      </c>
      <c r="J2068" t="s">
        <v>11</v>
      </c>
    </row>
    <row r="2069" spans="1:10" x14ac:dyDescent="0.25">
      <c r="A2069" t="s">
        <v>134</v>
      </c>
      <c r="B2069" t="s">
        <v>168</v>
      </c>
      <c r="C2069" s="12" t="s">
        <v>182</v>
      </c>
      <c r="D2069" t="s">
        <v>4</v>
      </c>
      <c r="E2069" t="s">
        <v>12</v>
      </c>
      <c r="F2069" t="s">
        <v>72</v>
      </c>
      <c r="G2069" t="s">
        <v>184</v>
      </c>
      <c r="H2069" s="95">
        <v>2</v>
      </c>
      <c r="I2069" t="s">
        <v>60</v>
      </c>
      <c r="J2069" t="s">
        <v>13</v>
      </c>
    </row>
    <row r="2070" spans="1:10" x14ac:dyDescent="0.25">
      <c r="A2070" t="s">
        <v>134</v>
      </c>
      <c r="B2070" t="s">
        <v>168</v>
      </c>
      <c r="C2070" s="12" t="s">
        <v>182</v>
      </c>
      <c r="D2070" t="s">
        <v>4</v>
      </c>
      <c r="E2070" t="s">
        <v>12</v>
      </c>
      <c r="F2070" t="s">
        <v>72</v>
      </c>
      <c r="G2070" t="s">
        <v>184</v>
      </c>
      <c r="H2070" s="95">
        <v>2</v>
      </c>
      <c r="I2070" t="s">
        <v>60</v>
      </c>
      <c r="J2070" t="s">
        <v>63</v>
      </c>
    </row>
    <row r="2071" spans="1:10" x14ac:dyDescent="0.25">
      <c r="A2071" t="s">
        <v>134</v>
      </c>
      <c r="B2071" t="s">
        <v>168</v>
      </c>
      <c r="C2071" s="12" t="s">
        <v>182</v>
      </c>
      <c r="D2071" t="s">
        <v>4</v>
      </c>
      <c r="E2071" t="s">
        <v>12</v>
      </c>
      <c r="F2071" t="s">
        <v>72</v>
      </c>
      <c r="G2071" t="s">
        <v>184</v>
      </c>
      <c r="H2071" s="95">
        <v>2</v>
      </c>
      <c r="I2071" t="s">
        <v>60</v>
      </c>
      <c r="J2071" t="s">
        <v>11</v>
      </c>
    </row>
    <row r="2072" spans="1:10" x14ac:dyDescent="0.25">
      <c r="A2072" t="s">
        <v>134</v>
      </c>
      <c r="B2072" t="s">
        <v>168</v>
      </c>
      <c r="C2072" s="12" t="s">
        <v>182</v>
      </c>
      <c r="D2072" t="s">
        <v>4</v>
      </c>
      <c r="E2072" t="s">
        <v>12</v>
      </c>
      <c r="F2072" t="s">
        <v>16</v>
      </c>
      <c r="G2072" t="s">
        <v>184</v>
      </c>
      <c r="H2072" s="95">
        <v>2</v>
      </c>
      <c r="I2072" t="s">
        <v>107</v>
      </c>
      <c r="J2072" t="s">
        <v>13</v>
      </c>
    </row>
    <row r="2073" spans="1:10" x14ac:dyDescent="0.25">
      <c r="A2073" t="s">
        <v>134</v>
      </c>
      <c r="B2073" t="s">
        <v>168</v>
      </c>
      <c r="C2073" s="12" t="s">
        <v>182</v>
      </c>
      <c r="D2073" t="s">
        <v>4</v>
      </c>
      <c r="E2073" t="s">
        <v>12</v>
      </c>
      <c r="F2073" t="s">
        <v>16</v>
      </c>
      <c r="G2073" t="s">
        <v>184</v>
      </c>
      <c r="H2073" s="95">
        <v>2</v>
      </c>
      <c r="I2073" t="s">
        <v>107</v>
      </c>
      <c r="J2073" t="s">
        <v>63</v>
      </c>
    </row>
    <row r="2074" spans="1:10" x14ac:dyDescent="0.25">
      <c r="A2074" t="s">
        <v>134</v>
      </c>
      <c r="B2074" t="s">
        <v>168</v>
      </c>
      <c r="C2074" s="12" t="s">
        <v>182</v>
      </c>
      <c r="D2074" t="s">
        <v>4</v>
      </c>
      <c r="E2074" t="s">
        <v>12</v>
      </c>
      <c r="F2074" t="s">
        <v>16</v>
      </c>
      <c r="G2074" t="s">
        <v>184</v>
      </c>
      <c r="H2074" s="95">
        <v>2</v>
      </c>
      <c r="I2074" t="s">
        <v>107</v>
      </c>
      <c r="J2074" t="s">
        <v>11</v>
      </c>
    </row>
    <row r="2075" spans="1:10" x14ac:dyDescent="0.25">
      <c r="A2075" t="s">
        <v>134</v>
      </c>
      <c r="B2075" t="s">
        <v>168</v>
      </c>
      <c r="C2075" s="12" t="s">
        <v>182</v>
      </c>
      <c r="D2075" t="s">
        <v>4</v>
      </c>
      <c r="E2075" t="s">
        <v>12</v>
      </c>
      <c r="F2075" t="s">
        <v>16</v>
      </c>
      <c r="G2075" t="s">
        <v>184</v>
      </c>
      <c r="H2075" s="95">
        <v>2</v>
      </c>
      <c r="I2075" t="s">
        <v>62</v>
      </c>
      <c r="J2075" t="s">
        <v>13</v>
      </c>
    </row>
    <row r="2076" spans="1:10" x14ac:dyDescent="0.25">
      <c r="A2076" t="s">
        <v>134</v>
      </c>
      <c r="B2076" t="s">
        <v>168</v>
      </c>
      <c r="C2076" s="12" t="s">
        <v>182</v>
      </c>
      <c r="D2076" t="s">
        <v>4</v>
      </c>
      <c r="E2076" t="s">
        <v>12</v>
      </c>
      <c r="F2076" t="s">
        <v>16</v>
      </c>
      <c r="G2076" t="s">
        <v>184</v>
      </c>
      <c r="H2076" s="95">
        <v>2</v>
      </c>
      <c r="I2076" t="s">
        <v>62</v>
      </c>
      <c r="J2076" t="s">
        <v>63</v>
      </c>
    </row>
    <row r="2077" spans="1:10" x14ac:dyDescent="0.25">
      <c r="A2077" t="s">
        <v>134</v>
      </c>
      <c r="B2077" t="s">
        <v>168</v>
      </c>
      <c r="C2077" s="12" t="s">
        <v>182</v>
      </c>
      <c r="D2077" t="s">
        <v>4</v>
      </c>
      <c r="E2077" t="s">
        <v>12</v>
      </c>
      <c r="F2077" t="s">
        <v>16</v>
      </c>
      <c r="G2077" t="s">
        <v>184</v>
      </c>
      <c r="H2077" s="95">
        <v>2</v>
      </c>
      <c r="I2077" t="s">
        <v>62</v>
      </c>
      <c r="J2077" t="s">
        <v>11</v>
      </c>
    </row>
    <row r="2078" spans="1:10" x14ac:dyDescent="0.25">
      <c r="A2078" t="s">
        <v>134</v>
      </c>
      <c r="B2078" t="s">
        <v>168</v>
      </c>
      <c r="C2078" s="12" t="s">
        <v>182</v>
      </c>
      <c r="D2078" t="s">
        <v>4</v>
      </c>
      <c r="E2078" t="s">
        <v>12</v>
      </c>
      <c r="F2078" t="s">
        <v>16</v>
      </c>
      <c r="G2078" t="s">
        <v>184</v>
      </c>
      <c r="H2078" s="95">
        <v>2</v>
      </c>
      <c r="I2078" t="s">
        <v>60</v>
      </c>
      <c r="J2078" t="s">
        <v>13</v>
      </c>
    </row>
    <row r="2079" spans="1:10" x14ac:dyDescent="0.25">
      <c r="A2079" t="s">
        <v>134</v>
      </c>
      <c r="B2079" t="s">
        <v>168</v>
      </c>
      <c r="C2079" s="12" t="s">
        <v>182</v>
      </c>
      <c r="D2079" t="s">
        <v>4</v>
      </c>
      <c r="E2079" t="s">
        <v>12</v>
      </c>
      <c r="F2079" t="s">
        <v>16</v>
      </c>
      <c r="G2079" t="s">
        <v>184</v>
      </c>
      <c r="H2079" s="95">
        <v>2</v>
      </c>
      <c r="I2079" t="s">
        <v>60</v>
      </c>
      <c r="J2079" t="s">
        <v>63</v>
      </c>
    </row>
    <row r="2080" spans="1:10" x14ac:dyDescent="0.25">
      <c r="A2080" t="s">
        <v>134</v>
      </c>
      <c r="B2080" t="s">
        <v>168</v>
      </c>
      <c r="C2080" s="12" t="s">
        <v>182</v>
      </c>
      <c r="D2080" t="s">
        <v>4</v>
      </c>
      <c r="E2080" t="s">
        <v>12</v>
      </c>
      <c r="F2080" t="s">
        <v>16</v>
      </c>
      <c r="G2080" t="s">
        <v>184</v>
      </c>
      <c r="H2080" s="95">
        <v>2</v>
      </c>
      <c r="I2080" t="s">
        <v>60</v>
      </c>
      <c r="J2080" t="s">
        <v>11</v>
      </c>
    </row>
    <row r="2081" spans="1:10" x14ac:dyDescent="0.25">
      <c r="A2081" t="s">
        <v>134</v>
      </c>
      <c r="B2081" t="s">
        <v>168</v>
      </c>
      <c r="C2081" s="12" t="s">
        <v>182</v>
      </c>
      <c r="D2081" t="s">
        <v>4</v>
      </c>
      <c r="E2081" t="s">
        <v>12</v>
      </c>
      <c r="F2081" t="s">
        <v>8</v>
      </c>
      <c r="G2081" t="s">
        <v>184</v>
      </c>
      <c r="H2081" s="95">
        <v>2</v>
      </c>
      <c r="I2081" t="s">
        <v>107</v>
      </c>
      <c r="J2081" t="s">
        <v>13</v>
      </c>
    </row>
    <row r="2082" spans="1:10" x14ac:dyDescent="0.25">
      <c r="A2082" t="s">
        <v>134</v>
      </c>
      <c r="B2082" t="s">
        <v>168</v>
      </c>
      <c r="C2082" s="12" t="s">
        <v>182</v>
      </c>
      <c r="D2082" t="s">
        <v>4</v>
      </c>
      <c r="E2082" t="s">
        <v>12</v>
      </c>
      <c r="F2082" t="s">
        <v>8</v>
      </c>
      <c r="G2082" t="s">
        <v>184</v>
      </c>
      <c r="H2082" s="95">
        <v>2</v>
      </c>
      <c r="I2082" t="s">
        <v>107</v>
      </c>
      <c r="J2082" t="s">
        <v>63</v>
      </c>
    </row>
    <row r="2083" spans="1:10" x14ac:dyDescent="0.25">
      <c r="A2083" t="s">
        <v>134</v>
      </c>
      <c r="B2083" t="s">
        <v>168</v>
      </c>
      <c r="C2083" s="12" t="s">
        <v>182</v>
      </c>
      <c r="D2083" t="s">
        <v>4</v>
      </c>
      <c r="E2083" t="s">
        <v>12</v>
      </c>
      <c r="F2083" t="s">
        <v>8</v>
      </c>
      <c r="G2083" t="s">
        <v>184</v>
      </c>
      <c r="H2083" s="95">
        <v>2</v>
      </c>
      <c r="I2083" t="s">
        <v>107</v>
      </c>
      <c r="J2083" t="s">
        <v>11</v>
      </c>
    </row>
    <row r="2084" spans="1:10" x14ac:dyDescent="0.25">
      <c r="A2084" t="s">
        <v>134</v>
      </c>
      <c r="B2084" t="s">
        <v>168</v>
      </c>
      <c r="C2084" s="12" t="s">
        <v>182</v>
      </c>
      <c r="D2084" t="s">
        <v>4</v>
      </c>
      <c r="E2084" t="s">
        <v>12</v>
      </c>
      <c r="F2084" t="s">
        <v>8</v>
      </c>
      <c r="G2084" t="s">
        <v>184</v>
      </c>
      <c r="H2084" s="95">
        <v>2</v>
      </c>
      <c r="I2084" t="s">
        <v>62</v>
      </c>
      <c r="J2084" t="s">
        <v>13</v>
      </c>
    </row>
    <row r="2085" spans="1:10" x14ac:dyDescent="0.25">
      <c r="A2085" t="s">
        <v>134</v>
      </c>
      <c r="B2085" t="s">
        <v>168</v>
      </c>
      <c r="C2085" s="12" t="s">
        <v>182</v>
      </c>
      <c r="D2085" t="s">
        <v>4</v>
      </c>
      <c r="E2085" t="s">
        <v>12</v>
      </c>
      <c r="F2085" t="s">
        <v>8</v>
      </c>
      <c r="G2085" t="s">
        <v>184</v>
      </c>
      <c r="H2085" s="95">
        <v>2</v>
      </c>
      <c r="I2085" t="s">
        <v>62</v>
      </c>
      <c r="J2085" t="s">
        <v>63</v>
      </c>
    </row>
    <row r="2086" spans="1:10" x14ac:dyDescent="0.25">
      <c r="A2086" t="s">
        <v>134</v>
      </c>
      <c r="B2086" t="s">
        <v>168</v>
      </c>
      <c r="C2086" s="12" t="s">
        <v>182</v>
      </c>
      <c r="D2086" t="s">
        <v>4</v>
      </c>
      <c r="E2086" t="s">
        <v>12</v>
      </c>
      <c r="F2086" t="s">
        <v>8</v>
      </c>
      <c r="G2086" t="s">
        <v>184</v>
      </c>
      <c r="H2086" s="95">
        <v>2</v>
      </c>
      <c r="I2086" t="s">
        <v>62</v>
      </c>
      <c r="J2086" t="s">
        <v>11</v>
      </c>
    </row>
    <row r="2087" spans="1:10" x14ac:dyDescent="0.25">
      <c r="A2087" t="s">
        <v>134</v>
      </c>
      <c r="B2087" t="s">
        <v>168</v>
      </c>
      <c r="C2087" s="12" t="s">
        <v>182</v>
      </c>
      <c r="D2087" t="s">
        <v>4</v>
      </c>
      <c r="E2087" t="s">
        <v>12</v>
      </c>
      <c r="F2087" t="s">
        <v>8</v>
      </c>
      <c r="G2087" t="s">
        <v>184</v>
      </c>
      <c r="H2087" s="95">
        <v>2</v>
      </c>
      <c r="I2087" t="s">
        <v>60</v>
      </c>
      <c r="J2087" t="s">
        <v>13</v>
      </c>
    </row>
    <row r="2088" spans="1:10" x14ac:dyDescent="0.25">
      <c r="A2088" t="s">
        <v>134</v>
      </c>
      <c r="B2088" t="s">
        <v>168</v>
      </c>
      <c r="C2088" s="12" t="s">
        <v>182</v>
      </c>
      <c r="D2088" t="s">
        <v>4</v>
      </c>
      <c r="E2088" t="s">
        <v>12</v>
      </c>
      <c r="F2088" t="s">
        <v>8</v>
      </c>
      <c r="G2088" t="s">
        <v>184</v>
      </c>
      <c r="H2088" s="95">
        <v>2</v>
      </c>
      <c r="I2088" t="s">
        <v>60</v>
      </c>
      <c r="J2088" t="s">
        <v>63</v>
      </c>
    </row>
    <row r="2089" spans="1:10" x14ac:dyDescent="0.25">
      <c r="A2089" t="s">
        <v>134</v>
      </c>
      <c r="B2089" t="s">
        <v>168</v>
      </c>
      <c r="C2089" s="12" t="s">
        <v>182</v>
      </c>
      <c r="D2089" t="s">
        <v>4</v>
      </c>
      <c r="E2089" t="s">
        <v>12</v>
      </c>
      <c r="F2089" t="s">
        <v>8</v>
      </c>
      <c r="G2089" t="s">
        <v>184</v>
      </c>
      <c r="H2089" s="95">
        <v>2</v>
      </c>
      <c r="I2089" t="s">
        <v>60</v>
      </c>
      <c r="J2089" t="s">
        <v>11</v>
      </c>
    </row>
    <row r="2090" spans="1:10" x14ac:dyDescent="0.25">
      <c r="A2090" t="s">
        <v>134</v>
      </c>
      <c r="B2090" t="s">
        <v>168</v>
      </c>
      <c r="C2090" s="12" t="s">
        <v>182</v>
      </c>
      <c r="D2090" t="s">
        <v>4</v>
      </c>
      <c r="E2090" t="s">
        <v>6</v>
      </c>
      <c r="F2090" t="s">
        <v>72</v>
      </c>
      <c r="G2090" t="s">
        <v>184</v>
      </c>
      <c r="H2090" s="95">
        <v>2</v>
      </c>
      <c r="I2090" t="s">
        <v>107</v>
      </c>
      <c r="J2090" t="s">
        <v>13</v>
      </c>
    </row>
    <row r="2091" spans="1:10" x14ac:dyDescent="0.25">
      <c r="A2091" t="s">
        <v>134</v>
      </c>
      <c r="B2091" t="s">
        <v>168</v>
      </c>
      <c r="C2091" s="12" t="s">
        <v>182</v>
      </c>
      <c r="D2091" t="s">
        <v>4</v>
      </c>
      <c r="E2091" t="s">
        <v>6</v>
      </c>
      <c r="F2091" t="s">
        <v>72</v>
      </c>
      <c r="G2091" t="s">
        <v>184</v>
      </c>
      <c r="H2091" s="95">
        <v>2</v>
      </c>
      <c r="I2091" t="s">
        <v>107</v>
      </c>
      <c r="J2091" t="s">
        <v>63</v>
      </c>
    </row>
    <row r="2092" spans="1:10" x14ac:dyDescent="0.25">
      <c r="A2092" t="s">
        <v>134</v>
      </c>
      <c r="B2092" t="s">
        <v>168</v>
      </c>
      <c r="C2092" s="12" t="s">
        <v>182</v>
      </c>
      <c r="D2092" t="s">
        <v>4</v>
      </c>
      <c r="E2092" t="s">
        <v>6</v>
      </c>
      <c r="F2092" t="s">
        <v>72</v>
      </c>
      <c r="G2092" t="s">
        <v>184</v>
      </c>
      <c r="H2092" s="95">
        <v>2</v>
      </c>
      <c r="I2092" t="s">
        <v>107</v>
      </c>
      <c r="J2092" t="s">
        <v>11</v>
      </c>
    </row>
    <row r="2093" spans="1:10" x14ac:dyDescent="0.25">
      <c r="A2093" t="s">
        <v>134</v>
      </c>
      <c r="B2093" t="s">
        <v>168</v>
      </c>
      <c r="C2093" s="12" t="s">
        <v>182</v>
      </c>
      <c r="D2093" t="s">
        <v>4</v>
      </c>
      <c r="E2093" t="s">
        <v>6</v>
      </c>
      <c r="F2093" t="s">
        <v>72</v>
      </c>
      <c r="G2093" t="s">
        <v>184</v>
      </c>
      <c r="H2093" s="95">
        <v>2</v>
      </c>
      <c r="I2093" t="s">
        <v>62</v>
      </c>
      <c r="J2093" t="s">
        <v>13</v>
      </c>
    </row>
    <row r="2094" spans="1:10" x14ac:dyDescent="0.25">
      <c r="A2094" t="s">
        <v>134</v>
      </c>
      <c r="B2094" t="s">
        <v>168</v>
      </c>
      <c r="C2094" s="12" t="s">
        <v>182</v>
      </c>
      <c r="D2094" t="s">
        <v>4</v>
      </c>
      <c r="E2094" t="s">
        <v>6</v>
      </c>
      <c r="F2094" t="s">
        <v>72</v>
      </c>
      <c r="G2094" t="s">
        <v>184</v>
      </c>
      <c r="H2094" s="95">
        <v>2</v>
      </c>
      <c r="I2094" t="s">
        <v>62</v>
      </c>
      <c r="J2094" t="s">
        <v>63</v>
      </c>
    </row>
    <row r="2095" spans="1:10" x14ac:dyDescent="0.25">
      <c r="A2095" t="s">
        <v>134</v>
      </c>
      <c r="B2095" t="s">
        <v>168</v>
      </c>
      <c r="C2095" s="12" t="s">
        <v>182</v>
      </c>
      <c r="D2095" t="s">
        <v>4</v>
      </c>
      <c r="E2095" t="s">
        <v>6</v>
      </c>
      <c r="F2095" t="s">
        <v>72</v>
      </c>
      <c r="G2095" t="s">
        <v>184</v>
      </c>
      <c r="H2095" s="95">
        <v>2</v>
      </c>
      <c r="I2095" t="s">
        <v>62</v>
      </c>
      <c r="J2095" t="s">
        <v>11</v>
      </c>
    </row>
    <row r="2096" spans="1:10" x14ac:dyDescent="0.25">
      <c r="A2096" t="s">
        <v>134</v>
      </c>
      <c r="B2096" t="s">
        <v>168</v>
      </c>
      <c r="C2096" s="12" t="s">
        <v>182</v>
      </c>
      <c r="D2096" t="s">
        <v>4</v>
      </c>
      <c r="E2096" t="s">
        <v>6</v>
      </c>
      <c r="F2096" t="s">
        <v>72</v>
      </c>
      <c r="G2096" t="s">
        <v>184</v>
      </c>
      <c r="H2096" s="95">
        <v>2</v>
      </c>
      <c r="I2096" t="s">
        <v>60</v>
      </c>
      <c r="J2096" t="s">
        <v>13</v>
      </c>
    </row>
    <row r="2097" spans="1:10" x14ac:dyDescent="0.25">
      <c r="A2097" t="s">
        <v>134</v>
      </c>
      <c r="B2097" t="s">
        <v>168</v>
      </c>
      <c r="C2097" s="12" t="s">
        <v>182</v>
      </c>
      <c r="D2097" t="s">
        <v>4</v>
      </c>
      <c r="E2097" t="s">
        <v>6</v>
      </c>
      <c r="F2097" t="s">
        <v>72</v>
      </c>
      <c r="G2097" t="s">
        <v>184</v>
      </c>
      <c r="H2097" s="95">
        <v>2</v>
      </c>
      <c r="I2097" t="s">
        <v>60</v>
      </c>
      <c r="J2097" t="s">
        <v>63</v>
      </c>
    </row>
    <row r="2098" spans="1:10" x14ac:dyDescent="0.25">
      <c r="A2098" t="s">
        <v>134</v>
      </c>
      <c r="B2098" t="s">
        <v>168</v>
      </c>
      <c r="C2098" s="12" t="s">
        <v>182</v>
      </c>
      <c r="D2098" t="s">
        <v>4</v>
      </c>
      <c r="E2098" t="s">
        <v>6</v>
      </c>
      <c r="F2098" t="s">
        <v>72</v>
      </c>
      <c r="G2098" t="s">
        <v>184</v>
      </c>
      <c r="H2098" s="95">
        <v>2</v>
      </c>
      <c r="I2098" t="s">
        <v>60</v>
      </c>
      <c r="J2098" t="s">
        <v>11</v>
      </c>
    </row>
    <row r="2099" spans="1:10" x14ac:dyDescent="0.25">
      <c r="A2099" t="s">
        <v>134</v>
      </c>
      <c r="B2099" t="s">
        <v>168</v>
      </c>
      <c r="C2099" s="12" t="s">
        <v>182</v>
      </c>
      <c r="D2099" t="s">
        <v>4</v>
      </c>
      <c r="E2099" t="s">
        <v>6</v>
      </c>
      <c r="F2099" t="s">
        <v>16</v>
      </c>
      <c r="G2099" t="s">
        <v>184</v>
      </c>
      <c r="H2099" s="95">
        <v>2</v>
      </c>
      <c r="I2099" t="s">
        <v>107</v>
      </c>
      <c r="J2099" t="s">
        <v>13</v>
      </c>
    </row>
    <row r="2100" spans="1:10" x14ac:dyDescent="0.25">
      <c r="A2100" t="s">
        <v>134</v>
      </c>
      <c r="B2100" t="s">
        <v>168</v>
      </c>
      <c r="C2100" s="12" t="s">
        <v>182</v>
      </c>
      <c r="D2100" t="s">
        <v>4</v>
      </c>
      <c r="E2100" t="s">
        <v>6</v>
      </c>
      <c r="F2100" t="s">
        <v>16</v>
      </c>
      <c r="G2100" t="s">
        <v>184</v>
      </c>
      <c r="H2100" s="95">
        <v>2</v>
      </c>
      <c r="I2100" t="s">
        <v>107</v>
      </c>
      <c r="J2100" t="s">
        <v>63</v>
      </c>
    </row>
    <row r="2101" spans="1:10" x14ac:dyDescent="0.25">
      <c r="A2101" t="s">
        <v>134</v>
      </c>
      <c r="B2101" t="s">
        <v>168</v>
      </c>
      <c r="C2101" s="12" t="s">
        <v>182</v>
      </c>
      <c r="D2101" t="s">
        <v>4</v>
      </c>
      <c r="E2101" t="s">
        <v>6</v>
      </c>
      <c r="F2101" t="s">
        <v>16</v>
      </c>
      <c r="G2101" t="s">
        <v>184</v>
      </c>
      <c r="H2101" s="95">
        <v>2</v>
      </c>
      <c r="I2101" t="s">
        <v>107</v>
      </c>
      <c r="J2101" t="s">
        <v>11</v>
      </c>
    </row>
    <row r="2102" spans="1:10" x14ac:dyDescent="0.25">
      <c r="A2102" t="s">
        <v>134</v>
      </c>
      <c r="B2102" t="s">
        <v>168</v>
      </c>
      <c r="C2102" s="12" t="s">
        <v>182</v>
      </c>
      <c r="D2102" t="s">
        <v>4</v>
      </c>
      <c r="E2102" t="s">
        <v>6</v>
      </c>
      <c r="F2102" t="s">
        <v>16</v>
      </c>
      <c r="G2102" t="s">
        <v>184</v>
      </c>
      <c r="H2102" s="95">
        <v>2</v>
      </c>
      <c r="I2102" t="s">
        <v>62</v>
      </c>
      <c r="J2102" t="s">
        <v>13</v>
      </c>
    </row>
    <row r="2103" spans="1:10" x14ac:dyDescent="0.25">
      <c r="A2103" t="s">
        <v>134</v>
      </c>
      <c r="B2103" t="s">
        <v>168</v>
      </c>
      <c r="C2103" s="12" t="s">
        <v>182</v>
      </c>
      <c r="D2103" t="s">
        <v>4</v>
      </c>
      <c r="E2103" t="s">
        <v>6</v>
      </c>
      <c r="F2103" t="s">
        <v>16</v>
      </c>
      <c r="G2103" t="s">
        <v>184</v>
      </c>
      <c r="H2103" s="95">
        <v>2</v>
      </c>
      <c r="I2103" t="s">
        <v>62</v>
      </c>
      <c r="J2103" t="s">
        <v>63</v>
      </c>
    </row>
    <row r="2104" spans="1:10" x14ac:dyDescent="0.25">
      <c r="A2104" t="s">
        <v>134</v>
      </c>
      <c r="B2104" t="s">
        <v>168</v>
      </c>
      <c r="C2104" s="12" t="s">
        <v>182</v>
      </c>
      <c r="D2104" t="s">
        <v>4</v>
      </c>
      <c r="E2104" t="s">
        <v>6</v>
      </c>
      <c r="F2104" t="s">
        <v>16</v>
      </c>
      <c r="G2104" t="s">
        <v>184</v>
      </c>
      <c r="H2104" s="95">
        <v>2</v>
      </c>
      <c r="I2104" t="s">
        <v>62</v>
      </c>
      <c r="J2104" t="s">
        <v>11</v>
      </c>
    </row>
    <row r="2105" spans="1:10" x14ac:dyDescent="0.25">
      <c r="A2105" t="s">
        <v>134</v>
      </c>
      <c r="B2105" t="s">
        <v>168</v>
      </c>
      <c r="C2105" s="12" t="s">
        <v>182</v>
      </c>
      <c r="D2105" t="s">
        <v>4</v>
      </c>
      <c r="E2105" t="s">
        <v>6</v>
      </c>
      <c r="F2105" t="s">
        <v>16</v>
      </c>
      <c r="G2105" t="s">
        <v>184</v>
      </c>
      <c r="H2105" s="95">
        <v>2</v>
      </c>
      <c r="I2105" t="s">
        <v>60</v>
      </c>
      <c r="J2105" t="s">
        <v>13</v>
      </c>
    </row>
    <row r="2106" spans="1:10" x14ac:dyDescent="0.25">
      <c r="A2106" t="s">
        <v>134</v>
      </c>
      <c r="B2106" t="s">
        <v>168</v>
      </c>
      <c r="C2106" s="12" t="s">
        <v>182</v>
      </c>
      <c r="D2106" t="s">
        <v>4</v>
      </c>
      <c r="E2106" t="s">
        <v>6</v>
      </c>
      <c r="F2106" t="s">
        <v>16</v>
      </c>
      <c r="G2106" t="s">
        <v>184</v>
      </c>
      <c r="H2106" s="95">
        <v>2</v>
      </c>
      <c r="I2106" t="s">
        <v>60</v>
      </c>
      <c r="J2106" t="s">
        <v>63</v>
      </c>
    </row>
    <row r="2107" spans="1:10" x14ac:dyDescent="0.25">
      <c r="A2107" t="s">
        <v>134</v>
      </c>
      <c r="B2107" t="s">
        <v>168</v>
      </c>
      <c r="C2107" s="12" t="s">
        <v>182</v>
      </c>
      <c r="D2107" t="s">
        <v>4</v>
      </c>
      <c r="E2107" t="s">
        <v>6</v>
      </c>
      <c r="F2107" t="s">
        <v>16</v>
      </c>
      <c r="G2107" t="s">
        <v>184</v>
      </c>
      <c r="H2107" s="95">
        <v>2</v>
      </c>
      <c r="I2107" t="s">
        <v>60</v>
      </c>
      <c r="J2107" t="s">
        <v>11</v>
      </c>
    </row>
    <row r="2108" spans="1:10" x14ac:dyDescent="0.25">
      <c r="A2108" t="s">
        <v>134</v>
      </c>
      <c r="B2108" t="s">
        <v>168</v>
      </c>
      <c r="C2108" s="12" t="s">
        <v>182</v>
      </c>
      <c r="D2108" t="s">
        <v>4</v>
      </c>
      <c r="E2108" t="s">
        <v>6</v>
      </c>
      <c r="F2108" t="s">
        <v>8</v>
      </c>
      <c r="G2108" t="s">
        <v>184</v>
      </c>
      <c r="H2108" s="95">
        <v>2</v>
      </c>
      <c r="I2108" t="s">
        <v>107</v>
      </c>
      <c r="J2108" t="s">
        <v>13</v>
      </c>
    </row>
    <row r="2109" spans="1:10" x14ac:dyDescent="0.25">
      <c r="A2109" t="s">
        <v>134</v>
      </c>
      <c r="B2109" t="s">
        <v>168</v>
      </c>
      <c r="C2109" s="12" t="s">
        <v>182</v>
      </c>
      <c r="D2109" t="s">
        <v>4</v>
      </c>
      <c r="E2109" t="s">
        <v>6</v>
      </c>
      <c r="F2109" t="s">
        <v>8</v>
      </c>
      <c r="G2109" t="s">
        <v>184</v>
      </c>
      <c r="H2109" s="95">
        <v>2</v>
      </c>
      <c r="I2109" t="s">
        <v>107</v>
      </c>
      <c r="J2109" t="s">
        <v>63</v>
      </c>
    </row>
    <row r="2110" spans="1:10" x14ac:dyDescent="0.25">
      <c r="A2110" t="s">
        <v>134</v>
      </c>
      <c r="B2110" t="s">
        <v>168</v>
      </c>
      <c r="C2110" s="12" t="s">
        <v>182</v>
      </c>
      <c r="D2110" t="s">
        <v>4</v>
      </c>
      <c r="E2110" t="s">
        <v>6</v>
      </c>
      <c r="F2110" t="s">
        <v>8</v>
      </c>
      <c r="G2110" t="s">
        <v>184</v>
      </c>
      <c r="H2110" s="95">
        <v>2</v>
      </c>
      <c r="I2110" t="s">
        <v>107</v>
      </c>
      <c r="J2110" t="s">
        <v>11</v>
      </c>
    </row>
    <row r="2111" spans="1:10" x14ac:dyDescent="0.25">
      <c r="A2111" t="s">
        <v>134</v>
      </c>
      <c r="B2111" t="s">
        <v>168</v>
      </c>
      <c r="C2111" s="12" t="s">
        <v>182</v>
      </c>
      <c r="D2111" t="s">
        <v>4</v>
      </c>
      <c r="E2111" t="s">
        <v>6</v>
      </c>
      <c r="F2111" t="s">
        <v>8</v>
      </c>
      <c r="G2111" t="s">
        <v>184</v>
      </c>
      <c r="H2111" s="95">
        <v>2</v>
      </c>
      <c r="I2111" t="s">
        <v>62</v>
      </c>
      <c r="J2111" t="s">
        <v>13</v>
      </c>
    </row>
    <row r="2112" spans="1:10" x14ac:dyDescent="0.25">
      <c r="A2112" t="s">
        <v>134</v>
      </c>
      <c r="B2112" t="s">
        <v>168</v>
      </c>
      <c r="C2112" s="12" t="s">
        <v>182</v>
      </c>
      <c r="D2112" t="s">
        <v>4</v>
      </c>
      <c r="E2112" t="s">
        <v>6</v>
      </c>
      <c r="F2112" t="s">
        <v>8</v>
      </c>
      <c r="G2112" t="s">
        <v>184</v>
      </c>
      <c r="H2112" s="95">
        <v>2</v>
      </c>
      <c r="I2112" t="s">
        <v>62</v>
      </c>
      <c r="J2112" t="s">
        <v>63</v>
      </c>
    </row>
    <row r="2113" spans="1:10" x14ac:dyDescent="0.25">
      <c r="A2113" t="s">
        <v>134</v>
      </c>
      <c r="B2113" t="s">
        <v>168</v>
      </c>
      <c r="C2113" s="12" t="s">
        <v>182</v>
      </c>
      <c r="D2113" t="s">
        <v>4</v>
      </c>
      <c r="E2113" t="s">
        <v>6</v>
      </c>
      <c r="F2113" t="s">
        <v>8</v>
      </c>
      <c r="G2113" t="s">
        <v>184</v>
      </c>
      <c r="H2113" s="95">
        <v>2</v>
      </c>
      <c r="I2113" t="s">
        <v>62</v>
      </c>
      <c r="J2113" t="s">
        <v>11</v>
      </c>
    </row>
    <row r="2114" spans="1:10" x14ac:dyDescent="0.25">
      <c r="A2114" t="s">
        <v>134</v>
      </c>
      <c r="B2114" t="s">
        <v>168</v>
      </c>
      <c r="C2114" s="12" t="s">
        <v>182</v>
      </c>
      <c r="D2114" t="s">
        <v>4</v>
      </c>
      <c r="E2114" t="s">
        <v>6</v>
      </c>
      <c r="F2114" t="s">
        <v>8</v>
      </c>
      <c r="G2114" t="s">
        <v>184</v>
      </c>
      <c r="H2114" s="95">
        <v>2</v>
      </c>
      <c r="I2114" t="s">
        <v>60</v>
      </c>
      <c r="J2114" t="s">
        <v>13</v>
      </c>
    </row>
    <row r="2115" spans="1:10" x14ac:dyDescent="0.25">
      <c r="A2115" t="s">
        <v>134</v>
      </c>
      <c r="B2115" t="s">
        <v>168</v>
      </c>
      <c r="C2115" s="12" t="s">
        <v>182</v>
      </c>
      <c r="D2115" t="s">
        <v>4</v>
      </c>
      <c r="E2115" t="s">
        <v>6</v>
      </c>
      <c r="F2115" t="s">
        <v>8</v>
      </c>
      <c r="G2115" t="s">
        <v>184</v>
      </c>
      <c r="H2115" s="95">
        <v>2</v>
      </c>
      <c r="I2115" t="s">
        <v>60</v>
      </c>
      <c r="J2115" t="s">
        <v>63</v>
      </c>
    </row>
    <row r="2116" spans="1:10" x14ac:dyDescent="0.25">
      <c r="A2116" t="s">
        <v>134</v>
      </c>
      <c r="B2116" t="s">
        <v>168</v>
      </c>
      <c r="C2116" s="12" t="s">
        <v>182</v>
      </c>
      <c r="D2116" t="s">
        <v>4</v>
      </c>
      <c r="E2116" t="s">
        <v>6</v>
      </c>
      <c r="F2116" t="s">
        <v>8</v>
      </c>
      <c r="G2116" t="s">
        <v>184</v>
      </c>
      <c r="H2116" s="95">
        <v>2</v>
      </c>
      <c r="I2116" t="s">
        <v>60</v>
      </c>
      <c r="J2116" t="s">
        <v>11</v>
      </c>
    </row>
    <row r="2117" spans="1:10" x14ac:dyDescent="0.25">
      <c r="A2117" t="s">
        <v>134</v>
      </c>
      <c r="B2117" t="s">
        <v>168</v>
      </c>
      <c r="C2117" s="12" t="s">
        <v>182</v>
      </c>
      <c r="D2117" t="s">
        <v>4</v>
      </c>
      <c r="E2117" t="s">
        <v>12</v>
      </c>
      <c r="F2117" t="s">
        <v>72</v>
      </c>
      <c r="G2117" t="s">
        <v>184</v>
      </c>
      <c r="H2117" s="95">
        <v>3</v>
      </c>
      <c r="I2117" t="s">
        <v>107</v>
      </c>
      <c r="J2117" t="s">
        <v>13</v>
      </c>
    </row>
    <row r="2118" spans="1:10" x14ac:dyDescent="0.25">
      <c r="A2118" t="s">
        <v>134</v>
      </c>
      <c r="B2118" t="s">
        <v>168</v>
      </c>
      <c r="C2118" s="12" t="s">
        <v>182</v>
      </c>
      <c r="D2118" t="s">
        <v>4</v>
      </c>
      <c r="E2118" t="s">
        <v>12</v>
      </c>
      <c r="F2118" t="s">
        <v>72</v>
      </c>
      <c r="G2118" t="s">
        <v>184</v>
      </c>
      <c r="H2118" s="95">
        <v>3</v>
      </c>
      <c r="I2118" t="s">
        <v>107</v>
      </c>
      <c r="J2118" t="s">
        <v>63</v>
      </c>
    </row>
    <row r="2119" spans="1:10" x14ac:dyDescent="0.25">
      <c r="A2119" t="s">
        <v>134</v>
      </c>
      <c r="B2119" t="s">
        <v>168</v>
      </c>
      <c r="C2119" s="12" t="s">
        <v>182</v>
      </c>
      <c r="D2119" t="s">
        <v>4</v>
      </c>
      <c r="E2119" t="s">
        <v>12</v>
      </c>
      <c r="F2119" t="s">
        <v>72</v>
      </c>
      <c r="G2119" t="s">
        <v>184</v>
      </c>
      <c r="H2119" s="95">
        <v>3</v>
      </c>
      <c r="I2119" t="s">
        <v>107</v>
      </c>
      <c r="J2119" t="s">
        <v>11</v>
      </c>
    </row>
    <row r="2120" spans="1:10" x14ac:dyDescent="0.25">
      <c r="A2120" t="s">
        <v>134</v>
      </c>
      <c r="B2120" t="s">
        <v>168</v>
      </c>
      <c r="C2120" s="12" t="s">
        <v>182</v>
      </c>
      <c r="D2120" t="s">
        <v>4</v>
      </c>
      <c r="E2120" t="s">
        <v>12</v>
      </c>
      <c r="F2120" t="s">
        <v>72</v>
      </c>
      <c r="G2120" t="s">
        <v>184</v>
      </c>
      <c r="H2120" s="95">
        <v>3</v>
      </c>
      <c r="I2120" t="s">
        <v>62</v>
      </c>
      <c r="J2120" t="s">
        <v>13</v>
      </c>
    </row>
    <row r="2121" spans="1:10" x14ac:dyDescent="0.25">
      <c r="A2121" t="s">
        <v>134</v>
      </c>
      <c r="B2121" t="s">
        <v>168</v>
      </c>
      <c r="C2121" s="12" t="s">
        <v>182</v>
      </c>
      <c r="D2121" t="s">
        <v>4</v>
      </c>
      <c r="E2121" t="s">
        <v>12</v>
      </c>
      <c r="F2121" t="s">
        <v>72</v>
      </c>
      <c r="G2121" t="s">
        <v>184</v>
      </c>
      <c r="H2121" s="95">
        <v>3</v>
      </c>
      <c r="I2121" t="s">
        <v>62</v>
      </c>
      <c r="J2121" t="s">
        <v>63</v>
      </c>
    </row>
    <row r="2122" spans="1:10" x14ac:dyDescent="0.25">
      <c r="A2122" t="s">
        <v>134</v>
      </c>
      <c r="B2122" t="s">
        <v>168</v>
      </c>
      <c r="C2122" s="12" t="s">
        <v>182</v>
      </c>
      <c r="D2122" t="s">
        <v>4</v>
      </c>
      <c r="E2122" t="s">
        <v>12</v>
      </c>
      <c r="F2122" t="s">
        <v>72</v>
      </c>
      <c r="G2122" t="s">
        <v>184</v>
      </c>
      <c r="H2122" s="95">
        <v>3</v>
      </c>
      <c r="I2122" t="s">
        <v>62</v>
      </c>
      <c r="J2122" t="s">
        <v>11</v>
      </c>
    </row>
    <row r="2123" spans="1:10" x14ac:dyDescent="0.25">
      <c r="A2123" t="s">
        <v>134</v>
      </c>
      <c r="B2123" t="s">
        <v>168</v>
      </c>
      <c r="C2123" s="12" t="s">
        <v>182</v>
      </c>
      <c r="D2123" t="s">
        <v>4</v>
      </c>
      <c r="E2123" t="s">
        <v>12</v>
      </c>
      <c r="F2123" t="s">
        <v>72</v>
      </c>
      <c r="G2123" t="s">
        <v>184</v>
      </c>
      <c r="H2123" s="95">
        <v>3</v>
      </c>
      <c r="I2123" t="s">
        <v>60</v>
      </c>
      <c r="J2123" t="s">
        <v>13</v>
      </c>
    </row>
    <row r="2124" spans="1:10" x14ac:dyDescent="0.25">
      <c r="A2124" t="s">
        <v>134</v>
      </c>
      <c r="B2124" t="s">
        <v>168</v>
      </c>
      <c r="C2124" s="12" t="s">
        <v>182</v>
      </c>
      <c r="D2124" t="s">
        <v>4</v>
      </c>
      <c r="E2124" t="s">
        <v>12</v>
      </c>
      <c r="F2124" t="s">
        <v>72</v>
      </c>
      <c r="G2124" t="s">
        <v>184</v>
      </c>
      <c r="H2124" s="95">
        <v>3</v>
      </c>
      <c r="I2124" t="s">
        <v>60</v>
      </c>
      <c r="J2124" t="s">
        <v>63</v>
      </c>
    </row>
    <row r="2125" spans="1:10" x14ac:dyDescent="0.25">
      <c r="A2125" t="s">
        <v>134</v>
      </c>
      <c r="B2125" t="s">
        <v>168</v>
      </c>
      <c r="C2125" s="12" t="s">
        <v>182</v>
      </c>
      <c r="D2125" t="s">
        <v>4</v>
      </c>
      <c r="E2125" t="s">
        <v>12</v>
      </c>
      <c r="F2125" t="s">
        <v>72</v>
      </c>
      <c r="G2125" t="s">
        <v>184</v>
      </c>
      <c r="H2125" s="95">
        <v>3</v>
      </c>
      <c r="I2125" t="s">
        <v>60</v>
      </c>
      <c r="J2125" t="s">
        <v>11</v>
      </c>
    </row>
    <row r="2126" spans="1:10" x14ac:dyDescent="0.25">
      <c r="A2126" t="s">
        <v>134</v>
      </c>
      <c r="B2126" t="s">
        <v>168</v>
      </c>
      <c r="C2126" s="12" t="s">
        <v>182</v>
      </c>
      <c r="D2126" t="s">
        <v>4</v>
      </c>
      <c r="E2126" t="s">
        <v>12</v>
      </c>
      <c r="F2126" t="s">
        <v>16</v>
      </c>
      <c r="G2126" t="s">
        <v>184</v>
      </c>
      <c r="H2126" s="95">
        <v>3</v>
      </c>
      <c r="I2126" t="s">
        <v>107</v>
      </c>
      <c r="J2126" t="s">
        <v>13</v>
      </c>
    </row>
    <row r="2127" spans="1:10" x14ac:dyDescent="0.25">
      <c r="A2127" t="s">
        <v>134</v>
      </c>
      <c r="B2127" t="s">
        <v>168</v>
      </c>
      <c r="C2127" s="12" t="s">
        <v>182</v>
      </c>
      <c r="D2127" t="s">
        <v>4</v>
      </c>
      <c r="E2127" t="s">
        <v>12</v>
      </c>
      <c r="F2127" t="s">
        <v>16</v>
      </c>
      <c r="G2127" t="s">
        <v>184</v>
      </c>
      <c r="H2127" s="95">
        <v>3</v>
      </c>
      <c r="I2127" t="s">
        <v>107</v>
      </c>
      <c r="J2127" t="s">
        <v>63</v>
      </c>
    </row>
    <row r="2128" spans="1:10" x14ac:dyDescent="0.25">
      <c r="A2128" t="s">
        <v>134</v>
      </c>
      <c r="B2128" t="s">
        <v>168</v>
      </c>
      <c r="C2128" s="12" t="s">
        <v>182</v>
      </c>
      <c r="D2128" t="s">
        <v>4</v>
      </c>
      <c r="E2128" t="s">
        <v>12</v>
      </c>
      <c r="F2128" t="s">
        <v>16</v>
      </c>
      <c r="G2128" t="s">
        <v>184</v>
      </c>
      <c r="H2128" s="95">
        <v>3</v>
      </c>
      <c r="I2128" t="s">
        <v>107</v>
      </c>
      <c r="J2128" t="s">
        <v>11</v>
      </c>
    </row>
    <row r="2129" spans="1:10" x14ac:dyDescent="0.25">
      <c r="A2129" t="s">
        <v>134</v>
      </c>
      <c r="B2129" t="s">
        <v>168</v>
      </c>
      <c r="C2129" s="12" t="s">
        <v>182</v>
      </c>
      <c r="D2129" t="s">
        <v>4</v>
      </c>
      <c r="E2129" t="s">
        <v>12</v>
      </c>
      <c r="F2129" t="s">
        <v>16</v>
      </c>
      <c r="G2129" t="s">
        <v>184</v>
      </c>
      <c r="H2129" s="95">
        <v>3</v>
      </c>
      <c r="I2129" t="s">
        <v>62</v>
      </c>
      <c r="J2129" t="s">
        <v>13</v>
      </c>
    </row>
    <row r="2130" spans="1:10" x14ac:dyDescent="0.25">
      <c r="A2130" t="s">
        <v>134</v>
      </c>
      <c r="B2130" t="s">
        <v>168</v>
      </c>
      <c r="C2130" s="12" t="s">
        <v>182</v>
      </c>
      <c r="D2130" t="s">
        <v>4</v>
      </c>
      <c r="E2130" t="s">
        <v>12</v>
      </c>
      <c r="F2130" t="s">
        <v>16</v>
      </c>
      <c r="G2130" t="s">
        <v>184</v>
      </c>
      <c r="H2130" s="95">
        <v>3</v>
      </c>
      <c r="I2130" t="s">
        <v>62</v>
      </c>
      <c r="J2130" t="s">
        <v>63</v>
      </c>
    </row>
    <row r="2131" spans="1:10" x14ac:dyDescent="0.25">
      <c r="A2131" t="s">
        <v>134</v>
      </c>
      <c r="B2131" t="s">
        <v>168</v>
      </c>
      <c r="C2131" s="12" t="s">
        <v>182</v>
      </c>
      <c r="D2131" t="s">
        <v>4</v>
      </c>
      <c r="E2131" t="s">
        <v>12</v>
      </c>
      <c r="F2131" t="s">
        <v>16</v>
      </c>
      <c r="G2131" t="s">
        <v>184</v>
      </c>
      <c r="H2131" s="95">
        <v>3</v>
      </c>
      <c r="I2131" t="s">
        <v>62</v>
      </c>
      <c r="J2131" t="s">
        <v>11</v>
      </c>
    </row>
    <row r="2132" spans="1:10" x14ac:dyDescent="0.25">
      <c r="A2132" t="s">
        <v>134</v>
      </c>
      <c r="B2132" t="s">
        <v>168</v>
      </c>
      <c r="C2132" s="12" t="s">
        <v>182</v>
      </c>
      <c r="D2132" t="s">
        <v>4</v>
      </c>
      <c r="E2132" t="s">
        <v>12</v>
      </c>
      <c r="F2132" t="s">
        <v>16</v>
      </c>
      <c r="G2132" t="s">
        <v>184</v>
      </c>
      <c r="H2132" s="95">
        <v>3</v>
      </c>
      <c r="I2132" t="s">
        <v>60</v>
      </c>
      <c r="J2132" t="s">
        <v>13</v>
      </c>
    </row>
    <row r="2133" spans="1:10" x14ac:dyDescent="0.25">
      <c r="A2133" t="s">
        <v>134</v>
      </c>
      <c r="B2133" t="s">
        <v>168</v>
      </c>
      <c r="C2133" s="12" t="s">
        <v>182</v>
      </c>
      <c r="D2133" t="s">
        <v>4</v>
      </c>
      <c r="E2133" t="s">
        <v>12</v>
      </c>
      <c r="F2133" t="s">
        <v>16</v>
      </c>
      <c r="G2133" t="s">
        <v>184</v>
      </c>
      <c r="H2133" s="95">
        <v>3</v>
      </c>
      <c r="I2133" t="s">
        <v>60</v>
      </c>
      <c r="J2133" t="s">
        <v>63</v>
      </c>
    </row>
    <row r="2134" spans="1:10" x14ac:dyDescent="0.25">
      <c r="A2134" t="s">
        <v>134</v>
      </c>
      <c r="B2134" t="s">
        <v>168</v>
      </c>
      <c r="C2134" s="12" t="s">
        <v>182</v>
      </c>
      <c r="D2134" t="s">
        <v>4</v>
      </c>
      <c r="E2134" t="s">
        <v>12</v>
      </c>
      <c r="F2134" t="s">
        <v>16</v>
      </c>
      <c r="G2134" t="s">
        <v>184</v>
      </c>
      <c r="H2134" s="95">
        <v>3</v>
      </c>
      <c r="I2134" t="s">
        <v>60</v>
      </c>
      <c r="J2134" t="s">
        <v>11</v>
      </c>
    </row>
    <row r="2135" spans="1:10" x14ac:dyDescent="0.25">
      <c r="A2135" t="s">
        <v>134</v>
      </c>
      <c r="B2135" t="s">
        <v>168</v>
      </c>
      <c r="C2135" s="12" t="s">
        <v>182</v>
      </c>
      <c r="D2135" t="s">
        <v>4</v>
      </c>
      <c r="E2135" t="s">
        <v>12</v>
      </c>
      <c r="F2135" t="s">
        <v>8</v>
      </c>
      <c r="G2135" t="s">
        <v>184</v>
      </c>
      <c r="H2135" s="95">
        <v>3</v>
      </c>
      <c r="I2135" t="s">
        <v>107</v>
      </c>
      <c r="J2135" t="s">
        <v>13</v>
      </c>
    </row>
    <row r="2136" spans="1:10" x14ac:dyDescent="0.25">
      <c r="A2136" t="s">
        <v>134</v>
      </c>
      <c r="B2136" t="s">
        <v>168</v>
      </c>
      <c r="C2136" s="12" t="s">
        <v>182</v>
      </c>
      <c r="D2136" t="s">
        <v>4</v>
      </c>
      <c r="E2136" t="s">
        <v>12</v>
      </c>
      <c r="F2136" t="s">
        <v>8</v>
      </c>
      <c r="G2136" t="s">
        <v>184</v>
      </c>
      <c r="H2136" s="95">
        <v>3</v>
      </c>
      <c r="I2136" t="s">
        <v>107</v>
      </c>
      <c r="J2136" t="s">
        <v>63</v>
      </c>
    </row>
    <row r="2137" spans="1:10" x14ac:dyDescent="0.25">
      <c r="A2137" t="s">
        <v>134</v>
      </c>
      <c r="B2137" t="s">
        <v>168</v>
      </c>
      <c r="C2137" s="12" t="s">
        <v>182</v>
      </c>
      <c r="D2137" t="s">
        <v>4</v>
      </c>
      <c r="E2137" t="s">
        <v>12</v>
      </c>
      <c r="F2137" t="s">
        <v>8</v>
      </c>
      <c r="G2137" t="s">
        <v>184</v>
      </c>
      <c r="H2137" s="95">
        <v>3</v>
      </c>
      <c r="I2137" t="s">
        <v>107</v>
      </c>
      <c r="J2137" t="s">
        <v>11</v>
      </c>
    </row>
    <row r="2138" spans="1:10" x14ac:dyDescent="0.25">
      <c r="A2138" t="s">
        <v>134</v>
      </c>
      <c r="B2138" t="s">
        <v>168</v>
      </c>
      <c r="C2138" s="12" t="s">
        <v>182</v>
      </c>
      <c r="D2138" t="s">
        <v>4</v>
      </c>
      <c r="E2138" t="s">
        <v>12</v>
      </c>
      <c r="F2138" t="s">
        <v>8</v>
      </c>
      <c r="G2138" t="s">
        <v>184</v>
      </c>
      <c r="H2138" s="95">
        <v>3</v>
      </c>
      <c r="I2138" t="s">
        <v>62</v>
      </c>
      <c r="J2138" t="s">
        <v>13</v>
      </c>
    </row>
    <row r="2139" spans="1:10" x14ac:dyDescent="0.25">
      <c r="A2139" t="s">
        <v>134</v>
      </c>
      <c r="B2139" t="s">
        <v>168</v>
      </c>
      <c r="C2139" s="12" t="s">
        <v>182</v>
      </c>
      <c r="D2139" t="s">
        <v>4</v>
      </c>
      <c r="E2139" t="s">
        <v>12</v>
      </c>
      <c r="F2139" t="s">
        <v>8</v>
      </c>
      <c r="G2139" t="s">
        <v>184</v>
      </c>
      <c r="H2139" s="95">
        <v>3</v>
      </c>
      <c r="I2139" t="s">
        <v>62</v>
      </c>
      <c r="J2139" t="s">
        <v>63</v>
      </c>
    </row>
    <row r="2140" spans="1:10" x14ac:dyDescent="0.25">
      <c r="A2140" t="s">
        <v>134</v>
      </c>
      <c r="B2140" t="s">
        <v>168</v>
      </c>
      <c r="C2140" s="12" t="s">
        <v>182</v>
      </c>
      <c r="D2140" t="s">
        <v>4</v>
      </c>
      <c r="E2140" t="s">
        <v>12</v>
      </c>
      <c r="F2140" t="s">
        <v>8</v>
      </c>
      <c r="G2140" t="s">
        <v>184</v>
      </c>
      <c r="H2140" s="95">
        <v>3</v>
      </c>
      <c r="I2140" t="s">
        <v>62</v>
      </c>
      <c r="J2140" t="s">
        <v>11</v>
      </c>
    </row>
    <row r="2141" spans="1:10" x14ac:dyDescent="0.25">
      <c r="A2141" t="s">
        <v>134</v>
      </c>
      <c r="B2141" t="s">
        <v>168</v>
      </c>
      <c r="C2141" s="12" t="s">
        <v>182</v>
      </c>
      <c r="D2141" t="s">
        <v>4</v>
      </c>
      <c r="E2141" t="s">
        <v>12</v>
      </c>
      <c r="F2141" t="s">
        <v>8</v>
      </c>
      <c r="G2141" t="s">
        <v>184</v>
      </c>
      <c r="H2141" s="95">
        <v>3</v>
      </c>
      <c r="I2141" t="s">
        <v>60</v>
      </c>
      <c r="J2141" t="s">
        <v>13</v>
      </c>
    </row>
    <row r="2142" spans="1:10" x14ac:dyDescent="0.25">
      <c r="A2142" t="s">
        <v>134</v>
      </c>
      <c r="B2142" t="s">
        <v>168</v>
      </c>
      <c r="C2142" s="12" t="s">
        <v>182</v>
      </c>
      <c r="D2142" t="s">
        <v>4</v>
      </c>
      <c r="E2142" t="s">
        <v>12</v>
      </c>
      <c r="F2142" t="s">
        <v>8</v>
      </c>
      <c r="G2142" t="s">
        <v>184</v>
      </c>
      <c r="H2142" s="95">
        <v>3</v>
      </c>
      <c r="I2142" t="s">
        <v>60</v>
      </c>
      <c r="J2142" t="s">
        <v>63</v>
      </c>
    </row>
    <row r="2143" spans="1:10" x14ac:dyDescent="0.25">
      <c r="A2143" t="s">
        <v>134</v>
      </c>
      <c r="B2143" t="s">
        <v>168</v>
      </c>
      <c r="C2143" s="12" t="s">
        <v>182</v>
      </c>
      <c r="D2143" t="s">
        <v>4</v>
      </c>
      <c r="E2143" t="s">
        <v>12</v>
      </c>
      <c r="F2143" t="s">
        <v>8</v>
      </c>
      <c r="G2143" t="s">
        <v>184</v>
      </c>
      <c r="H2143" s="95">
        <v>3</v>
      </c>
      <c r="I2143" t="s">
        <v>60</v>
      </c>
      <c r="J2143" t="s">
        <v>11</v>
      </c>
    </row>
    <row r="2144" spans="1:10" x14ac:dyDescent="0.25">
      <c r="A2144" t="s">
        <v>134</v>
      </c>
      <c r="B2144" t="s">
        <v>168</v>
      </c>
      <c r="C2144" s="12" t="s">
        <v>182</v>
      </c>
      <c r="D2144" t="s">
        <v>4</v>
      </c>
      <c r="E2144" t="s">
        <v>6</v>
      </c>
      <c r="F2144" t="s">
        <v>72</v>
      </c>
      <c r="G2144" t="s">
        <v>184</v>
      </c>
      <c r="H2144" s="95">
        <v>3</v>
      </c>
      <c r="I2144" t="s">
        <v>107</v>
      </c>
      <c r="J2144" t="s">
        <v>13</v>
      </c>
    </row>
    <row r="2145" spans="1:10" x14ac:dyDescent="0.25">
      <c r="A2145" t="s">
        <v>134</v>
      </c>
      <c r="B2145" t="s">
        <v>168</v>
      </c>
      <c r="C2145" s="12" t="s">
        <v>182</v>
      </c>
      <c r="D2145" t="s">
        <v>4</v>
      </c>
      <c r="E2145" t="s">
        <v>6</v>
      </c>
      <c r="F2145" t="s">
        <v>72</v>
      </c>
      <c r="G2145" t="s">
        <v>184</v>
      </c>
      <c r="H2145" s="95">
        <v>3</v>
      </c>
      <c r="I2145" t="s">
        <v>107</v>
      </c>
      <c r="J2145" t="s">
        <v>63</v>
      </c>
    </row>
    <row r="2146" spans="1:10" x14ac:dyDescent="0.25">
      <c r="A2146" t="s">
        <v>134</v>
      </c>
      <c r="B2146" t="s">
        <v>168</v>
      </c>
      <c r="C2146" s="12" t="s">
        <v>182</v>
      </c>
      <c r="D2146" t="s">
        <v>4</v>
      </c>
      <c r="E2146" t="s">
        <v>6</v>
      </c>
      <c r="F2146" t="s">
        <v>72</v>
      </c>
      <c r="G2146" t="s">
        <v>184</v>
      </c>
      <c r="H2146" s="95">
        <v>3</v>
      </c>
      <c r="I2146" t="s">
        <v>107</v>
      </c>
      <c r="J2146" t="s">
        <v>11</v>
      </c>
    </row>
    <row r="2147" spans="1:10" x14ac:dyDescent="0.25">
      <c r="A2147" t="s">
        <v>134</v>
      </c>
      <c r="B2147" t="s">
        <v>168</v>
      </c>
      <c r="C2147" s="12" t="s">
        <v>182</v>
      </c>
      <c r="D2147" t="s">
        <v>4</v>
      </c>
      <c r="E2147" t="s">
        <v>6</v>
      </c>
      <c r="F2147" t="s">
        <v>72</v>
      </c>
      <c r="G2147" t="s">
        <v>184</v>
      </c>
      <c r="H2147" s="95">
        <v>3</v>
      </c>
      <c r="I2147" t="s">
        <v>62</v>
      </c>
      <c r="J2147" t="s">
        <v>13</v>
      </c>
    </row>
    <row r="2148" spans="1:10" x14ac:dyDescent="0.25">
      <c r="A2148" t="s">
        <v>134</v>
      </c>
      <c r="B2148" t="s">
        <v>168</v>
      </c>
      <c r="C2148" s="12" t="s">
        <v>182</v>
      </c>
      <c r="D2148" t="s">
        <v>4</v>
      </c>
      <c r="E2148" t="s">
        <v>6</v>
      </c>
      <c r="F2148" t="s">
        <v>72</v>
      </c>
      <c r="G2148" t="s">
        <v>184</v>
      </c>
      <c r="H2148" s="95">
        <v>3</v>
      </c>
      <c r="I2148" t="s">
        <v>62</v>
      </c>
      <c r="J2148" t="s">
        <v>63</v>
      </c>
    </row>
    <row r="2149" spans="1:10" x14ac:dyDescent="0.25">
      <c r="A2149" t="s">
        <v>134</v>
      </c>
      <c r="B2149" t="s">
        <v>168</v>
      </c>
      <c r="C2149" s="12" t="s">
        <v>182</v>
      </c>
      <c r="D2149" t="s">
        <v>4</v>
      </c>
      <c r="E2149" t="s">
        <v>6</v>
      </c>
      <c r="F2149" t="s">
        <v>72</v>
      </c>
      <c r="G2149" t="s">
        <v>184</v>
      </c>
      <c r="H2149" s="95">
        <v>3</v>
      </c>
      <c r="I2149" t="s">
        <v>62</v>
      </c>
      <c r="J2149" t="s">
        <v>11</v>
      </c>
    </row>
    <row r="2150" spans="1:10" x14ac:dyDescent="0.25">
      <c r="A2150" t="s">
        <v>134</v>
      </c>
      <c r="B2150" t="s">
        <v>168</v>
      </c>
      <c r="C2150" s="12" t="s">
        <v>182</v>
      </c>
      <c r="D2150" t="s">
        <v>4</v>
      </c>
      <c r="E2150" t="s">
        <v>6</v>
      </c>
      <c r="F2150" t="s">
        <v>72</v>
      </c>
      <c r="G2150" t="s">
        <v>184</v>
      </c>
      <c r="H2150" s="95">
        <v>3</v>
      </c>
      <c r="I2150" t="s">
        <v>60</v>
      </c>
      <c r="J2150" t="s">
        <v>13</v>
      </c>
    </row>
    <row r="2151" spans="1:10" x14ac:dyDescent="0.25">
      <c r="A2151" t="s">
        <v>134</v>
      </c>
      <c r="B2151" t="s">
        <v>168</v>
      </c>
      <c r="C2151" s="12" t="s">
        <v>182</v>
      </c>
      <c r="D2151" t="s">
        <v>4</v>
      </c>
      <c r="E2151" t="s">
        <v>6</v>
      </c>
      <c r="F2151" t="s">
        <v>72</v>
      </c>
      <c r="G2151" t="s">
        <v>184</v>
      </c>
      <c r="H2151" s="95">
        <v>3</v>
      </c>
      <c r="I2151" t="s">
        <v>60</v>
      </c>
      <c r="J2151" t="s">
        <v>63</v>
      </c>
    </row>
    <row r="2152" spans="1:10" x14ac:dyDescent="0.25">
      <c r="A2152" t="s">
        <v>134</v>
      </c>
      <c r="B2152" t="s">
        <v>168</v>
      </c>
      <c r="C2152" s="12" t="s">
        <v>182</v>
      </c>
      <c r="D2152" t="s">
        <v>4</v>
      </c>
      <c r="E2152" t="s">
        <v>6</v>
      </c>
      <c r="F2152" t="s">
        <v>72</v>
      </c>
      <c r="G2152" t="s">
        <v>184</v>
      </c>
      <c r="H2152" s="95">
        <v>3</v>
      </c>
      <c r="I2152" t="s">
        <v>60</v>
      </c>
      <c r="J2152" t="s">
        <v>11</v>
      </c>
    </row>
    <row r="2153" spans="1:10" x14ac:dyDescent="0.25">
      <c r="A2153" t="s">
        <v>134</v>
      </c>
      <c r="B2153" t="s">
        <v>168</v>
      </c>
      <c r="C2153" s="12" t="s">
        <v>182</v>
      </c>
      <c r="D2153" t="s">
        <v>4</v>
      </c>
      <c r="E2153" t="s">
        <v>6</v>
      </c>
      <c r="F2153" t="s">
        <v>16</v>
      </c>
      <c r="G2153" t="s">
        <v>184</v>
      </c>
      <c r="H2153" s="95">
        <v>3</v>
      </c>
      <c r="I2153" t="s">
        <v>107</v>
      </c>
      <c r="J2153" t="s">
        <v>13</v>
      </c>
    </row>
    <row r="2154" spans="1:10" x14ac:dyDescent="0.25">
      <c r="A2154" t="s">
        <v>134</v>
      </c>
      <c r="B2154" t="s">
        <v>168</v>
      </c>
      <c r="C2154" s="12" t="s">
        <v>182</v>
      </c>
      <c r="D2154" t="s">
        <v>4</v>
      </c>
      <c r="E2154" t="s">
        <v>6</v>
      </c>
      <c r="F2154" t="s">
        <v>16</v>
      </c>
      <c r="G2154" t="s">
        <v>184</v>
      </c>
      <c r="H2154" s="95">
        <v>3</v>
      </c>
      <c r="I2154" t="s">
        <v>107</v>
      </c>
      <c r="J2154" t="s">
        <v>63</v>
      </c>
    </row>
    <row r="2155" spans="1:10" x14ac:dyDescent="0.25">
      <c r="A2155" t="s">
        <v>134</v>
      </c>
      <c r="B2155" t="s">
        <v>168</v>
      </c>
      <c r="C2155" s="12" t="s">
        <v>182</v>
      </c>
      <c r="D2155" t="s">
        <v>4</v>
      </c>
      <c r="E2155" t="s">
        <v>6</v>
      </c>
      <c r="F2155" t="s">
        <v>16</v>
      </c>
      <c r="G2155" t="s">
        <v>184</v>
      </c>
      <c r="H2155" s="95">
        <v>3</v>
      </c>
      <c r="I2155" t="s">
        <v>107</v>
      </c>
      <c r="J2155" t="s">
        <v>11</v>
      </c>
    </row>
    <row r="2156" spans="1:10" x14ac:dyDescent="0.25">
      <c r="A2156" t="s">
        <v>134</v>
      </c>
      <c r="B2156" t="s">
        <v>168</v>
      </c>
      <c r="C2156" s="12" t="s">
        <v>182</v>
      </c>
      <c r="D2156" t="s">
        <v>4</v>
      </c>
      <c r="E2156" t="s">
        <v>6</v>
      </c>
      <c r="F2156" t="s">
        <v>16</v>
      </c>
      <c r="G2156" t="s">
        <v>184</v>
      </c>
      <c r="H2156" s="95">
        <v>3</v>
      </c>
      <c r="I2156" t="s">
        <v>62</v>
      </c>
      <c r="J2156" t="s">
        <v>13</v>
      </c>
    </row>
    <row r="2157" spans="1:10" x14ac:dyDescent="0.25">
      <c r="A2157" t="s">
        <v>134</v>
      </c>
      <c r="B2157" t="s">
        <v>168</v>
      </c>
      <c r="C2157" s="12" t="s">
        <v>182</v>
      </c>
      <c r="D2157" t="s">
        <v>4</v>
      </c>
      <c r="E2157" t="s">
        <v>6</v>
      </c>
      <c r="F2157" t="s">
        <v>16</v>
      </c>
      <c r="G2157" t="s">
        <v>184</v>
      </c>
      <c r="H2157" s="95">
        <v>3</v>
      </c>
      <c r="I2157" t="s">
        <v>62</v>
      </c>
      <c r="J2157" t="s">
        <v>63</v>
      </c>
    </row>
    <row r="2158" spans="1:10" x14ac:dyDescent="0.25">
      <c r="A2158" t="s">
        <v>134</v>
      </c>
      <c r="B2158" t="s">
        <v>168</v>
      </c>
      <c r="C2158" s="12" t="s">
        <v>182</v>
      </c>
      <c r="D2158" t="s">
        <v>4</v>
      </c>
      <c r="E2158" t="s">
        <v>6</v>
      </c>
      <c r="F2158" t="s">
        <v>16</v>
      </c>
      <c r="G2158" t="s">
        <v>184</v>
      </c>
      <c r="H2158" s="95">
        <v>3</v>
      </c>
      <c r="I2158" t="s">
        <v>62</v>
      </c>
      <c r="J2158" t="s">
        <v>11</v>
      </c>
    </row>
    <row r="2159" spans="1:10" x14ac:dyDescent="0.25">
      <c r="A2159" t="s">
        <v>134</v>
      </c>
      <c r="B2159" t="s">
        <v>168</v>
      </c>
      <c r="C2159" s="12" t="s">
        <v>182</v>
      </c>
      <c r="D2159" t="s">
        <v>4</v>
      </c>
      <c r="E2159" t="s">
        <v>6</v>
      </c>
      <c r="F2159" t="s">
        <v>16</v>
      </c>
      <c r="G2159" t="s">
        <v>184</v>
      </c>
      <c r="H2159" s="95">
        <v>3</v>
      </c>
      <c r="I2159" t="s">
        <v>60</v>
      </c>
      <c r="J2159" t="s">
        <v>13</v>
      </c>
    </row>
    <row r="2160" spans="1:10" x14ac:dyDescent="0.25">
      <c r="A2160" t="s">
        <v>134</v>
      </c>
      <c r="B2160" t="s">
        <v>168</v>
      </c>
      <c r="C2160" s="12" t="s">
        <v>182</v>
      </c>
      <c r="D2160" t="s">
        <v>4</v>
      </c>
      <c r="E2160" t="s">
        <v>6</v>
      </c>
      <c r="F2160" t="s">
        <v>16</v>
      </c>
      <c r="G2160" t="s">
        <v>184</v>
      </c>
      <c r="H2160" s="95">
        <v>3</v>
      </c>
      <c r="I2160" t="s">
        <v>60</v>
      </c>
      <c r="J2160" t="s">
        <v>63</v>
      </c>
    </row>
    <row r="2161" spans="1:10" x14ac:dyDescent="0.25">
      <c r="A2161" t="s">
        <v>134</v>
      </c>
      <c r="B2161" t="s">
        <v>168</v>
      </c>
      <c r="C2161" s="12" t="s">
        <v>182</v>
      </c>
      <c r="D2161" t="s">
        <v>4</v>
      </c>
      <c r="E2161" t="s">
        <v>6</v>
      </c>
      <c r="F2161" t="s">
        <v>16</v>
      </c>
      <c r="G2161" t="s">
        <v>184</v>
      </c>
      <c r="H2161" s="95">
        <v>3</v>
      </c>
      <c r="I2161" t="s">
        <v>60</v>
      </c>
      <c r="J2161" t="s">
        <v>11</v>
      </c>
    </row>
    <row r="2162" spans="1:10" x14ac:dyDescent="0.25">
      <c r="A2162" t="s">
        <v>134</v>
      </c>
      <c r="B2162" t="s">
        <v>168</v>
      </c>
      <c r="C2162" s="12" t="s">
        <v>182</v>
      </c>
      <c r="D2162" t="s">
        <v>4</v>
      </c>
      <c r="E2162" t="s">
        <v>6</v>
      </c>
      <c r="F2162" t="s">
        <v>8</v>
      </c>
      <c r="G2162" t="s">
        <v>184</v>
      </c>
      <c r="H2162" s="95">
        <v>3</v>
      </c>
      <c r="I2162" t="s">
        <v>107</v>
      </c>
      <c r="J2162" t="s">
        <v>13</v>
      </c>
    </row>
    <row r="2163" spans="1:10" x14ac:dyDescent="0.25">
      <c r="A2163" t="s">
        <v>134</v>
      </c>
      <c r="B2163" t="s">
        <v>168</v>
      </c>
      <c r="C2163" s="12" t="s">
        <v>182</v>
      </c>
      <c r="D2163" t="s">
        <v>4</v>
      </c>
      <c r="E2163" t="s">
        <v>6</v>
      </c>
      <c r="F2163" t="s">
        <v>8</v>
      </c>
      <c r="G2163" t="s">
        <v>184</v>
      </c>
      <c r="H2163" s="95">
        <v>3</v>
      </c>
      <c r="I2163" t="s">
        <v>107</v>
      </c>
      <c r="J2163" t="s">
        <v>63</v>
      </c>
    </row>
    <row r="2164" spans="1:10" x14ac:dyDescent="0.25">
      <c r="A2164" t="s">
        <v>134</v>
      </c>
      <c r="B2164" t="s">
        <v>168</v>
      </c>
      <c r="C2164" s="12" t="s">
        <v>182</v>
      </c>
      <c r="D2164" t="s">
        <v>4</v>
      </c>
      <c r="E2164" t="s">
        <v>6</v>
      </c>
      <c r="F2164" t="s">
        <v>8</v>
      </c>
      <c r="G2164" t="s">
        <v>184</v>
      </c>
      <c r="H2164" s="95">
        <v>3</v>
      </c>
      <c r="I2164" t="s">
        <v>107</v>
      </c>
      <c r="J2164" t="s">
        <v>11</v>
      </c>
    </row>
    <row r="2165" spans="1:10" x14ac:dyDescent="0.25">
      <c r="A2165" t="s">
        <v>134</v>
      </c>
      <c r="B2165" t="s">
        <v>168</v>
      </c>
      <c r="C2165" s="12" t="s">
        <v>182</v>
      </c>
      <c r="D2165" t="s">
        <v>4</v>
      </c>
      <c r="E2165" t="s">
        <v>6</v>
      </c>
      <c r="F2165" t="s">
        <v>8</v>
      </c>
      <c r="G2165" t="s">
        <v>184</v>
      </c>
      <c r="H2165" s="95">
        <v>3</v>
      </c>
      <c r="I2165" t="s">
        <v>62</v>
      </c>
      <c r="J2165" t="s">
        <v>13</v>
      </c>
    </row>
    <row r="2166" spans="1:10" x14ac:dyDescent="0.25">
      <c r="A2166" t="s">
        <v>134</v>
      </c>
      <c r="B2166" t="s">
        <v>168</v>
      </c>
      <c r="C2166" s="12" t="s">
        <v>182</v>
      </c>
      <c r="D2166" t="s">
        <v>4</v>
      </c>
      <c r="E2166" t="s">
        <v>6</v>
      </c>
      <c r="F2166" t="s">
        <v>8</v>
      </c>
      <c r="G2166" t="s">
        <v>184</v>
      </c>
      <c r="H2166" s="95">
        <v>3</v>
      </c>
      <c r="I2166" t="s">
        <v>62</v>
      </c>
      <c r="J2166" t="s">
        <v>63</v>
      </c>
    </row>
    <row r="2167" spans="1:10" x14ac:dyDescent="0.25">
      <c r="A2167" t="s">
        <v>134</v>
      </c>
      <c r="B2167" t="s">
        <v>168</v>
      </c>
      <c r="C2167" s="12" t="s">
        <v>182</v>
      </c>
      <c r="D2167" t="s">
        <v>4</v>
      </c>
      <c r="E2167" t="s">
        <v>6</v>
      </c>
      <c r="F2167" t="s">
        <v>8</v>
      </c>
      <c r="G2167" t="s">
        <v>184</v>
      </c>
      <c r="H2167" s="95">
        <v>3</v>
      </c>
      <c r="I2167" t="s">
        <v>62</v>
      </c>
      <c r="J2167" t="s">
        <v>11</v>
      </c>
    </row>
    <row r="2168" spans="1:10" x14ac:dyDescent="0.25">
      <c r="A2168" t="s">
        <v>134</v>
      </c>
      <c r="B2168" t="s">
        <v>168</v>
      </c>
      <c r="C2168" s="12" t="s">
        <v>182</v>
      </c>
      <c r="D2168" t="s">
        <v>4</v>
      </c>
      <c r="E2168" t="s">
        <v>6</v>
      </c>
      <c r="F2168" t="s">
        <v>8</v>
      </c>
      <c r="G2168" t="s">
        <v>184</v>
      </c>
      <c r="H2168" s="95">
        <v>3</v>
      </c>
      <c r="I2168" t="s">
        <v>60</v>
      </c>
      <c r="J2168" t="s">
        <v>13</v>
      </c>
    </row>
    <row r="2169" spans="1:10" x14ac:dyDescent="0.25">
      <c r="A2169" t="s">
        <v>134</v>
      </c>
      <c r="B2169" t="s">
        <v>168</v>
      </c>
      <c r="C2169" s="12" t="s">
        <v>182</v>
      </c>
      <c r="D2169" t="s">
        <v>4</v>
      </c>
      <c r="E2169" t="s">
        <v>6</v>
      </c>
      <c r="F2169" t="s">
        <v>8</v>
      </c>
      <c r="G2169" t="s">
        <v>184</v>
      </c>
      <c r="H2169" s="95">
        <v>3</v>
      </c>
      <c r="I2169" t="s">
        <v>60</v>
      </c>
      <c r="J2169" t="s">
        <v>63</v>
      </c>
    </row>
    <row r="2170" spans="1:10" x14ac:dyDescent="0.25">
      <c r="A2170" t="s">
        <v>134</v>
      </c>
      <c r="B2170" t="s">
        <v>168</v>
      </c>
      <c r="C2170" s="12" t="s">
        <v>182</v>
      </c>
      <c r="D2170" t="s">
        <v>4</v>
      </c>
      <c r="E2170" t="s">
        <v>6</v>
      </c>
      <c r="F2170" t="s">
        <v>8</v>
      </c>
      <c r="G2170" t="s">
        <v>184</v>
      </c>
      <c r="H2170" s="95">
        <v>3</v>
      </c>
      <c r="I2170" t="s">
        <v>60</v>
      </c>
      <c r="J2170" t="s">
        <v>11</v>
      </c>
    </row>
    <row r="2171" spans="1:10" x14ac:dyDescent="0.25">
      <c r="A2171" t="s">
        <v>134</v>
      </c>
      <c r="B2171" t="s">
        <v>168</v>
      </c>
      <c r="C2171" s="12" t="s">
        <v>182</v>
      </c>
      <c r="D2171" t="s">
        <v>4</v>
      </c>
      <c r="E2171" t="s">
        <v>12</v>
      </c>
      <c r="F2171" t="s">
        <v>72</v>
      </c>
      <c r="G2171" t="s">
        <v>184</v>
      </c>
      <c r="H2171" s="95">
        <v>4</v>
      </c>
      <c r="I2171" t="s">
        <v>107</v>
      </c>
      <c r="J2171" t="s">
        <v>13</v>
      </c>
    </row>
    <row r="2172" spans="1:10" x14ac:dyDescent="0.25">
      <c r="A2172" t="s">
        <v>134</v>
      </c>
      <c r="B2172" t="s">
        <v>168</v>
      </c>
      <c r="C2172" s="12" t="s">
        <v>182</v>
      </c>
      <c r="D2172" t="s">
        <v>4</v>
      </c>
      <c r="E2172" t="s">
        <v>12</v>
      </c>
      <c r="F2172" t="s">
        <v>72</v>
      </c>
      <c r="G2172" t="s">
        <v>184</v>
      </c>
      <c r="H2172" s="95">
        <v>4</v>
      </c>
      <c r="I2172" t="s">
        <v>107</v>
      </c>
      <c r="J2172" t="s">
        <v>63</v>
      </c>
    </row>
    <row r="2173" spans="1:10" x14ac:dyDescent="0.25">
      <c r="A2173" t="s">
        <v>134</v>
      </c>
      <c r="B2173" t="s">
        <v>168</v>
      </c>
      <c r="C2173" s="12" t="s">
        <v>182</v>
      </c>
      <c r="D2173" t="s">
        <v>4</v>
      </c>
      <c r="E2173" t="s">
        <v>12</v>
      </c>
      <c r="F2173" t="s">
        <v>72</v>
      </c>
      <c r="G2173" t="s">
        <v>184</v>
      </c>
      <c r="H2173" s="95">
        <v>4</v>
      </c>
      <c r="I2173" t="s">
        <v>107</v>
      </c>
      <c r="J2173" t="s">
        <v>11</v>
      </c>
    </row>
    <row r="2174" spans="1:10" x14ac:dyDescent="0.25">
      <c r="A2174" t="s">
        <v>134</v>
      </c>
      <c r="B2174" t="s">
        <v>168</v>
      </c>
      <c r="C2174" s="12" t="s">
        <v>182</v>
      </c>
      <c r="D2174" t="s">
        <v>4</v>
      </c>
      <c r="E2174" t="s">
        <v>12</v>
      </c>
      <c r="F2174" t="s">
        <v>72</v>
      </c>
      <c r="G2174" t="s">
        <v>184</v>
      </c>
      <c r="H2174" s="95">
        <v>4</v>
      </c>
      <c r="I2174" t="s">
        <v>62</v>
      </c>
      <c r="J2174" t="s">
        <v>13</v>
      </c>
    </row>
    <row r="2175" spans="1:10" x14ac:dyDescent="0.25">
      <c r="A2175" t="s">
        <v>134</v>
      </c>
      <c r="B2175" t="s">
        <v>168</v>
      </c>
      <c r="C2175" s="12" t="s">
        <v>182</v>
      </c>
      <c r="D2175" t="s">
        <v>4</v>
      </c>
      <c r="E2175" t="s">
        <v>12</v>
      </c>
      <c r="F2175" t="s">
        <v>72</v>
      </c>
      <c r="G2175" t="s">
        <v>184</v>
      </c>
      <c r="H2175" s="95">
        <v>4</v>
      </c>
      <c r="I2175" t="s">
        <v>62</v>
      </c>
      <c r="J2175" t="s">
        <v>63</v>
      </c>
    </row>
    <row r="2176" spans="1:10" x14ac:dyDescent="0.25">
      <c r="A2176" t="s">
        <v>134</v>
      </c>
      <c r="B2176" t="s">
        <v>168</v>
      </c>
      <c r="C2176" s="12" t="s">
        <v>182</v>
      </c>
      <c r="D2176" t="s">
        <v>4</v>
      </c>
      <c r="E2176" t="s">
        <v>12</v>
      </c>
      <c r="F2176" t="s">
        <v>72</v>
      </c>
      <c r="G2176" t="s">
        <v>184</v>
      </c>
      <c r="H2176" s="95">
        <v>4</v>
      </c>
      <c r="I2176" t="s">
        <v>62</v>
      </c>
      <c r="J2176" t="s">
        <v>11</v>
      </c>
    </row>
    <row r="2177" spans="1:10" x14ac:dyDescent="0.25">
      <c r="A2177" t="s">
        <v>134</v>
      </c>
      <c r="B2177" t="s">
        <v>168</v>
      </c>
      <c r="C2177" s="12" t="s">
        <v>182</v>
      </c>
      <c r="D2177" t="s">
        <v>4</v>
      </c>
      <c r="E2177" t="s">
        <v>12</v>
      </c>
      <c r="F2177" t="s">
        <v>72</v>
      </c>
      <c r="G2177" t="s">
        <v>184</v>
      </c>
      <c r="H2177" s="95">
        <v>4</v>
      </c>
      <c r="I2177" t="s">
        <v>60</v>
      </c>
      <c r="J2177" t="s">
        <v>13</v>
      </c>
    </row>
    <row r="2178" spans="1:10" x14ac:dyDescent="0.25">
      <c r="A2178" t="s">
        <v>134</v>
      </c>
      <c r="B2178" t="s">
        <v>168</v>
      </c>
      <c r="C2178" s="12" t="s">
        <v>182</v>
      </c>
      <c r="D2178" t="s">
        <v>4</v>
      </c>
      <c r="E2178" t="s">
        <v>12</v>
      </c>
      <c r="F2178" t="s">
        <v>72</v>
      </c>
      <c r="G2178" t="s">
        <v>184</v>
      </c>
      <c r="H2178" s="95">
        <v>4</v>
      </c>
      <c r="I2178" t="s">
        <v>60</v>
      </c>
      <c r="J2178" t="s">
        <v>63</v>
      </c>
    </row>
    <row r="2179" spans="1:10" x14ac:dyDescent="0.25">
      <c r="A2179" t="s">
        <v>134</v>
      </c>
      <c r="B2179" t="s">
        <v>168</v>
      </c>
      <c r="C2179" s="12" t="s">
        <v>182</v>
      </c>
      <c r="D2179" t="s">
        <v>4</v>
      </c>
      <c r="E2179" t="s">
        <v>12</v>
      </c>
      <c r="F2179" t="s">
        <v>72</v>
      </c>
      <c r="G2179" t="s">
        <v>184</v>
      </c>
      <c r="H2179" s="95">
        <v>4</v>
      </c>
      <c r="I2179" t="s">
        <v>60</v>
      </c>
      <c r="J2179" t="s">
        <v>11</v>
      </c>
    </row>
    <row r="2180" spans="1:10" x14ac:dyDescent="0.25">
      <c r="A2180" t="s">
        <v>134</v>
      </c>
      <c r="B2180" t="s">
        <v>168</v>
      </c>
      <c r="C2180" s="12" t="s">
        <v>182</v>
      </c>
      <c r="D2180" t="s">
        <v>4</v>
      </c>
      <c r="E2180" t="s">
        <v>12</v>
      </c>
      <c r="F2180" t="s">
        <v>16</v>
      </c>
      <c r="G2180" t="s">
        <v>184</v>
      </c>
      <c r="H2180" s="95">
        <v>4</v>
      </c>
      <c r="I2180" t="s">
        <v>107</v>
      </c>
      <c r="J2180" t="s">
        <v>13</v>
      </c>
    </row>
    <row r="2181" spans="1:10" x14ac:dyDescent="0.25">
      <c r="A2181" t="s">
        <v>134</v>
      </c>
      <c r="B2181" t="s">
        <v>168</v>
      </c>
      <c r="C2181" s="12" t="s">
        <v>182</v>
      </c>
      <c r="D2181" t="s">
        <v>4</v>
      </c>
      <c r="E2181" t="s">
        <v>12</v>
      </c>
      <c r="F2181" t="s">
        <v>16</v>
      </c>
      <c r="G2181" t="s">
        <v>184</v>
      </c>
      <c r="H2181" s="95">
        <v>4</v>
      </c>
      <c r="I2181" t="s">
        <v>107</v>
      </c>
      <c r="J2181" t="s">
        <v>63</v>
      </c>
    </row>
    <row r="2182" spans="1:10" x14ac:dyDescent="0.25">
      <c r="A2182" t="s">
        <v>134</v>
      </c>
      <c r="B2182" t="s">
        <v>168</v>
      </c>
      <c r="C2182" s="12" t="s">
        <v>182</v>
      </c>
      <c r="D2182" t="s">
        <v>4</v>
      </c>
      <c r="E2182" t="s">
        <v>12</v>
      </c>
      <c r="F2182" t="s">
        <v>16</v>
      </c>
      <c r="G2182" t="s">
        <v>184</v>
      </c>
      <c r="H2182" s="95">
        <v>4</v>
      </c>
      <c r="I2182" t="s">
        <v>107</v>
      </c>
      <c r="J2182" t="s">
        <v>11</v>
      </c>
    </row>
    <row r="2183" spans="1:10" x14ac:dyDescent="0.25">
      <c r="A2183" t="s">
        <v>134</v>
      </c>
      <c r="B2183" t="s">
        <v>168</v>
      </c>
      <c r="C2183" s="12" t="s">
        <v>182</v>
      </c>
      <c r="D2183" t="s">
        <v>4</v>
      </c>
      <c r="E2183" t="s">
        <v>12</v>
      </c>
      <c r="F2183" t="s">
        <v>16</v>
      </c>
      <c r="G2183" t="s">
        <v>184</v>
      </c>
      <c r="H2183" s="95">
        <v>4</v>
      </c>
      <c r="I2183" t="s">
        <v>62</v>
      </c>
      <c r="J2183" t="s">
        <v>13</v>
      </c>
    </row>
    <row r="2184" spans="1:10" x14ac:dyDescent="0.25">
      <c r="A2184" t="s">
        <v>134</v>
      </c>
      <c r="B2184" t="s">
        <v>168</v>
      </c>
      <c r="C2184" s="12" t="s">
        <v>182</v>
      </c>
      <c r="D2184" t="s">
        <v>4</v>
      </c>
      <c r="E2184" t="s">
        <v>12</v>
      </c>
      <c r="F2184" t="s">
        <v>16</v>
      </c>
      <c r="G2184" t="s">
        <v>184</v>
      </c>
      <c r="H2184" s="95">
        <v>4</v>
      </c>
      <c r="I2184" t="s">
        <v>62</v>
      </c>
      <c r="J2184" t="s">
        <v>63</v>
      </c>
    </row>
    <row r="2185" spans="1:10" x14ac:dyDescent="0.25">
      <c r="A2185" t="s">
        <v>134</v>
      </c>
      <c r="B2185" t="s">
        <v>168</v>
      </c>
      <c r="C2185" s="12" t="s">
        <v>182</v>
      </c>
      <c r="D2185" t="s">
        <v>4</v>
      </c>
      <c r="E2185" t="s">
        <v>12</v>
      </c>
      <c r="F2185" t="s">
        <v>16</v>
      </c>
      <c r="G2185" t="s">
        <v>184</v>
      </c>
      <c r="H2185" s="95">
        <v>4</v>
      </c>
      <c r="I2185" t="s">
        <v>62</v>
      </c>
      <c r="J2185" t="s">
        <v>11</v>
      </c>
    </row>
    <row r="2186" spans="1:10" x14ac:dyDescent="0.25">
      <c r="A2186" t="s">
        <v>134</v>
      </c>
      <c r="B2186" t="s">
        <v>168</v>
      </c>
      <c r="C2186" s="12" t="s">
        <v>182</v>
      </c>
      <c r="D2186" t="s">
        <v>4</v>
      </c>
      <c r="E2186" t="s">
        <v>12</v>
      </c>
      <c r="F2186" t="s">
        <v>16</v>
      </c>
      <c r="G2186" t="s">
        <v>184</v>
      </c>
      <c r="H2186" s="95">
        <v>4</v>
      </c>
      <c r="I2186" t="s">
        <v>60</v>
      </c>
      <c r="J2186" t="s">
        <v>13</v>
      </c>
    </row>
    <row r="2187" spans="1:10" x14ac:dyDescent="0.25">
      <c r="A2187" t="s">
        <v>134</v>
      </c>
      <c r="B2187" t="s">
        <v>168</v>
      </c>
      <c r="C2187" s="12" t="s">
        <v>182</v>
      </c>
      <c r="D2187" t="s">
        <v>4</v>
      </c>
      <c r="E2187" t="s">
        <v>12</v>
      </c>
      <c r="F2187" t="s">
        <v>16</v>
      </c>
      <c r="G2187" t="s">
        <v>184</v>
      </c>
      <c r="H2187" s="95">
        <v>4</v>
      </c>
      <c r="I2187" t="s">
        <v>60</v>
      </c>
      <c r="J2187" t="s">
        <v>63</v>
      </c>
    </row>
    <row r="2188" spans="1:10" x14ac:dyDescent="0.25">
      <c r="A2188" t="s">
        <v>134</v>
      </c>
      <c r="B2188" t="s">
        <v>168</v>
      </c>
      <c r="C2188" s="12" t="s">
        <v>182</v>
      </c>
      <c r="D2188" t="s">
        <v>4</v>
      </c>
      <c r="E2188" t="s">
        <v>12</v>
      </c>
      <c r="F2188" t="s">
        <v>16</v>
      </c>
      <c r="G2188" t="s">
        <v>184</v>
      </c>
      <c r="H2188" s="95">
        <v>4</v>
      </c>
      <c r="I2188" t="s">
        <v>60</v>
      </c>
      <c r="J2188" t="s">
        <v>11</v>
      </c>
    </row>
    <row r="2189" spans="1:10" x14ac:dyDescent="0.25">
      <c r="A2189" t="s">
        <v>134</v>
      </c>
      <c r="B2189" t="s">
        <v>168</v>
      </c>
      <c r="C2189" s="12" t="s">
        <v>182</v>
      </c>
      <c r="D2189" t="s">
        <v>4</v>
      </c>
      <c r="E2189" t="s">
        <v>12</v>
      </c>
      <c r="F2189" t="s">
        <v>8</v>
      </c>
      <c r="G2189" t="s">
        <v>184</v>
      </c>
      <c r="H2189" s="95">
        <v>4</v>
      </c>
      <c r="I2189" t="s">
        <v>107</v>
      </c>
      <c r="J2189" t="s">
        <v>13</v>
      </c>
    </row>
    <row r="2190" spans="1:10" x14ac:dyDescent="0.25">
      <c r="A2190" t="s">
        <v>134</v>
      </c>
      <c r="B2190" t="s">
        <v>168</v>
      </c>
      <c r="C2190" s="12" t="s">
        <v>182</v>
      </c>
      <c r="D2190" t="s">
        <v>4</v>
      </c>
      <c r="E2190" t="s">
        <v>12</v>
      </c>
      <c r="F2190" t="s">
        <v>8</v>
      </c>
      <c r="G2190" t="s">
        <v>184</v>
      </c>
      <c r="H2190" s="95">
        <v>4</v>
      </c>
      <c r="I2190" t="s">
        <v>107</v>
      </c>
      <c r="J2190" t="s">
        <v>63</v>
      </c>
    </row>
    <row r="2191" spans="1:10" x14ac:dyDescent="0.25">
      <c r="A2191" t="s">
        <v>134</v>
      </c>
      <c r="B2191" t="s">
        <v>168</v>
      </c>
      <c r="C2191" s="12" t="s">
        <v>182</v>
      </c>
      <c r="D2191" t="s">
        <v>4</v>
      </c>
      <c r="E2191" t="s">
        <v>12</v>
      </c>
      <c r="F2191" t="s">
        <v>8</v>
      </c>
      <c r="G2191" t="s">
        <v>184</v>
      </c>
      <c r="H2191" s="95">
        <v>4</v>
      </c>
      <c r="I2191" t="s">
        <v>107</v>
      </c>
      <c r="J2191" t="s">
        <v>11</v>
      </c>
    </row>
    <row r="2192" spans="1:10" x14ac:dyDescent="0.25">
      <c r="A2192" t="s">
        <v>134</v>
      </c>
      <c r="B2192" t="s">
        <v>168</v>
      </c>
      <c r="C2192" s="12" t="s">
        <v>182</v>
      </c>
      <c r="D2192" t="s">
        <v>4</v>
      </c>
      <c r="E2192" t="s">
        <v>12</v>
      </c>
      <c r="F2192" t="s">
        <v>8</v>
      </c>
      <c r="G2192" t="s">
        <v>184</v>
      </c>
      <c r="H2192" s="95">
        <v>4</v>
      </c>
      <c r="I2192" t="s">
        <v>62</v>
      </c>
      <c r="J2192" t="s">
        <v>13</v>
      </c>
    </row>
    <row r="2193" spans="1:10" x14ac:dyDescent="0.25">
      <c r="A2193" t="s">
        <v>134</v>
      </c>
      <c r="B2193" t="s">
        <v>168</v>
      </c>
      <c r="C2193" s="12" t="s">
        <v>182</v>
      </c>
      <c r="D2193" t="s">
        <v>4</v>
      </c>
      <c r="E2193" t="s">
        <v>12</v>
      </c>
      <c r="F2193" t="s">
        <v>8</v>
      </c>
      <c r="G2193" t="s">
        <v>184</v>
      </c>
      <c r="H2193" s="95">
        <v>4</v>
      </c>
      <c r="I2193" t="s">
        <v>62</v>
      </c>
      <c r="J2193" t="s">
        <v>63</v>
      </c>
    </row>
    <row r="2194" spans="1:10" x14ac:dyDescent="0.25">
      <c r="A2194" t="s">
        <v>134</v>
      </c>
      <c r="B2194" t="s">
        <v>168</v>
      </c>
      <c r="C2194" s="12" t="s">
        <v>182</v>
      </c>
      <c r="D2194" t="s">
        <v>4</v>
      </c>
      <c r="E2194" t="s">
        <v>12</v>
      </c>
      <c r="F2194" t="s">
        <v>8</v>
      </c>
      <c r="G2194" t="s">
        <v>184</v>
      </c>
      <c r="H2194" s="95">
        <v>4</v>
      </c>
      <c r="I2194" t="s">
        <v>62</v>
      </c>
      <c r="J2194" t="s">
        <v>11</v>
      </c>
    </row>
    <row r="2195" spans="1:10" x14ac:dyDescent="0.25">
      <c r="A2195" t="s">
        <v>134</v>
      </c>
      <c r="B2195" t="s">
        <v>168</v>
      </c>
      <c r="C2195" s="12" t="s">
        <v>182</v>
      </c>
      <c r="D2195" t="s">
        <v>4</v>
      </c>
      <c r="E2195" t="s">
        <v>12</v>
      </c>
      <c r="F2195" t="s">
        <v>8</v>
      </c>
      <c r="G2195" t="s">
        <v>184</v>
      </c>
      <c r="H2195" s="95">
        <v>4</v>
      </c>
      <c r="I2195" t="s">
        <v>60</v>
      </c>
      <c r="J2195" t="s">
        <v>13</v>
      </c>
    </row>
    <row r="2196" spans="1:10" x14ac:dyDescent="0.25">
      <c r="A2196" t="s">
        <v>134</v>
      </c>
      <c r="B2196" t="s">
        <v>168</v>
      </c>
      <c r="C2196" s="12" t="s">
        <v>182</v>
      </c>
      <c r="D2196" t="s">
        <v>4</v>
      </c>
      <c r="E2196" t="s">
        <v>12</v>
      </c>
      <c r="F2196" t="s">
        <v>8</v>
      </c>
      <c r="G2196" t="s">
        <v>184</v>
      </c>
      <c r="H2196" s="95">
        <v>4</v>
      </c>
      <c r="I2196" t="s">
        <v>60</v>
      </c>
      <c r="J2196" t="s">
        <v>63</v>
      </c>
    </row>
    <row r="2197" spans="1:10" x14ac:dyDescent="0.25">
      <c r="A2197" t="s">
        <v>134</v>
      </c>
      <c r="B2197" t="s">
        <v>168</v>
      </c>
      <c r="C2197" s="12" t="s">
        <v>182</v>
      </c>
      <c r="D2197" t="s">
        <v>4</v>
      </c>
      <c r="E2197" t="s">
        <v>12</v>
      </c>
      <c r="F2197" t="s">
        <v>8</v>
      </c>
      <c r="G2197" t="s">
        <v>184</v>
      </c>
      <c r="H2197" s="95">
        <v>4</v>
      </c>
      <c r="I2197" t="s">
        <v>60</v>
      </c>
      <c r="J2197" t="s">
        <v>11</v>
      </c>
    </row>
    <row r="2198" spans="1:10" x14ac:dyDescent="0.25">
      <c r="A2198" t="s">
        <v>134</v>
      </c>
      <c r="B2198" t="s">
        <v>168</v>
      </c>
      <c r="C2198" s="12" t="s">
        <v>182</v>
      </c>
      <c r="D2198" t="s">
        <v>4</v>
      </c>
      <c r="E2198" t="s">
        <v>6</v>
      </c>
      <c r="F2198" t="s">
        <v>72</v>
      </c>
      <c r="G2198" t="s">
        <v>184</v>
      </c>
      <c r="H2198" s="95">
        <v>4</v>
      </c>
      <c r="I2198" t="s">
        <v>107</v>
      </c>
      <c r="J2198" t="s">
        <v>13</v>
      </c>
    </row>
    <row r="2199" spans="1:10" x14ac:dyDescent="0.25">
      <c r="A2199" t="s">
        <v>134</v>
      </c>
      <c r="B2199" t="s">
        <v>168</v>
      </c>
      <c r="C2199" s="12" t="s">
        <v>182</v>
      </c>
      <c r="D2199" t="s">
        <v>4</v>
      </c>
      <c r="E2199" t="s">
        <v>6</v>
      </c>
      <c r="F2199" t="s">
        <v>72</v>
      </c>
      <c r="G2199" t="s">
        <v>184</v>
      </c>
      <c r="H2199" s="95">
        <v>4</v>
      </c>
      <c r="I2199" t="s">
        <v>107</v>
      </c>
      <c r="J2199" t="s">
        <v>63</v>
      </c>
    </row>
    <row r="2200" spans="1:10" x14ac:dyDescent="0.25">
      <c r="A2200" t="s">
        <v>134</v>
      </c>
      <c r="B2200" t="s">
        <v>168</v>
      </c>
      <c r="C2200" s="12" t="s">
        <v>182</v>
      </c>
      <c r="D2200" t="s">
        <v>4</v>
      </c>
      <c r="E2200" t="s">
        <v>6</v>
      </c>
      <c r="F2200" t="s">
        <v>72</v>
      </c>
      <c r="G2200" t="s">
        <v>184</v>
      </c>
      <c r="H2200" s="95">
        <v>4</v>
      </c>
      <c r="I2200" t="s">
        <v>107</v>
      </c>
      <c r="J2200" t="s">
        <v>11</v>
      </c>
    </row>
    <row r="2201" spans="1:10" x14ac:dyDescent="0.25">
      <c r="A2201" t="s">
        <v>134</v>
      </c>
      <c r="B2201" t="s">
        <v>168</v>
      </c>
      <c r="C2201" s="12" t="s">
        <v>182</v>
      </c>
      <c r="D2201" t="s">
        <v>4</v>
      </c>
      <c r="E2201" t="s">
        <v>6</v>
      </c>
      <c r="F2201" t="s">
        <v>72</v>
      </c>
      <c r="G2201" t="s">
        <v>184</v>
      </c>
      <c r="H2201" s="95">
        <v>4</v>
      </c>
      <c r="I2201" t="s">
        <v>62</v>
      </c>
      <c r="J2201" t="s">
        <v>13</v>
      </c>
    </row>
    <row r="2202" spans="1:10" x14ac:dyDescent="0.25">
      <c r="A2202" t="s">
        <v>134</v>
      </c>
      <c r="B2202" t="s">
        <v>168</v>
      </c>
      <c r="C2202" s="12" t="s">
        <v>182</v>
      </c>
      <c r="D2202" t="s">
        <v>4</v>
      </c>
      <c r="E2202" t="s">
        <v>6</v>
      </c>
      <c r="F2202" t="s">
        <v>72</v>
      </c>
      <c r="G2202" t="s">
        <v>184</v>
      </c>
      <c r="H2202" s="95">
        <v>4</v>
      </c>
      <c r="I2202" t="s">
        <v>62</v>
      </c>
      <c r="J2202" t="s">
        <v>63</v>
      </c>
    </row>
    <row r="2203" spans="1:10" x14ac:dyDescent="0.25">
      <c r="A2203" t="s">
        <v>134</v>
      </c>
      <c r="B2203" t="s">
        <v>168</v>
      </c>
      <c r="C2203" s="12" t="s">
        <v>182</v>
      </c>
      <c r="D2203" t="s">
        <v>4</v>
      </c>
      <c r="E2203" t="s">
        <v>6</v>
      </c>
      <c r="F2203" t="s">
        <v>72</v>
      </c>
      <c r="G2203" t="s">
        <v>184</v>
      </c>
      <c r="H2203" s="95">
        <v>4</v>
      </c>
      <c r="I2203" t="s">
        <v>62</v>
      </c>
      <c r="J2203" t="s">
        <v>11</v>
      </c>
    </row>
    <row r="2204" spans="1:10" x14ac:dyDescent="0.25">
      <c r="A2204" t="s">
        <v>134</v>
      </c>
      <c r="B2204" t="s">
        <v>168</v>
      </c>
      <c r="C2204" s="12" t="s">
        <v>182</v>
      </c>
      <c r="D2204" t="s">
        <v>4</v>
      </c>
      <c r="E2204" t="s">
        <v>6</v>
      </c>
      <c r="F2204" t="s">
        <v>72</v>
      </c>
      <c r="G2204" t="s">
        <v>184</v>
      </c>
      <c r="H2204" s="95">
        <v>4</v>
      </c>
      <c r="I2204" t="s">
        <v>60</v>
      </c>
      <c r="J2204" t="s">
        <v>13</v>
      </c>
    </row>
    <row r="2205" spans="1:10" x14ac:dyDescent="0.25">
      <c r="A2205" t="s">
        <v>134</v>
      </c>
      <c r="B2205" t="s">
        <v>168</v>
      </c>
      <c r="C2205" s="12" t="s">
        <v>182</v>
      </c>
      <c r="D2205" t="s">
        <v>4</v>
      </c>
      <c r="E2205" t="s">
        <v>6</v>
      </c>
      <c r="F2205" t="s">
        <v>72</v>
      </c>
      <c r="G2205" t="s">
        <v>184</v>
      </c>
      <c r="H2205" s="95">
        <v>4</v>
      </c>
      <c r="I2205" t="s">
        <v>60</v>
      </c>
      <c r="J2205" t="s">
        <v>63</v>
      </c>
    </row>
    <row r="2206" spans="1:10" x14ac:dyDescent="0.25">
      <c r="A2206" t="s">
        <v>134</v>
      </c>
      <c r="B2206" t="s">
        <v>168</v>
      </c>
      <c r="C2206" s="12" t="s">
        <v>182</v>
      </c>
      <c r="D2206" t="s">
        <v>4</v>
      </c>
      <c r="E2206" t="s">
        <v>6</v>
      </c>
      <c r="F2206" t="s">
        <v>72</v>
      </c>
      <c r="G2206" t="s">
        <v>184</v>
      </c>
      <c r="H2206" s="95">
        <v>4</v>
      </c>
      <c r="I2206" t="s">
        <v>60</v>
      </c>
      <c r="J2206" t="s">
        <v>11</v>
      </c>
    </row>
    <row r="2207" spans="1:10" x14ac:dyDescent="0.25">
      <c r="A2207" t="s">
        <v>134</v>
      </c>
      <c r="B2207" t="s">
        <v>168</v>
      </c>
      <c r="C2207" s="12" t="s">
        <v>182</v>
      </c>
      <c r="D2207" t="s">
        <v>4</v>
      </c>
      <c r="E2207" t="s">
        <v>6</v>
      </c>
      <c r="F2207" t="s">
        <v>16</v>
      </c>
      <c r="G2207" t="s">
        <v>184</v>
      </c>
      <c r="H2207" s="95">
        <v>4</v>
      </c>
      <c r="I2207" t="s">
        <v>107</v>
      </c>
      <c r="J2207" t="s">
        <v>13</v>
      </c>
    </row>
    <row r="2208" spans="1:10" x14ac:dyDescent="0.25">
      <c r="A2208" t="s">
        <v>134</v>
      </c>
      <c r="B2208" t="s">
        <v>168</v>
      </c>
      <c r="C2208" s="12" t="s">
        <v>182</v>
      </c>
      <c r="D2208" t="s">
        <v>4</v>
      </c>
      <c r="E2208" t="s">
        <v>6</v>
      </c>
      <c r="F2208" t="s">
        <v>16</v>
      </c>
      <c r="G2208" t="s">
        <v>184</v>
      </c>
      <c r="H2208" s="95">
        <v>4</v>
      </c>
      <c r="I2208" t="s">
        <v>107</v>
      </c>
      <c r="J2208" t="s">
        <v>63</v>
      </c>
    </row>
    <row r="2209" spans="1:10" x14ac:dyDescent="0.25">
      <c r="A2209" t="s">
        <v>134</v>
      </c>
      <c r="B2209" t="s">
        <v>168</v>
      </c>
      <c r="C2209" s="12" t="s">
        <v>182</v>
      </c>
      <c r="D2209" t="s">
        <v>4</v>
      </c>
      <c r="E2209" t="s">
        <v>6</v>
      </c>
      <c r="F2209" t="s">
        <v>16</v>
      </c>
      <c r="G2209" t="s">
        <v>184</v>
      </c>
      <c r="H2209" s="95">
        <v>4</v>
      </c>
      <c r="I2209" t="s">
        <v>107</v>
      </c>
      <c r="J2209" t="s">
        <v>11</v>
      </c>
    </row>
    <row r="2210" spans="1:10" x14ac:dyDescent="0.25">
      <c r="A2210" t="s">
        <v>134</v>
      </c>
      <c r="B2210" t="s">
        <v>168</v>
      </c>
      <c r="C2210" s="12" t="s">
        <v>182</v>
      </c>
      <c r="D2210" t="s">
        <v>4</v>
      </c>
      <c r="E2210" t="s">
        <v>6</v>
      </c>
      <c r="F2210" t="s">
        <v>16</v>
      </c>
      <c r="G2210" t="s">
        <v>184</v>
      </c>
      <c r="H2210" s="95">
        <v>4</v>
      </c>
      <c r="I2210" t="s">
        <v>62</v>
      </c>
      <c r="J2210" t="s">
        <v>13</v>
      </c>
    </row>
    <row r="2211" spans="1:10" x14ac:dyDescent="0.25">
      <c r="A2211" t="s">
        <v>134</v>
      </c>
      <c r="B2211" t="s">
        <v>168</v>
      </c>
      <c r="C2211" s="12" t="s">
        <v>182</v>
      </c>
      <c r="D2211" t="s">
        <v>4</v>
      </c>
      <c r="E2211" t="s">
        <v>6</v>
      </c>
      <c r="F2211" t="s">
        <v>16</v>
      </c>
      <c r="G2211" t="s">
        <v>184</v>
      </c>
      <c r="H2211" s="95">
        <v>4</v>
      </c>
      <c r="I2211" t="s">
        <v>62</v>
      </c>
      <c r="J2211" t="s">
        <v>63</v>
      </c>
    </row>
    <row r="2212" spans="1:10" x14ac:dyDescent="0.25">
      <c r="A2212" t="s">
        <v>134</v>
      </c>
      <c r="B2212" t="s">
        <v>168</v>
      </c>
      <c r="C2212" s="12" t="s">
        <v>182</v>
      </c>
      <c r="D2212" t="s">
        <v>4</v>
      </c>
      <c r="E2212" t="s">
        <v>6</v>
      </c>
      <c r="F2212" t="s">
        <v>16</v>
      </c>
      <c r="G2212" t="s">
        <v>184</v>
      </c>
      <c r="H2212" s="95">
        <v>4</v>
      </c>
      <c r="I2212" t="s">
        <v>62</v>
      </c>
      <c r="J2212" t="s">
        <v>11</v>
      </c>
    </row>
    <row r="2213" spans="1:10" x14ac:dyDescent="0.25">
      <c r="A2213" t="s">
        <v>134</v>
      </c>
      <c r="B2213" t="s">
        <v>168</v>
      </c>
      <c r="C2213" s="12" t="s">
        <v>182</v>
      </c>
      <c r="D2213" t="s">
        <v>4</v>
      </c>
      <c r="E2213" t="s">
        <v>6</v>
      </c>
      <c r="F2213" t="s">
        <v>16</v>
      </c>
      <c r="G2213" t="s">
        <v>184</v>
      </c>
      <c r="H2213" s="95">
        <v>4</v>
      </c>
      <c r="I2213" t="s">
        <v>60</v>
      </c>
      <c r="J2213" t="s">
        <v>13</v>
      </c>
    </row>
    <row r="2214" spans="1:10" x14ac:dyDescent="0.25">
      <c r="A2214" t="s">
        <v>134</v>
      </c>
      <c r="B2214" t="s">
        <v>168</v>
      </c>
      <c r="C2214" s="12" t="s">
        <v>182</v>
      </c>
      <c r="D2214" t="s">
        <v>4</v>
      </c>
      <c r="E2214" t="s">
        <v>6</v>
      </c>
      <c r="F2214" t="s">
        <v>16</v>
      </c>
      <c r="G2214" t="s">
        <v>184</v>
      </c>
      <c r="H2214" s="95">
        <v>4</v>
      </c>
      <c r="I2214" t="s">
        <v>60</v>
      </c>
      <c r="J2214" t="s">
        <v>63</v>
      </c>
    </row>
    <row r="2215" spans="1:10" x14ac:dyDescent="0.25">
      <c r="A2215" t="s">
        <v>134</v>
      </c>
      <c r="B2215" t="s">
        <v>168</v>
      </c>
      <c r="C2215" s="12" t="s">
        <v>182</v>
      </c>
      <c r="D2215" t="s">
        <v>4</v>
      </c>
      <c r="E2215" t="s">
        <v>6</v>
      </c>
      <c r="F2215" t="s">
        <v>16</v>
      </c>
      <c r="G2215" t="s">
        <v>184</v>
      </c>
      <c r="H2215" s="95">
        <v>4</v>
      </c>
      <c r="I2215" t="s">
        <v>60</v>
      </c>
      <c r="J2215" t="s">
        <v>11</v>
      </c>
    </row>
    <row r="2216" spans="1:10" x14ac:dyDescent="0.25">
      <c r="A2216" t="s">
        <v>134</v>
      </c>
      <c r="B2216" t="s">
        <v>168</v>
      </c>
      <c r="C2216" s="12" t="s">
        <v>182</v>
      </c>
      <c r="D2216" t="s">
        <v>4</v>
      </c>
      <c r="E2216" t="s">
        <v>6</v>
      </c>
      <c r="F2216" t="s">
        <v>8</v>
      </c>
      <c r="G2216" t="s">
        <v>184</v>
      </c>
      <c r="H2216" s="95">
        <v>4</v>
      </c>
      <c r="I2216" t="s">
        <v>107</v>
      </c>
      <c r="J2216" t="s">
        <v>13</v>
      </c>
    </row>
    <row r="2217" spans="1:10" x14ac:dyDescent="0.25">
      <c r="A2217" t="s">
        <v>134</v>
      </c>
      <c r="B2217" t="s">
        <v>168</v>
      </c>
      <c r="C2217" s="12" t="s">
        <v>182</v>
      </c>
      <c r="D2217" t="s">
        <v>4</v>
      </c>
      <c r="E2217" t="s">
        <v>6</v>
      </c>
      <c r="F2217" t="s">
        <v>8</v>
      </c>
      <c r="G2217" t="s">
        <v>184</v>
      </c>
      <c r="H2217" s="95">
        <v>4</v>
      </c>
      <c r="I2217" t="s">
        <v>107</v>
      </c>
      <c r="J2217" t="s">
        <v>63</v>
      </c>
    </row>
    <row r="2218" spans="1:10" x14ac:dyDescent="0.25">
      <c r="A2218" t="s">
        <v>134</v>
      </c>
      <c r="B2218" t="s">
        <v>168</v>
      </c>
      <c r="C2218" s="12" t="s">
        <v>182</v>
      </c>
      <c r="D2218" t="s">
        <v>4</v>
      </c>
      <c r="E2218" t="s">
        <v>6</v>
      </c>
      <c r="F2218" t="s">
        <v>8</v>
      </c>
      <c r="G2218" t="s">
        <v>184</v>
      </c>
      <c r="H2218" s="95">
        <v>4</v>
      </c>
      <c r="I2218" t="s">
        <v>107</v>
      </c>
      <c r="J2218" t="s">
        <v>11</v>
      </c>
    </row>
    <row r="2219" spans="1:10" x14ac:dyDescent="0.25">
      <c r="A2219" t="s">
        <v>134</v>
      </c>
      <c r="B2219" t="s">
        <v>168</v>
      </c>
      <c r="C2219" s="12" t="s">
        <v>182</v>
      </c>
      <c r="D2219" t="s">
        <v>4</v>
      </c>
      <c r="E2219" t="s">
        <v>6</v>
      </c>
      <c r="F2219" t="s">
        <v>8</v>
      </c>
      <c r="G2219" t="s">
        <v>184</v>
      </c>
      <c r="H2219" s="95">
        <v>4</v>
      </c>
      <c r="I2219" t="s">
        <v>62</v>
      </c>
      <c r="J2219" t="s">
        <v>13</v>
      </c>
    </row>
    <row r="2220" spans="1:10" x14ac:dyDescent="0.25">
      <c r="A2220" t="s">
        <v>134</v>
      </c>
      <c r="B2220" t="s">
        <v>168</v>
      </c>
      <c r="C2220" s="12" t="s">
        <v>182</v>
      </c>
      <c r="D2220" t="s">
        <v>4</v>
      </c>
      <c r="E2220" t="s">
        <v>6</v>
      </c>
      <c r="F2220" t="s">
        <v>8</v>
      </c>
      <c r="G2220" t="s">
        <v>184</v>
      </c>
      <c r="H2220" s="95">
        <v>4</v>
      </c>
      <c r="I2220" t="s">
        <v>62</v>
      </c>
      <c r="J2220" t="s">
        <v>63</v>
      </c>
    </row>
    <row r="2221" spans="1:10" x14ac:dyDescent="0.25">
      <c r="A2221" t="s">
        <v>134</v>
      </c>
      <c r="B2221" t="s">
        <v>168</v>
      </c>
      <c r="C2221" s="12" t="s">
        <v>182</v>
      </c>
      <c r="D2221" t="s">
        <v>4</v>
      </c>
      <c r="E2221" t="s">
        <v>6</v>
      </c>
      <c r="F2221" t="s">
        <v>8</v>
      </c>
      <c r="G2221" t="s">
        <v>184</v>
      </c>
      <c r="H2221" s="95">
        <v>4</v>
      </c>
      <c r="I2221" t="s">
        <v>62</v>
      </c>
      <c r="J2221" t="s">
        <v>11</v>
      </c>
    </row>
    <row r="2222" spans="1:10" x14ac:dyDescent="0.25">
      <c r="A2222" t="s">
        <v>134</v>
      </c>
      <c r="B2222" t="s">
        <v>168</v>
      </c>
      <c r="C2222" s="12" t="s">
        <v>182</v>
      </c>
      <c r="D2222" t="s">
        <v>4</v>
      </c>
      <c r="E2222" t="s">
        <v>6</v>
      </c>
      <c r="F2222" t="s">
        <v>8</v>
      </c>
      <c r="G2222" t="s">
        <v>184</v>
      </c>
      <c r="H2222" s="95">
        <v>4</v>
      </c>
      <c r="I2222" t="s">
        <v>60</v>
      </c>
      <c r="J2222" t="s">
        <v>13</v>
      </c>
    </row>
    <row r="2223" spans="1:10" x14ac:dyDescent="0.25">
      <c r="A2223" t="s">
        <v>134</v>
      </c>
      <c r="B2223" t="s">
        <v>168</v>
      </c>
      <c r="C2223" s="12" t="s">
        <v>182</v>
      </c>
      <c r="D2223" t="s">
        <v>4</v>
      </c>
      <c r="E2223" t="s">
        <v>6</v>
      </c>
      <c r="F2223" t="s">
        <v>8</v>
      </c>
      <c r="G2223" t="s">
        <v>184</v>
      </c>
      <c r="H2223" s="95">
        <v>4</v>
      </c>
      <c r="I2223" t="s">
        <v>60</v>
      </c>
      <c r="J2223" t="s">
        <v>63</v>
      </c>
    </row>
    <row r="2224" spans="1:10" x14ac:dyDescent="0.25">
      <c r="A2224" t="s">
        <v>134</v>
      </c>
      <c r="B2224" t="s">
        <v>168</v>
      </c>
      <c r="C2224" s="12" t="s">
        <v>182</v>
      </c>
      <c r="D2224" t="s">
        <v>4</v>
      </c>
      <c r="E2224" t="s">
        <v>6</v>
      </c>
      <c r="F2224" t="s">
        <v>8</v>
      </c>
      <c r="G2224" t="s">
        <v>184</v>
      </c>
      <c r="H2224" s="95">
        <v>4</v>
      </c>
      <c r="I2224" t="s">
        <v>60</v>
      </c>
      <c r="J2224" t="s">
        <v>11</v>
      </c>
    </row>
    <row r="2225" spans="1:10" x14ac:dyDescent="0.25">
      <c r="A2225" t="s">
        <v>134</v>
      </c>
      <c r="B2225" t="s">
        <v>168</v>
      </c>
      <c r="C2225" s="12" t="s">
        <v>182</v>
      </c>
      <c r="D2225" t="s">
        <v>4</v>
      </c>
      <c r="E2225" t="s">
        <v>12</v>
      </c>
      <c r="F2225" t="s">
        <v>72</v>
      </c>
      <c r="G2225" t="s">
        <v>185</v>
      </c>
      <c r="H2225" s="94">
        <v>0.4</v>
      </c>
      <c r="I2225" t="s">
        <v>107</v>
      </c>
      <c r="J2225" t="s">
        <v>13</v>
      </c>
    </row>
    <row r="2226" spans="1:10" x14ac:dyDescent="0.25">
      <c r="A2226" t="s">
        <v>134</v>
      </c>
      <c r="B2226" t="s">
        <v>168</v>
      </c>
      <c r="C2226" s="12" t="s">
        <v>182</v>
      </c>
      <c r="D2226" t="s">
        <v>4</v>
      </c>
      <c r="E2226" t="s">
        <v>12</v>
      </c>
      <c r="F2226" t="s">
        <v>72</v>
      </c>
      <c r="G2226" t="s">
        <v>185</v>
      </c>
      <c r="H2226" s="94">
        <v>0.4</v>
      </c>
      <c r="I2226" t="s">
        <v>107</v>
      </c>
      <c r="J2226" t="s">
        <v>63</v>
      </c>
    </row>
    <row r="2227" spans="1:10" x14ac:dyDescent="0.25">
      <c r="A2227" t="s">
        <v>134</v>
      </c>
      <c r="B2227" t="s">
        <v>168</v>
      </c>
      <c r="C2227" s="12" t="s">
        <v>182</v>
      </c>
      <c r="D2227" t="s">
        <v>4</v>
      </c>
      <c r="E2227" t="s">
        <v>12</v>
      </c>
      <c r="F2227" t="s">
        <v>72</v>
      </c>
      <c r="G2227" t="s">
        <v>185</v>
      </c>
      <c r="H2227" s="94">
        <v>0.4</v>
      </c>
      <c r="I2227" t="s">
        <v>107</v>
      </c>
      <c r="J2227" t="s">
        <v>11</v>
      </c>
    </row>
    <row r="2228" spans="1:10" x14ac:dyDescent="0.25">
      <c r="A2228" t="s">
        <v>134</v>
      </c>
      <c r="B2228" t="s">
        <v>168</v>
      </c>
      <c r="C2228" s="12" t="s">
        <v>182</v>
      </c>
      <c r="D2228" t="s">
        <v>4</v>
      </c>
      <c r="E2228" t="s">
        <v>12</v>
      </c>
      <c r="F2228" t="s">
        <v>72</v>
      </c>
      <c r="G2228" t="s">
        <v>185</v>
      </c>
      <c r="H2228" s="94">
        <v>0.4</v>
      </c>
      <c r="I2228" t="s">
        <v>62</v>
      </c>
      <c r="J2228" t="s">
        <v>13</v>
      </c>
    </row>
    <row r="2229" spans="1:10" x14ac:dyDescent="0.25">
      <c r="A2229" t="s">
        <v>134</v>
      </c>
      <c r="B2229" t="s">
        <v>168</v>
      </c>
      <c r="C2229" s="12" t="s">
        <v>182</v>
      </c>
      <c r="D2229" t="s">
        <v>4</v>
      </c>
      <c r="E2229" t="s">
        <v>12</v>
      </c>
      <c r="F2229" t="s">
        <v>72</v>
      </c>
      <c r="G2229" t="s">
        <v>185</v>
      </c>
      <c r="H2229" s="94">
        <v>0.4</v>
      </c>
      <c r="I2229" t="s">
        <v>62</v>
      </c>
      <c r="J2229" t="s">
        <v>63</v>
      </c>
    </row>
    <row r="2230" spans="1:10" x14ac:dyDescent="0.25">
      <c r="A2230" t="s">
        <v>134</v>
      </c>
      <c r="B2230" t="s">
        <v>168</v>
      </c>
      <c r="C2230" s="12" t="s">
        <v>182</v>
      </c>
      <c r="D2230" t="s">
        <v>4</v>
      </c>
      <c r="E2230" t="s">
        <v>12</v>
      </c>
      <c r="F2230" t="s">
        <v>72</v>
      </c>
      <c r="G2230" t="s">
        <v>185</v>
      </c>
      <c r="H2230" s="94">
        <v>0.4</v>
      </c>
      <c r="I2230" t="s">
        <v>62</v>
      </c>
      <c r="J2230" t="s">
        <v>11</v>
      </c>
    </row>
    <row r="2231" spans="1:10" x14ac:dyDescent="0.25">
      <c r="A2231" t="s">
        <v>134</v>
      </c>
      <c r="B2231" t="s">
        <v>168</v>
      </c>
      <c r="C2231" s="12" t="s">
        <v>182</v>
      </c>
      <c r="D2231" t="s">
        <v>4</v>
      </c>
      <c r="E2231" t="s">
        <v>12</v>
      </c>
      <c r="F2231" t="s">
        <v>72</v>
      </c>
      <c r="G2231" t="s">
        <v>185</v>
      </c>
      <c r="H2231" s="94">
        <v>0.4</v>
      </c>
      <c r="I2231" t="s">
        <v>60</v>
      </c>
      <c r="J2231" t="s">
        <v>13</v>
      </c>
    </row>
    <row r="2232" spans="1:10" x14ac:dyDescent="0.25">
      <c r="A2232" t="s">
        <v>134</v>
      </c>
      <c r="B2232" t="s">
        <v>168</v>
      </c>
      <c r="C2232" s="12" t="s">
        <v>182</v>
      </c>
      <c r="D2232" t="s">
        <v>4</v>
      </c>
      <c r="E2232" t="s">
        <v>12</v>
      </c>
      <c r="F2232" t="s">
        <v>72</v>
      </c>
      <c r="G2232" t="s">
        <v>185</v>
      </c>
      <c r="H2232" s="94">
        <v>0.4</v>
      </c>
      <c r="I2232" t="s">
        <v>60</v>
      </c>
      <c r="J2232" t="s">
        <v>63</v>
      </c>
    </row>
    <row r="2233" spans="1:10" x14ac:dyDescent="0.25">
      <c r="A2233" t="s">
        <v>134</v>
      </c>
      <c r="B2233" t="s">
        <v>168</v>
      </c>
      <c r="C2233" s="12" t="s">
        <v>182</v>
      </c>
      <c r="D2233" t="s">
        <v>4</v>
      </c>
      <c r="E2233" t="s">
        <v>12</v>
      </c>
      <c r="F2233" t="s">
        <v>72</v>
      </c>
      <c r="G2233" t="s">
        <v>185</v>
      </c>
      <c r="H2233" s="94">
        <v>0.4</v>
      </c>
      <c r="I2233" t="s">
        <v>60</v>
      </c>
      <c r="J2233" t="s">
        <v>11</v>
      </c>
    </row>
    <row r="2234" spans="1:10" x14ac:dyDescent="0.25">
      <c r="A2234" t="s">
        <v>134</v>
      </c>
      <c r="B2234" t="s">
        <v>168</v>
      </c>
      <c r="C2234" s="12" t="s">
        <v>182</v>
      </c>
      <c r="D2234" t="s">
        <v>4</v>
      </c>
      <c r="E2234" t="s">
        <v>12</v>
      </c>
      <c r="F2234" t="s">
        <v>72</v>
      </c>
      <c r="G2234" t="s">
        <v>185</v>
      </c>
      <c r="H2234" s="94">
        <v>0.25</v>
      </c>
      <c r="I2234" t="s">
        <v>107</v>
      </c>
      <c r="J2234" t="s">
        <v>13</v>
      </c>
    </row>
    <row r="2235" spans="1:10" x14ac:dyDescent="0.25">
      <c r="A2235" t="s">
        <v>134</v>
      </c>
      <c r="B2235" t="s">
        <v>168</v>
      </c>
      <c r="C2235" s="12" t="s">
        <v>182</v>
      </c>
      <c r="D2235" t="s">
        <v>4</v>
      </c>
      <c r="E2235" t="s">
        <v>12</v>
      </c>
      <c r="F2235" t="s">
        <v>72</v>
      </c>
      <c r="G2235" t="s">
        <v>185</v>
      </c>
      <c r="H2235" s="94">
        <v>0.25</v>
      </c>
      <c r="I2235" t="s">
        <v>107</v>
      </c>
      <c r="J2235" t="s">
        <v>63</v>
      </c>
    </row>
    <row r="2236" spans="1:10" x14ac:dyDescent="0.25">
      <c r="A2236" t="s">
        <v>134</v>
      </c>
      <c r="B2236" t="s">
        <v>168</v>
      </c>
      <c r="C2236" s="12" t="s">
        <v>182</v>
      </c>
      <c r="D2236" t="s">
        <v>4</v>
      </c>
      <c r="E2236" t="s">
        <v>12</v>
      </c>
      <c r="F2236" t="s">
        <v>72</v>
      </c>
      <c r="G2236" t="s">
        <v>185</v>
      </c>
      <c r="H2236" s="94">
        <v>0.25</v>
      </c>
      <c r="I2236" t="s">
        <v>107</v>
      </c>
      <c r="J2236" t="s">
        <v>11</v>
      </c>
    </row>
    <row r="2237" spans="1:10" x14ac:dyDescent="0.25">
      <c r="A2237" t="s">
        <v>134</v>
      </c>
      <c r="B2237" t="s">
        <v>168</v>
      </c>
      <c r="C2237" s="12" t="s">
        <v>182</v>
      </c>
      <c r="D2237" t="s">
        <v>4</v>
      </c>
      <c r="E2237" t="s">
        <v>12</v>
      </c>
      <c r="F2237" t="s">
        <v>72</v>
      </c>
      <c r="G2237" t="s">
        <v>185</v>
      </c>
      <c r="H2237" s="94">
        <v>0.25</v>
      </c>
      <c r="I2237" t="s">
        <v>62</v>
      </c>
      <c r="J2237" t="s">
        <v>13</v>
      </c>
    </row>
    <row r="2238" spans="1:10" x14ac:dyDescent="0.25">
      <c r="A2238" t="s">
        <v>134</v>
      </c>
      <c r="B2238" t="s">
        <v>168</v>
      </c>
      <c r="C2238" s="12" t="s">
        <v>182</v>
      </c>
      <c r="D2238" t="s">
        <v>4</v>
      </c>
      <c r="E2238" t="s">
        <v>12</v>
      </c>
      <c r="F2238" t="s">
        <v>72</v>
      </c>
      <c r="G2238" t="s">
        <v>185</v>
      </c>
      <c r="H2238" s="94">
        <v>0.25</v>
      </c>
      <c r="I2238" t="s">
        <v>62</v>
      </c>
      <c r="J2238" t="s">
        <v>63</v>
      </c>
    </row>
    <row r="2239" spans="1:10" x14ac:dyDescent="0.25">
      <c r="A2239" t="s">
        <v>134</v>
      </c>
      <c r="B2239" t="s">
        <v>168</v>
      </c>
      <c r="C2239" s="12" t="s">
        <v>182</v>
      </c>
      <c r="D2239" t="s">
        <v>4</v>
      </c>
      <c r="E2239" t="s">
        <v>12</v>
      </c>
      <c r="F2239" t="s">
        <v>72</v>
      </c>
      <c r="G2239" t="s">
        <v>185</v>
      </c>
      <c r="H2239" s="94">
        <v>0.25</v>
      </c>
      <c r="I2239" t="s">
        <v>62</v>
      </c>
      <c r="J2239" t="s">
        <v>11</v>
      </c>
    </row>
    <row r="2240" spans="1:10" x14ac:dyDescent="0.25">
      <c r="A2240" t="s">
        <v>134</v>
      </c>
      <c r="B2240" t="s">
        <v>168</v>
      </c>
      <c r="C2240" s="12" t="s">
        <v>182</v>
      </c>
      <c r="D2240" t="s">
        <v>4</v>
      </c>
      <c r="E2240" t="s">
        <v>12</v>
      </c>
      <c r="F2240" t="s">
        <v>72</v>
      </c>
      <c r="G2240" t="s">
        <v>185</v>
      </c>
      <c r="H2240" s="94">
        <v>0.25</v>
      </c>
      <c r="I2240" t="s">
        <v>60</v>
      </c>
      <c r="J2240" t="s">
        <v>13</v>
      </c>
    </row>
    <row r="2241" spans="1:10" x14ac:dyDescent="0.25">
      <c r="A2241" t="s">
        <v>134</v>
      </c>
      <c r="B2241" t="s">
        <v>168</v>
      </c>
      <c r="C2241" s="12" t="s">
        <v>182</v>
      </c>
      <c r="D2241" t="s">
        <v>4</v>
      </c>
      <c r="E2241" t="s">
        <v>12</v>
      </c>
      <c r="F2241" t="s">
        <v>72</v>
      </c>
      <c r="G2241" t="s">
        <v>185</v>
      </c>
      <c r="H2241" s="94">
        <v>0.25</v>
      </c>
      <c r="I2241" t="s">
        <v>60</v>
      </c>
      <c r="J2241" t="s">
        <v>63</v>
      </c>
    </row>
    <row r="2242" spans="1:10" x14ac:dyDescent="0.25">
      <c r="A2242" t="s">
        <v>134</v>
      </c>
      <c r="B2242" t="s">
        <v>168</v>
      </c>
      <c r="C2242" s="12" t="s">
        <v>182</v>
      </c>
      <c r="D2242" t="s">
        <v>4</v>
      </c>
      <c r="E2242" t="s">
        <v>12</v>
      </c>
      <c r="F2242" t="s">
        <v>72</v>
      </c>
      <c r="G2242" t="s">
        <v>185</v>
      </c>
      <c r="H2242" s="94">
        <v>0.25</v>
      </c>
      <c r="I2242" t="s">
        <v>60</v>
      </c>
      <c r="J2242" t="s">
        <v>11</v>
      </c>
    </row>
    <row r="2243" spans="1:10" x14ac:dyDescent="0.25">
      <c r="A2243" t="s">
        <v>134</v>
      </c>
      <c r="B2243" t="s">
        <v>168</v>
      </c>
      <c r="C2243" s="12" t="s">
        <v>182</v>
      </c>
      <c r="D2243" t="s">
        <v>4</v>
      </c>
      <c r="E2243" t="s">
        <v>12</v>
      </c>
      <c r="F2243" t="s">
        <v>16</v>
      </c>
      <c r="G2243" t="s">
        <v>185</v>
      </c>
      <c r="H2243" s="94">
        <v>0.4</v>
      </c>
      <c r="I2243" t="s">
        <v>107</v>
      </c>
      <c r="J2243" t="s">
        <v>13</v>
      </c>
    </row>
    <row r="2244" spans="1:10" x14ac:dyDescent="0.25">
      <c r="A2244" t="s">
        <v>134</v>
      </c>
      <c r="B2244" t="s">
        <v>168</v>
      </c>
      <c r="C2244" s="12" t="s">
        <v>182</v>
      </c>
      <c r="D2244" t="s">
        <v>4</v>
      </c>
      <c r="E2244" t="s">
        <v>12</v>
      </c>
      <c r="F2244" t="s">
        <v>16</v>
      </c>
      <c r="G2244" t="s">
        <v>185</v>
      </c>
      <c r="H2244" s="94">
        <v>0.4</v>
      </c>
      <c r="I2244" t="s">
        <v>107</v>
      </c>
      <c r="J2244" t="s">
        <v>63</v>
      </c>
    </row>
    <row r="2245" spans="1:10" x14ac:dyDescent="0.25">
      <c r="A2245" t="s">
        <v>134</v>
      </c>
      <c r="B2245" t="s">
        <v>168</v>
      </c>
      <c r="C2245" s="12" t="s">
        <v>182</v>
      </c>
      <c r="D2245" t="s">
        <v>4</v>
      </c>
      <c r="E2245" t="s">
        <v>12</v>
      </c>
      <c r="F2245" t="s">
        <v>16</v>
      </c>
      <c r="G2245" t="s">
        <v>185</v>
      </c>
      <c r="H2245" s="94">
        <v>0.4</v>
      </c>
      <c r="I2245" t="s">
        <v>107</v>
      </c>
      <c r="J2245" t="s">
        <v>11</v>
      </c>
    </row>
    <row r="2246" spans="1:10" x14ac:dyDescent="0.25">
      <c r="A2246" t="s">
        <v>134</v>
      </c>
      <c r="B2246" t="s">
        <v>168</v>
      </c>
      <c r="C2246" s="12" t="s">
        <v>182</v>
      </c>
      <c r="D2246" t="s">
        <v>4</v>
      </c>
      <c r="E2246" t="s">
        <v>12</v>
      </c>
      <c r="F2246" t="s">
        <v>16</v>
      </c>
      <c r="G2246" t="s">
        <v>185</v>
      </c>
      <c r="H2246" s="94">
        <v>0.4</v>
      </c>
      <c r="I2246" t="s">
        <v>62</v>
      </c>
      <c r="J2246" t="s">
        <v>13</v>
      </c>
    </row>
    <row r="2247" spans="1:10" x14ac:dyDescent="0.25">
      <c r="A2247" t="s">
        <v>134</v>
      </c>
      <c r="B2247" t="s">
        <v>168</v>
      </c>
      <c r="C2247" s="12" t="s">
        <v>182</v>
      </c>
      <c r="D2247" t="s">
        <v>4</v>
      </c>
      <c r="E2247" t="s">
        <v>12</v>
      </c>
      <c r="F2247" t="s">
        <v>16</v>
      </c>
      <c r="G2247" t="s">
        <v>185</v>
      </c>
      <c r="H2247" s="94">
        <v>0.4</v>
      </c>
      <c r="I2247" t="s">
        <v>62</v>
      </c>
      <c r="J2247" t="s">
        <v>63</v>
      </c>
    </row>
    <row r="2248" spans="1:10" x14ac:dyDescent="0.25">
      <c r="A2248" t="s">
        <v>134</v>
      </c>
      <c r="B2248" t="s">
        <v>168</v>
      </c>
      <c r="C2248" s="12" t="s">
        <v>182</v>
      </c>
      <c r="D2248" t="s">
        <v>4</v>
      </c>
      <c r="E2248" t="s">
        <v>12</v>
      </c>
      <c r="F2248" t="s">
        <v>16</v>
      </c>
      <c r="G2248" t="s">
        <v>185</v>
      </c>
      <c r="H2248" s="94">
        <v>0.4</v>
      </c>
      <c r="I2248" t="s">
        <v>62</v>
      </c>
      <c r="J2248" t="s">
        <v>11</v>
      </c>
    </row>
    <row r="2249" spans="1:10" x14ac:dyDescent="0.25">
      <c r="A2249" t="s">
        <v>134</v>
      </c>
      <c r="B2249" t="s">
        <v>168</v>
      </c>
      <c r="C2249" s="12" t="s">
        <v>182</v>
      </c>
      <c r="D2249" t="s">
        <v>4</v>
      </c>
      <c r="E2249" t="s">
        <v>12</v>
      </c>
      <c r="F2249" t="s">
        <v>16</v>
      </c>
      <c r="G2249" t="s">
        <v>185</v>
      </c>
      <c r="H2249" s="94">
        <v>0.4</v>
      </c>
      <c r="I2249" t="s">
        <v>60</v>
      </c>
      <c r="J2249" t="s">
        <v>13</v>
      </c>
    </row>
    <row r="2250" spans="1:10" x14ac:dyDescent="0.25">
      <c r="A2250" t="s">
        <v>134</v>
      </c>
      <c r="B2250" t="s">
        <v>168</v>
      </c>
      <c r="C2250" s="12" t="s">
        <v>182</v>
      </c>
      <c r="D2250" t="s">
        <v>4</v>
      </c>
      <c r="E2250" t="s">
        <v>12</v>
      </c>
      <c r="F2250" t="s">
        <v>16</v>
      </c>
      <c r="G2250" t="s">
        <v>185</v>
      </c>
      <c r="H2250" s="94">
        <v>0.4</v>
      </c>
      <c r="I2250" t="s">
        <v>60</v>
      </c>
      <c r="J2250" t="s">
        <v>63</v>
      </c>
    </row>
    <row r="2251" spans="1:10" x14ac:dyDescent="0.25">
      <c r="A2251" t="s">
        <v>134</v>
      </c>
      <c r="B2251" t="s">
        <v>168</v>
      </c>
      <c r="C2251" s="12" t="s">
        <v>182</v>
      </c>
      <c r="D2251" t="s">
        <v>4</v>
      </c>
      <c r="E2251" t="s">
        <v>12</v>
      </c>
      <c r="F2251" t="s">
        <v>16</v>
      </c>
      <c r="G2251" t="s">
        <v>185</v>
      </c>
      <c r="H2251" s="94">
        <v>0.4</v>
      </c>
      <c r="I2251" t="s">
        <v>60</v>
      </c>
      <c r="J2251" t="s">
        <v>11</v>
      </c>
    </row>
    <row r="2252" spans="1:10" x14ac:dyDescent="0.25">
      <c r="A2252" t="s">
        <v>134</v>
      </c>
      <c r="B2252" t="s">
        <v>168</v>
      </c>
      <c r="C2252" s="12" t="s">
        <v>182</v>
      </c>
      <c r="D2252" t="s">
        <v>4</v>
      </c>
      <c r="E2252" t="s">
        <v>12</v>
      </c>
      <c r="F2252" t="s">
        <v>16</v>
      </c>
      <c r="G2252" t="s">
        <v>185</v>
      </c>
      <c r="H2252" s="94">
        <v>0.25</v>
      </c>
      <c r="I2252" t="s">
        <v>107</v>
      </c>
      <c r="J2252" t="s">
        <v>13</v>
      </c>
    </row>
    <row r="2253" spans="1:10" x14ac:dyDescent="0.25">
      <c r="A2253" t="s">
        <v>134</v>
      </c>
      <c r="B2253" t="s">
        <v>168</v>
      </c>
      <c r="C2253" s="12" t="s">
        <v>182</v>
      </c>
      <c r="D2253" t="s">
        <v>4</v>
      </c>
      <c r="E2253" t="s">
        <v>12</v>
      </c>
      <c r="F2253" t="s">
        <v>16</v>
      </c>
      <c r="G2253" t="s">
        <v>185</v>
      </c>
      <c r="H2253" s="94">
        <v>0.25</v>
      </c>
      <c r="I2253" t="s">
        <v>107</v>
      </c>
      <c r="J2253" t="s">
        <v>63</v>
      </c>
    </row>
    <row r="2254" spans="1:10" x14ac:dyDescent="0.25">
      <c r="A2254" t="s">
        <v>134</v>
      </c>
      <c r="B2254" t="s">
        <v>168</v>
      </c>
      <c r="C2254" s="12" t="s">
        <v>182</v>
      </c>
      <c r="D2254" t="s">
        <v>4</v>
      </c>
      <c r="E2254" t="s">
        <v>12</v>
      </c>
      <c r="F2254" t="s">
        <v>16</v>
      </c>
      <c r="G2254" t="s">
        <v>185</v>
      </c>
      <c r="H2254" s="94">
        <v>0.25</v>
      </c>
      <c r="I2254" t="s">
        <v>107</v>
      </c>
      <c r="J2254" t="s">
        <v>11</v>
      </c>
    </row>
    <row r="2255" spans="1:10" x14ac:dyDescent="0.25">
      <c r="A2255" t="s">
        <v>134</v>
      </c>
      <c r="B2255" t="s">
        <v>168</v>
      </c>
      <c r="C2255" s="12" t="s">
        <v>182</v>
      </c>
      <c r="D2255" t="s">
        <v>4</v>
      </c>
      <c r="E2255" t="s">
        <v>12</v>
      </c>
      <c r="F2255" t="s">
        <v>16</v>
      </c>
      <c r="G2255" t="s">
        <v>185</v>
      </c>
      <c r="H2255" s="94">
        <v>0.25</v>
      </c>
      <c r="I2255" t="s">
        <v>62</v>
      </c>
      <c r="J2255" t="s">
        <v>13</v>
      </c>
    </row>
    <row r="2256" spans="1:10" x14ac:dyDescent="0.25">
      <c r="A2256" t="s">
        <v>134</v>
      </c>
      <c r="B2256" t="s">
        <v>168</v>
      </c>
      <c r="C2256" s="12" t="s">
        <v>182</v>
      </c>
      <c r="D2256" t="s">
        <v>4</v>
      </c>
      <c r="E2256" t="s">
        <v>12</v>
      </c>
      <c r="F2256" t="s">
        <v>16</v>
      </c>
      <c r="G2256" t="s">
        <v>185</v>
      </c>
      <c r="H2256" s="94">
        <v>0.25</v>
      </c>
      <c r="I2256" t="s">
        <v>62</v>
      </c>
      <c r="J2256" t="s">
        <v>63</v>
      </c>
    </row>
    <row r="2257" spans="1:10" x14ac:dyDescent="0.25">
      <c r="A2257" t="s">
        <v>134</v>
      </c>
      <c r="B2257" t="s">
        <v>168</v>
      </c>
      <c r="C2257" s="12" t="s">
        <v>182</v>
      </c>
      <c r="D2257" t="s">
        <v>4</v>
      </c>
      <c r="E2257" t="s">
        <v>12</v>
      </c>
      <c r="F2257" t="s">
        <v>16</v>
      </c>
      <c r="G2257" t="s">
        <v>185</v>
      </c>
      <c r="H2257" s="94">
        <v>0.25</v>
      </c>
      <c r="I2257" t="s">
        <v>62</v>
      </c>
      <c r="J2257" t="s">
        <v>11</v>
      </c>
    </row>
    <row r="2258" spans="1:10" x14ac:dyDescent="0.25">
      <c r="A2258" t="s">
        <v>134</v>
      </c>
      <c r="B2258" t="s">
        <v>168</v>
      </c>
      <c r="C2258" s="12" t="s">
        <v>182</v>
      </c>
      <c r="D2258" t="s">
        <v>4</v>
      </c>
      <c r="E2258" t="s">
        <v>12</v>
      </c>
      <c r="F2258" t="s">
        <v>16</v>
      </c>
      <c r="G2258" t="s">
        <v>185</v>
      </c>
      <c r="H2258" s="94">
        <v>0.25</v>
      </c>
      <c r="I2258" t="s">
        <v>60</v>
      </c>
      <c r="J2258" t="s">
        <v>13</v>
      </c>
    </row>
    <row r="2259" spans="1:10" x14ac:dyDescent="0.25">
      <c r="A2259" t="s">
        <v>134</v>
      </c>
      <c r="B2259" t="s">
        <v>168</v>
      </c>
      <c r="C2259" s="12" t="s">
        <v>182</v>
      </c>
      <c r="D2259" t="s">
        <v>4</v>
      </c>
      <c r="E2259" t="s">
        <v>12</v>
      </c>
      <c r="F2259" t="s">
        <v>16</v>
      </c>
      <c r="G2259" t="s">
        <v>185</v>
      </c>
      <c r="H2259" s="94">
        <v>0.25</v>
      </c>
      <c r="I2259" t="s">
        <v>60</v>
      </c>
      <c r="J2259" t="s">
        <v>63</v>
      </c>
    </row>
    <row r="2260" spans="1:10" x14ac:dyDescent="0.25">
      <c r="A2260" t="s">
        <v>134</v>
      </c>
      <c r="B2260" t="s">
        <v>168</v>
      </c>
      <c r="C2260" s="12" t="s">
        <v>182</v>
      </c>
      <c r="D2260" t="s">
        <v>4</v>
      </c>
      <c r="E2260" t="s">
        <v>12</v>
      </c>
      <c r="F2260" t="s">
        <v>16</v>
      </c>
      <c r="G2260" t="s">
        <v>185</v>
      </c>
      <c r="H2260" s="94">
        <v>0.25</v>
      </c>
      <c r="I2260" t="s">
        <v>60</v>
      </c>
      <c r="J2260" t="s">
        <v>11</v>
      </c>
    </row>
    <row r="2261" spans="1:10" x14ac:dyDescent="0.25">
      <c r="A2261" t="s">
        <v>134</v>
      </c>
      <c r="B2261" t="s">
        <v>168</v>
      </c>
      <c r="C2261" s="12" t="s">
        <v>182</v>
      </c>
      <c r="D2261" t="s">
        <v>4</v>
      </c>
      <c r="E2261" t="s">
        <v>12</v>
      </c>
      <c r="F2261" t="s">
        <v>8</v>
      </c>
      <c r="G2261" t="s">
        <v>185</v>
      </c>
      <c r="H2261" s="94">
        <v>0.4</v>
      </c>
      <c r="I2261" t="s">
        <v>107</v>
      </c>
      <c r="J2261" t="s">
        <v>13</v>
      </c>
    </row>
    <row r="2262" spans="1:10" x14ac:dyDescent="0.25">
      <c r="A2262" t="s">
        <v>134</v>
      </c>
      <c r="B2262" t="s">
        <v>168</v>
      </c>
      <c r="C2262" s="12" t="s">
        <v>182</v>
      </c>
      <c r="D2262" t="s">
        <v>4</v>
      </c>
      <c r="E2262" t="s">
        <v>12</v>
      </c>
      <c r="F2262" t="s">
        <v>8</v>
      </c>
      <c r="G2262" t="s">
        <v>185</v>
      </c>
      <c r="H2262" s="94">
        <v>0.4</v>
      </c>
      <c r="I2262" t="s">
        <v>107</v>
      </c>
      <c r="J2262" t="s">
        <v>63</v>
      </c>
    </row>
    <row r="2263" spans="1:10" x14ac:dyDescent="0.25">
      <c r="A2263" t="s">
        <v>134</v>
      </c>
      <c r="B2263" t="s">
        <v>168</v>
      </c>
      <c r="C2263" s="12" t="s">
        <v>182</v>
      </c>
      <c r="D2263" t="s">
        <v>4</v>
      </c>
      <c r="E2263" t="s">
        <v>12</v>
      </c>
      <c r="F2263" t="s">
        <v>8</v>
      </c>
      <c r="G2263" t="s">
        <v>185</v>
      </c>
      <c r="H2263" s="94">
        <v>0.4</v>
      </c>
      <c r="I2263" t="s">
        <v>107</v>
      </c>
      <c r="J2263" t="s">
        <v>11</v>
      </c>
    </row>
    <row r="2264" spans="1:10" x14ac:dyDescent="0.25">
      <c r="A2264" t="s">
        <v>134</v>
      </c>
      <c r="B2264" t="s">
        <v>168</v>
      </c>
      <c r="C2264" s="12" t="s">
        <v>182</v>
      </c>
      <c r="D2264" t="s">
        <v>4</v>
      </c>
      <c r="E2264" t="s">
        <v>12</v>
      </c>
      <c r="F2264" t="s">
        <v>8</v>
      </c>
      <c r="G2264" t="s">
        <v>185</v>
      </c>
      <c r="H2264" s="94">
        <v>0.4</v>
      </c>
      <c r="I2264" t="s">
        <v>62</v>
      </c>
      <c r="J2264" t="s">
        <v>13</v>
      </c>
    </row>
    <row r="2265" spans="1:10" x14ac:dyDescent="0.25">
      <c r="A2265" t="s">
        <v>134</v>
      </c>
      <c r="B2265" t="s">
        <v>168</v>
      </c>
      <c r="C2265" s="12" t="s">
        <v>182</v>
      </c>
      <c r="D2265" t="s">
        <v>4</v>
      </c>
      <c r="E2265" t="s">
        <v>12</v>
      </c>
      <c r="F2265" t="s">
        <v>8</v>
      </c>
      <c r="G2265" t="s">
        <v>185</v>
      </c>
      <c r="H2265" s="94">
        <v>0.4</v>
      </c>
      <c r="I2265" t="s">
        <v>62</v>
      </c>
      <c r="J2265" t="s">
        <v>63</v>
      </c>
    </row>
    <row r="2266" spans="1:10" x14ac:dyDescent="0.25">
      <c r="A2266" t="s">
        <v>134</v>
      </c>
      <c r="B2266" t="s">
        <v>168</v>
      </c>
      <c r="C2266" s="12" t="s">
        <v>182</v>
      </c>
      <c r="D2266" t="s">
        <v>4</v>
      </c>
      <c r="E2266" t="s">
        <v>12</v>
      </c>
      <c r="F2266" t="s">
        <v>8</v>
      </c>
      <c r="G2266" t="s">
        <v>185</v>
      </c>
      <c r="H2266" s="94">
        <v>0.4</v>
      </c>
      <c r="I2266" t="s">
        <v>62</v>
      </c>
      <c r="J2266" t="s">
        <v>11</v>
      </c>
    </row>
    <row r="2267" spans="1:10" x14ac:dyDescent="0.25">
      <c r="A2267" t="s">
        <v>134</v>
      </c>
      <c r="B2267" t="s">
        <v>168</v>
      </c>
      <c r="C2267" s="12" t="s">
        <v>182</v>
      </c>
      <c r="D2267" t="s">
        <v>4</v>
      </c>
      <c r="E2267" t="s">
        <v>12</v>
      </c>
      <c r="F2267" t="s">
        <v>8</v>
      </c>
      <c r="G2267" t="s">
        <v>185</v>
      </c>
      <c r="H2267" s="94">
        <v>0.4</v>
      </c>
      <c r="I2267" t="s">
        <v>60</v>
      </c>
      <c r="J2267" t="s">
        <v>13</v>
      </c>
    </row>
    <row r="2268" spans="1:10" x14ac:dyDescent="0.25">
      <c r="A2268" t="s">
        <v>134</v>
      </c>
      <c r="B2268" t="s">
        <v>168</v>
      </c>
      <c r="C2268" s="12" t="s">
        <v>182</v>
      </c>
      <c r="D2268" t="s">
        <v>4</v>
      </c>
      <c r="E2268" t="s">
        <v>12</v>
      </c>
      <c r="F2268" t="s">
        <v>8</v>
      </c>
      <c r="G2268" t="s">
        <v>185</v>
      </c>
      <c r="H2268" s="94">
        <v>0.4</v>
      </c>
      <c r="I2268" t="s">
        <v>60</v>
      </c>
      <c r="J2268" t="s">
        <v>63</v>
      </c>
    </row>
    <row r="2269" spans="1:10" x14ac:dyDescent="0.25">
      <c r="A2269" t="s">
        <v>134</v>
      </c>
      <c r="B2269" t="s">
        <v>168</v>
      </c>
      <c r="C2269" s="12" t="s">
        <v>182</v>
      </c>
      <c r="D2269" t="s">
        <v>4</v>
      </c>
      <c r="E2269" t="s">
        <v>12</v>
      </c>
      <c r="F2269" t="s">
        <v>8</v>
      </c>
      <c r="G2269" t="s">
        <v>185</v>
      </c>
      <c r="H2269" s="94">
        <v>0.4</v>
      </c>
      <c r="I2269" t="s">
        <v>60</v>
      </c>
      <c r="J2269" t="s">
        <v>11</v>
      </c>
    </row>
    <row r="2270" spans="1:10" x14ac:dyDescent="0.25">
      <c r="A2270" t="s">
        <v>134</v>
      </c>
      <c r="B2270" t="s">
        <v>168</v>
      </c>
      <c r="C2270" s="12" t="s">
        <v>182</v>
      </c>
      <c r="D2270" t="s">
        <v>4</v>
      </c>
      <c r="E2270" t="s">
        <v>12</v>
      </c>
      <c r="F2270" t="s">
        <v>8</v>
      </c>
      <c r="G2270" t="s">
        <v>185</v>
      </c>
      <c r="H2270" s="94">
        <v>0.25</v>
      </c>
      <c r="I2270" t="s">
        <v>107</v>
      </c>
      <c r="J2270" t="s">
        <v>13</v>
      </c>
    </row>
    <row r="2271" spans="1:10" x14ac:dyDescent="0.25">
      <c r="A2271" t="s">
        <v>134</v>
      </c>
      <c r="B2271" t="s">
        <v>168</v>
      </c>
      <c r="C2271" s="12" t="s">
        <v>182</v>
      </c>
      <c r="D2271" t="s">
        <v>4</v>
      </c>
      <c r="E2271" t="s">
        <v>12</v>
      </c>
      <c r="F2271" t="s">
        <v>8</v>
      </c>
      <c r="G2271" t="s">
        <v>185</v>
      </c>
      <c r="H2271" s="94">
        <v>0.25</v>
      </c>
      <c r="I2271" t="s">
        <v>107</v>
      </c>
      <c r="J2271" t="s">
        <v>63</v>
      </c>
    </row>
    <row r="2272" spans="1:10" x14ac:dyDescent="0.25">
      <c r="A2272" t="s">
        <v>134</v>
      </c>
      <c r="B2272" t="s">
        <v>168</v>
      </c>
      <c r="C2272" s="12" t="s">
        <v>182</v>
      </c>
      <c r="D2272" t="s">
        <v>4</v>
      </c>
      <c r="E2272" t="s">
        <v>12</v>
      </c>
      <c r="F2272" t="s">
        <v>8</v>
      </c>
      <c r="G2272" t="s">
        <v>185</v>
      </c>
      <c r="H2272" s="94">
        <v>0.25</v>
      </c>
      <c r="I2272" t="s">
        <v>107</v>
      </c>
      <c r="J2272" t="s">
        <v>11</v>
      </c>
    </row>
    <row r="2273" spans="1:10" x14ac:dyDescent="0.25">
      <c r="A2273" t="s">
        <v>134</v>
      </c>
      <c r="B2273" t="s">
        <v>168</v>
      </c>
      <c r="C2273" s="12" t="s">
        <v>182</v>
      </c>
      <c r="D2273" t="s">
        <v>4</v>
      </c>
      <c r="E2273" t="s">
        <v>12</v>
      </c>
      <c r="F2273" t="s">
        <v>8</v>
      </c>
      <c r="G2273" t="s">
        <v>185</v>
      </c>
      <c r="H2273" s="94">
        <v>0.25</v>
      </c>
      <c r="I2273" t="s">
        <v>62</v>
      </c>
      <c r="J2273" t="s">
        <v>13</v>
      </c>
    </row>
    <row r="2274" spans="1:10" x14ac:dyDescent="0.25">
      <c r="A2274" t="s">
        <v>134</v>
      </c>
      <c r="B2274" t="s">
        <v>168</v>
      </c>
      <c r="C2274" s="12" t="s">
        <v>182</v>
      </c>
      <c r="D2274" t="s">
        <v>4</v>
      </c>
      <c r="E2274" t="s">
        <v>12</v>
      </c>
      <c r="F2274" t="s">
        <v>8</v>
      </c>
      <c r="G2274" t="s">
        <v>185</v>
      </c>
      <c r="H2274" s="94">
        <v>0.25</v>
      </c>
      <c r="I2274" t="s">
        <v>62</v>
      </c>
      <c r="J2274" t="s">
        <v>63</v>
      </c>
    </row>
    <row r="2275" spans="1:10" x14ac:dyDescent="0.25">
      <c r="A2275" t="s">
        <v>134</v>
      </c>
      <c r="B2275" t="s">
        <v>168</v>
      </c>
      <c r="C2275" s="12" t="s">
        <v>182</v>
      </c>
      <c r="D2275" t="s">
        <v>4</v>
      </c>
      <c r="E2275" t="s">
        <v>12</v>
      </c>
      <c r="F2275" t="s">
        <v>8</v>
      </c>
      <c r="G2275" t="s">
        <v>185</v>
      </c>
      <c r="H2275" s="94">
        <v>0.25</v>
      </c>
      <c r="I2275" t="s">
        <v>62</v>
      </c>
      <c r="J2275" t="s">
        <v>11</v>
      </c>
    </row>
    <row r="2276" spans="1:10" x14ac:dyDescent="0.25">
      <c r="A2276" t="s">
        <v>134</v>
      </c>
      <c r="B2276" t="s">
        <v>168</v>
      </c>
      <c r="C2276" s="12" t="s">
        <v>182</v>
      </c>
      <c r="D2276" t="s">
        <v>4</v>
      </c>
      <c r="E2276" t="s">
        <v>12</v>
      </c>
      <c r="F2276" t="s">
        <v>8</v>
      </c>
      <c r="G2276" t="s">
        <v>185</v>
      </c>
      <c r="H2276" s="94">
        <v>0.25</v>
      </c>
      <c r="I2276" t="s">
        <v>60</v>
      </c>
      <c r="J2276" t="s">
        <v>13</v>
      </c>
    </row>
    <row r="2277" spans="1:10" x14ac:dyDescent="0.25">
      <c r="A2277" t="s">
        <v>134</v>
      </c>
      <c r="B2277" t="s">
        <v>168</v>
      </c>
      <c r="C2277" s="12" t="s">
        <v>182</v>
      </c>
      <c r="D2277" t="s">
        <v>4</v>
      </c>
      <c r="E2277" t="s">
        <v>12</v>
      </c>
      <c r="F2277" t="s">
        <v>8</v>
      </c>
      <c r="G2277" t="s">
        <v>185</v>
      </c>
      <c r="H2277" s="94">
        <v>0.25</v>
      </c>
      <c r="I2277" t="s">
        <v>60</v>
      </c>
      <c r="J2277" t="s">
        <v>63</v>
      </c>
    </row>
    <row r="2278" spans="1:10" x14ac:dyDescent="0.25">
      <c r="A2278" t="s">
        <v>134</v>
      </c>
      <c r="B2278" t="s">
        <v>168</v>
      </c>
      <c r="C2278" s="12" t="s">
        <v>182</v>
      </c>
      <c r="D2278" t="s">
        <v>4</v>
      </c>
      <c r="E2278" t="s">
        <v>12</v>
      </c>
      <c r="F2278" t="s">
        <v>8</v>
      </c>
      <c r="G2278" t="s">
        <v>185</v>
      </c>
      <c r="H2278" s="94">
        <v>0.25</v>
      </c>
      <c r="I2278" t="s">
        <v>60</v>
      </c>
      <c r="J2278" t="s">
        <v>11</v>
      </c>
    </row>
    <row r="2279" spans="1:10" x14ac:dyDescent="0.25">
      <c r="A2279" t="s">
        <v>134</v>
      </c>
      <c r="B2279" t="s">
        <v>168</v>
      </c>
      <c r="C2279" s="12" t="s">
        <v>182</v>
      </c>
      <c r="D2279" t="s">
        <v>4</v>
      </c>
      <c r="E2279" t="s">
        <v>6</v>
      </c>
      <c r="F2279" t="s">
        <v>72</v>
      </c>
      <c r="G2279" t="s">
        <v>185</v>
      </c>
      <c r="H2279" s="94">
        <v>0.4</v>
      </c>
      <c r="I2279" t="s">
        <v>107</v>
      </c>
      <c r="J2279" t="s">
        <v>13</v>
      </c>
    </row>
    <row r="2280" spans="1:10" x14ac:dyDescent="0.25">
      <c r="A2280" t="s">
        <v>134</v>
      </c>
      <c r="B2280" t="s">
        <v>168</v>
      </c>
      <c r="C2280" s="12" t="s">
        <v>182</v>
      </c>
      <c r="D2280" t="s">
        <v>4</v>
      </c>
      <c r="E2280" t="s">
        <v>6</v>
      </c>
      <c r="F2280" t="s">
        <v>72</v>
      </c>
      <c r="G2280" t="s">
        <v>185</v>
      </c>
      <c r="H2280" s="94">
        <v>0.4</v>
      </c>
      <c r="I2280" t="s">
        <v>107</v>
      </c>
      <c r="J2280" t="s">
        <v>63</v>
      </c>
    </row>
    <row r="2281" spans="1:10" x14ac:dyDescent="0.25">
      <c r="A2281" t="s">
        <v>134</v>
      </c>
      <c r="B2281" t="s">
        <v>168</v>
      </c>
      <c r="C2281" s="12" t="s">
        <v>182</v>
      </c>
      <c r="D2281" t="s">
        <v>4</v>
      </c>
      <c r="E2281" t="s">
        <v>6</v>
      </c>
      <c r="F2281" t="s">
        <v>72</v>
      </c>
      <c r="G2281" t="s">
        <v>185</v>
      </c>
      <c r="H2281" s="94">
        <v>0.4</v>
      </c>
      <c r="I2281" t="s">
        <v>107</v>
      </c>
      <c r="J2281" t="s">
        <v>11</v>
      </c>
    </row>
    <row r="2282" spans="1:10" x14ac:dyDescent="0.25">
      <c r="A2282" t="s">
        <v>134</v>
      </c>
      <c r="B2282" t="s">
        <v>168</v>
      </c>
      <c r="C2282" s="12" t="s">
        <v>182</v>
      </c>
      <c r="D2282" t="s">
        <v>4</v>
      </c>
      <c r="E2282" t="s">
        <v>6</v>
      </c>
      <c r="F2282" t="s">
        <v>72</v>
      </c>
      <c r="G2282" t="s">
        <v>185</v>
      </c>
      <c r="H2282" s="94">
        <v>0.4</v>
      </c>
      <c r="I2282" t="s">
        <v>62</v>
      </c>
      <c r="J2282" t="s">
        <v>13</v>
      </c>
    </row>
    <row r="2283" spans="1:10" x14ac:dyDescent="0.25">
      <c r="A2283" t="s">
        <v>134</v>
      </c>
      <c r="B2283" t="s">
        <v>168</v>
      </c>
      <c r="C2283" s="12" t="s">
        <v>182</v>
      </c>
      <c r="D2283" t="s">
        <v>4</v>
      </c>
      <c r="E2283" t="s">
        <v>6</v>
      </c>
      <c r="F2283" t="s">
        <v>72</v>
      </c>
      <c r="G2283" t="s">
        <v>185</v>
      </c>
      <c r="H2283" s="94">
        <v>0.4</v>
      </c>
      <c r="I2283" t="s">
        <v>62</v>
      </c>
      <c r="J2283" t="s">
        <v>63</v>
      </c>
    </row>
    <row r="2284" spans="1:10" x14ac:dyDescent="0.25">
      <c r="A2284" t="s">
        <v>134</v>
      </c>
      <c r="B2284" t="s">
        <v>168</v>
      </c>
      <c r="C2284" s="12" t="s">
        <v>182</v>
      </c>
      <c r="D2284" t="s">
        <v>4</v>
      </c>
      <c r="E2284" t="s">
        <v>6</v>
      </c>
      <c r="F2284" t="s">
        <v>72</v>
      </c>
      <c r="G2284" t="s">
        <v>185</v>
      </c>
      <c r="H2284" s="94">
        <v>0.4</v>
      </c>
      <c r="I2284" t="s">
        <v>62</v>
      </c>
      <c r="J2284" t="s">
        <v>11</v>
      </c>
    </row>
    <row r="2285" spans="1:10" x14ac:dyDescent="0.25">
      <c r="A2285" t="s">
        <v>134</v>
      </c>
      <c r="B2285" t="s">
        <v>168</v>
      </c>
      <c r="C2285" s="12" t="s">
        <v>182</v>
      </c>
      <c r="D2285" t="s">
        <v>4</v>
      </c>
      <c r="E2285" t="s">
        <v>6</v>
      </c>
      <c r="F2285" t="s">
        <v>72</v>
      </c>
      <c r="G2285" t="s">
        <v>185</v>
      </c>
      <c r="H2285" s="94">
        <v>0.4</v>
      </c>
      <c r="I2285" t="s">
        <v>60</v>
      </c>
      <c r="J2285" t="s">
        <v>13</v>
      </c>
    </row>
    <row r="2286" spans="1:10" x14ac:dyDescent="0.25">
      <c r="A2286" t="s">
        <v>134</v>
      </c>
      <c r="B2286" t="s">
        <v>168</v>
      </c>
      <c r="C2286" s="12" t="s">
        <v>182</v>
      </c>
      <c r="D2286" t="s">
        <v>4</v>
      </c>
      <c r="E2286" t="s">
        <v>6</v>
      </c>
      <c r="F2286" t="s">
        <v>72</v>
      </c>
      <c r="G2286" t="s">
        <v>185</v>
      </c>
      <c r="H2286" s="94">
        <v>0.4</v>
      </c>
      <c r="I2286" t="s">
        <v>60</v>
      </c>
      <c r="J2286" t="s">
        <v>63</v>
      </c>
    </row>
    <row r="2287" spans="1:10" x14ac:dyDescent="0.25">
      <c r="A2287" t="s">
        <v>134</v>
      </c>
      <c r="B2287" t="s">
        <v>168</v>
      </c>
      <c r="C2287" s="12" t="s">
        <v>182</v>
      </c>
      <c r="D2287" t="s">
        <v>4</v>
      </c>
      <c r="E2287" t="s">
        <v>6</v>
      </c>
      <c r="F2287" t="s">
        <v>72</v>
      </c>
      <c r="G2287" t="s">
        <v>185</v>
      </c>
      <c r="H2287" s="94">
        <v>0.4</v>
      </c>
      <c r="I2287" t="s">
        <v>60</v>
      </c>
      <c r="J2287" t="s">
        <v>11</v>
      </c>
    </row>
    <row r="2288" spans="1:10" x14ac:dyDescent="0.25">
      <c r="A2288" t="s">
        <v>134</v>
      </c>
      <c r="B2288" t="s">
        <v>168</v>
      </c>
      <c r="C2288" s="12" t="s">
        <v>182</v>
      </c>
      <c r="D2288" t="s">
        <v>4</v>
      </c>
      <c r="E2288" t="s">
        <v>6</v>
      </c>
      <c r="F2288" t="s">
        <v>72</v>
      </c>
      <c r="G2288" t="s">
        <v>185</v>
      </c>
      <c r="H2288" s="94">
        <v>0.25</v>
      </c>
      <c r="I2288" t="s">
        <v>107</v>
      </c>
      <c r="J2288" t="s">
        <v>13</v>
      </c>
    </row>
    <row r="2289" spans="1:10" x14ac:dyDescent="0.25">
      <c r="A2289" t="s">
        <v>134</v>
      </c>
      <c r="B2289" t="s">
        <v>168</v>
      </c>
      <c r="C2289" s="12" t="s">
        <v>182</v>
      </c>
      <c r="D2289" t="s">
        <v>4</v>
      </c>
      <c r="E2289" t="s">
        <v>6</v>
      </c>
      <c r="F2289" t="s">
        <v>72</v>
      </c>
      <c r="G2289" t="s">
        <v>185</v>
      </c>
      <c r="H2289" s="94">
        <v>0.25</v>
      </c>
      <c r="I2289" t="s">
        <v>107</v>
      </c>
      <c r="J2289" t="s">
        <v>63</v>
      </c>
    </row>
    <row r="2290" spans="1:10" x14ac:dyDescent="0.25">
      <c r="A2290" t="s">
        <v>134</v>
      </c>
      <c r="B2290" t="s">
        <v>168</v>
      </c>
      <c r="C2290" s="12" t="s">
        <v>182</v>
      </c>
      <c r="D2290" t="s">
        <v>4</v>
      </c>
      <c r="E2290" t="s">
        <v>6</v>
      </c>
      <c r="F2290" t="s">
        <v>72</v>
      </c>
      <c r="G2290" t="s">
        <v>185</v>
      </c>
      <c r="H2290" s="94">
        <v>0.25</v>
      </c>
      <c r="I2290" t="s">
        <v>107</v>
      </c>
      <c r="J2290" t="s">
        <v>11</v>
      </c>
    </row>
    <row r="2291" spans="1:10" x14ac:dyDescent="0.25">
      <c r="A2291" t="s">
        <v>134</v>
      </c>
      <c r="B2291" t="s">
        <v>168</v>
      </c>
      <c r="C2291" s="12" t="s">
        <v>182</v>
      </c>
      <c r="D2291" t="s">
        <v>4</v>
      </c>
      <c r="E2291" t="s">
        <v>6</v>
      </c>
      <c r="F2291" t="s">
        <v>72</v>
      </c>
      <c r="G2291" t="s">
        <v>185</v>
      </c>
      <c r="H2291" s="94">
        <v>0.25</v>
      </c>
      <c r="I2291" t="s">
        <v>62</v>
      </c>
      <c r="J2291" t="s">
        <v>13</v>
      </c>
    </row>
    <row r="2292" spans="1:10" x14ac:dyDescent="0.25">
      <c r="A2292" t="s">
        <v>134</v>
      </c>
      <c r="B2292" t="s">
        <v>168</v>
      </c>
      <c r="C2292" s="12" t="s">
        <v>182</v>
      </c>
      <c r="D2292" t="s">
        <v>4</v>
      </c>
      <c r="E2292" t="s">
        <v>6</v>
      </c>
      <c r="F2292" t="s">
        <v>72</v>
      </c>
      <c r="G2292" t="s">
        <v>185</v>
      </c>
      <c r="H2292" s="94">
        <v>0.25</v>
      </c>
      <c r="I2292" t="s">
        <v>62</v>
      </c>
      <c r="J2292" t="s">
        <v>63</v>
      </c>
    </row>
    <row r="2293" spans="1:10" x14ac:dyDescent="0.25">
      <c r="A2293" t="s">
        <v>134</v>
      </c>
      <c r="B2293" t="s">
        <v>168</v>
      </c>
      <c r="C2293" s="12" t="s">
        <v>182</v>
      </c>
      <c r="D2293" t="s">
        <v>4</v>
      </c>
      <c r="E2293" t="s">
        <v>6</v>
      </c>
      <c r="F2293" t="s">
        <v>72</v>
      </c>
      <c r="G2293" t="s">
        <v>185</v>
      </c>
      <c r="H2293" s="94">
        <v>0.25</v>
      </c>
      <c r="I2293" t="s">
        <v>62</v>
      </c>
      <c r="J2293" t="s">
        <v>11</v>
      </c>
    </row>
    <row r="2294" spans="1:10" x14ac:dyDescent="0.25">
      <c r="A2294" t="s">
        <v>134</v>
      </c>
      <c r="B2294" t="s">
        <v>168</v>
      </c>
      <c r="C2294" s="12" t="s">
        <v>182</v>
      </c>
      <c r="D2294" t="s">
        <v>4</v>
      </c>
      <c r="E2294" t="s">
        <v>6</v>
      </c>
      <c r="F2294" t="s">
        <v>72</v>
      </c>
      <c r="G2294" t="s">
        <v>185</v>
      </c>
      <c r="H2294" s="94">
        <v>0.25</v>
      </c>
      <c r="I2294" t="s">
        <v>60</v>
      </c>
      <c r="J2294" t="s">
        <v>13</v>
      </c>
    </row>
    <row r="2295" spans="1:10" x14ac:dyDescent="0.25">
      <c r="A2295" t="s">
        <v>134</v>
      </c>
      <c r="B2295" t="s">
        <v>168</v>
      </c>
      <c r="C2295" s="12" t="s">
        <v>182</v>
      </c>
      <c r="D2295" t="s">
        <v>4</v>
      </c>
      <c r="E2295" t="s">
        <v>6</v>
      </c>
      <c r="F2295" t="s">
        <v>72</v>
      </c>
      <c r="G2295" t="s">
        <v>185</v>
      </c>
      <c r="H2295" s="94">
        <v>0.25</v>
      </c>
      <c r="I2295" t="s">
        <v>60</v>
      </c>
      <c r="J2295" t="s">
        <v>63</v>
      </c>
    </row>
    <row r="2296" spans="1:10" x14ac:dyDescent="0.25">
      <c r="A2296" t="s">
        <v>134</v>
      </c>
      <c r="B2296" t="s">
        <v>168</v>
      </c>
      <c r="C2296" s="12" t="s">
        <v>182</v>
      </c>
      <c r="D2296" t="s">
        <v>4</v>
      </c>
      <c r="E2296" t="s">
        <v>6</v>
      </c>
      <c r="F2296" t="s">
        <v>72</v>
      </c>
      <c r="G2296" t="s">
        <v>185</v>
      </c>
      <c r="H2296" s="94">
        <v>0.25</v>
      </c>
      <c r="I2296" t="s">
        <v>60</v>
      </c>
      <c r="J2296" t="s">
        <v>11</v>
      </c>
    </row>
    <row r="2297" spans="1:10" x14ac:dyDescent="0.25">
      <c r="A2297" t="s">
        <v>134</v>
      </c>
      <c r="B2297" t="s">
        <v>168</v>
      </c>
      <c r="C2297" s="12" t="s">
        <v>182</v>
      </c>
      <c r="D2297" t="s">
        <v>4</v>
      </c>
      <c r="E2297" t="s">
        <v>6</v>
      </c>
      <c r="F2297" t="s">
        <v>16</v>
      </c>
      <c r="G2297" t="s">
        <v>185</v>
      </c>
      <c r="H2297" s="94">
        <v>0.4</v>
      </c>
      <c r="I2297" t="s">
        <v>107</v>
      </c>
      <c r="J2297" t="s">
        <v>13</v>
      </c>
    </row>
    <row r="2298" spans="1:10" x14ac:dyDescent="0.25">
      <c r="A2298" t="s">
        <v>134</v>
      </c>
      <c r="B2298" t="s">
        <v>168</v>
      </c>
      <c r="C2298" s="12" t="s">
        <v>182</v>
      </c>
      <c r="D2298" t="s">
        <v>4</v>
      </c>
      <c r="E2298" t="s">
        <v>6</v>
      </c>
      <c r="F2298" t="s">
        <v>16</v>
      </c>
      <c r="G2298" t="s">
        <v>185</v>
      </c>
      <c r="H2298" s="94">
        <v>0.4</v>
      </c>
      <c r="I2298" t="s">
        <v>107</v>
      </c>
      <c r="J2298" t="s">
        <v>63</v>
      </c>
    </row>
    <row r="2299" spans="1:10" x14ac:dyDescent="0.25">
      <c r="A2299" t="s">
        <v>134</v>
      </c>
      <c r="B2299" t="s">
        <v>168</v>
      </c>
      <c r="C2299" s="12" t="s">
        <v>182</v>
      </c>
      <c r="D2299" t="s">
        <v>4</v>
      </c>
      <c r="E2299" t="s">
        <v>6</v>
      </c>
      <c r="F2299" t="s">
        <v>16</v>
      </c>
      <c r="G2299" t="s">
        <v>185</v>
      </c>
      <c r="H2299" s="94">
        <v>0.4</v>
      </c>
      <c r="I2299" t="s">
        <v>107</v>
      </c>
      <c r="J2299" t="s">
        <v>11</v>
      </c>
    </row>
    <row r="2300" spans="1:10" x14ac:dyDescent="0.25">
      <c r="A2300" t="s">
        <v>134</v>
      </c>
      <c r="B2300" t="s">
        <v>168</v>
      </c>
      <c r="C2300" s="12" t="s">
        <v>182</v>
      </c>
      <c r="D2300" t="s">
        <v>4</v>
      </c>
      <c r="E2300" t="s">
        <v>6</v>
      </c>
      <c r="F2300" t="s">
        <v>16</v>
      </c>
      <c r="G2300" t="s">
        <v>185</v>
      </c>
      <c r="H2300" s="94">
        <v>0.4</v>
      </c>
      <c r="I2300" t="s">
        <v>62</v>
      </c>
      <c r="J2300" t="s">
        <v>13</v>
      </c>
    </row>
    <row r="2301" spans="1:10" x14ac:dyDescent="0.25">
      <c r="A2301" t="s">
        <v>134</v>
      </c>
      <c r="B2301" t="s">
        <v>168</v>
      </c>
      <c r="C2301" s="12" t="s">
        <v>182</v>
      </c>
      <c r="D2301" t="s">
        <v>4</v>
      </c>
      <c r="E2301" t="s">
        <v>6</v>
      </c>
      <c r="F2301" t="s">
        <v>16</v>
      </c>
      <c r="G2301" t="s">
        <v>185</v>
      </c>
      <c r="H2301" s="94">
        <v>0.4</v>
      </c>
      <c r="I2301" t="s">
        <v>62</v>
      </c>
      <c r="J2301" t="s">
        <v>63</v>
      </c>
    </row>
    <row r="2302" spans="1:10" x14ac:dyDescent="0.25">
      <c r="A2302" t="s">
        <v>134</v>
      </c>
      <c r="B2302" t="s">
        <v>168</v>
      </c>
      <c r="C2302" s="12" t="s">
        <v>182</v>
      </c>
      <c r="D2302" t="s">
        <v>4</v>
      </c>
      <c r="E2302" t="s">
        <v>6</v>
      </c>
      <c r="F2302" t="s">
        <v>16</v>
      </c>
      <c r="G2302" t="s">
        <v>185</v>
      </c>
      <c r="H2302" s="94">
        <v>0.4</v>
      </c>
      <c r="I2302" t="s">
        <v>62</v>
      </c>
      <c r="J2302" t="s">
        <v>11</v>
      </c>
    </row>
    <row r="2303" spans="1:10" x14ac:dyDescent="0.25">
      <c r="A2303" t="s">
        <v>134</v>
      </c>
      <c r="B2303" t="s">
        <v>168</v>
      </c>
      <c r="C2303" s="12" t="s">
        <v>182</v>
      </c>
      <c r="D2303" t="s">
        <v>4</v>
      </c>
      <c r="E2303" t="s">
        <v>6</v>
      </c>
      <c r="F2303" t="s">
        <v>16</v>
      </c>
      <c r="G2303" t="s">
        <v>185</v>
      </c>
      <c r="H2303" s="94">
        <v>0.4</v>
      </c>
      <c r="I2303" t="s">
        <v>60</v>
      </c>
      <c r="J2303" t="s">
        <v>13</v>
      </c>
    </row>
    <row r="2304" spans="1:10" x14ac:dyDescent="0.25">
      <c r="A2304" t="s">
        <v>134</v>
      </c>
      <c r="B2304" t="s">
        <v>168</v>
      </c>
      <c r="C2304" s="12" t="s">
        <v>182</v>
      </c>
      <c r="D2304" t="s">
        <v>4</v>
      </c>
      <c r="E2304" t="s">
        <v>6</v>
      </c>
      <c r="F2304" t="s">
        <v>16</v>
      </c>
      <c r="G2304" t="s">
        <v>185</v>
      </c>
      <c r="H2304" s="94">
        <v>0.4</v>
      </c>
      <c r="I2304" t="s">
        <v>60</v>
      </c>
      <c r="J2304" t="s">
        <v>63</v>
      </c>
    </row>
    <row r="2305" spans="1:10" x14ac:dyDescent="0.25">
      <c r="A2305" t="s">
        <v>134</v>
      </c>
      <c r="B2305" t="s">
        <v>168</v>
      </c>
      <c r="C2305" s="12" t="s">
        <v>182</v>
      </c>
      <c r="D2305" t="s">
        <v>4</v>
      </c>
      <c r="E2305" t="s">
        <v>6</v>
      </c>
      <c r="F2305" t="s">
        <v>16</v>
      </c>
      <c r="G2305" t="s">
        <v>185</v>
      </c>
      <c r="H2305" s="94">
        <v>0.4</v>
      </c>
      <c r="I2305" t="s">
        <v>60</v>
      </c>
      <c r="J2305" t="s">
        <v>11</v>
      </c>
    </row>
    <row r="2306" spans="1:10" x14ac:dyDescent="0.25">
      <c r="A2306" t="s">
        <v>134</v>
      </c>
      <c r="B2306" t="s">
        <v>168</v>
      </c>
      <c r="C2306" s="12" t="s">
        <v>182</v>
      </c>
      <c r="D2306" t="s">
        <v>4</v>
      </c>
      <c r="E2306" t="s">
        <v>6</v>
      </c>
      <c r="F2306" t="s">
        <v>16</v>
      </c>
      <c r="G2306" t="s">
        <v>185</v>
      </c>
      <c r="H2306" s="94">
        <v>0.25</v>
      </c>
      <c r="I2306" t="s">
        <v>107</v>
      </c>
      <c r="J2306" t="s">
        <v>13</v>
      </c>
    </row>
    <row r="2307" spans="1:10" x14ac:dyDescent="0.25">
      <c r="A2307" t="s">
        <v>134</v>
      </c>
      <c r="B2307" t="s">
        <v>168</v>
      </c>
      <c r="C2307" s="12" t="s">
        <v>182</v>
      </c>
      <c r="D2307" t="s">
        <v>4</v>
      </c>
      <c r="E2307" t="s">
        <v>6</v>
      </c>
      <c r="F2307" t="s">
        <v>16</v>
      </c>
      <c r="G2307" t="s">
        <v>185</v>
      </c>
      <c r="H2307" s="94">
        <v>0.25</v>
      </c>
      <c r="I2307" t="s">
        <v>107</v>
      </c>
      <c r="J2307" t="s">
        <v>63</v>
      </c>
    </row>
    <row r="2308" spans="1:10" x14ac:dyDescent="0.25">
      <c r="A2308" t="s">
        <v>134</v>
      </c>
      <c r="B2308" t="s">
        <v>168</v>
      </c>
      <c r="C2308" s="12" t="s">
        <v>182</v>
      </c>
      <c r="D2308" t="s">
        <v>4</v>
      </c>
      <c r="E2308" t="s">
        <v>6</v>
      </c>
      <c r="F2308" t="s">
        <v>16</v>
      </c>
      <c r="G2308" t="s">
        <v>185</v>
      </c>
      <c r="H2308" s="94">
        <v>0.25</v>
      </c>
      <c r="I2308" t="s">
        <v>107</v>
      </c>
      <c r="J2308" t="s">
        <v>11</v>
      </c>
    </row>
    <row r="2309" spans="1:10" x14ac:dyDescent="0.25">
      <c r="A2309" t="s">
        <v>134</v>
      </c>
      <c r="B2309" t="s">
        <v>168</v>
      </c>
      <c r="C2309" s="12" t="s">
        <v>182</v>
      </c>
      <c r="D2309" t="s">
        <v>4</v>
      </c>
      <c r="E2309" t="s">
        <v>6</v>
      </c>
      <c r="F2309" t="s">
        <v>16</v>
      </c>
      <c r="G2309" t="s">
        <v>185</v>
      </c>
      <c r="H2309" s="94">
        <v>0.25</v>
      </c>
      <c r="I2309" t="s">
        <v>62</v>
      </c>
      <c r="J2309" t="s">
        <v>13</v>
      </c>
    </row>
    <row r="2310" spans="1:10" x14ac:dyDescent="0.25">
      <c r="A2310" t="s">
        <v>134</v>
      </c>
      <c r="B2310" t="s">
        <v>168</v>
      </c>
      <c r="C2310" s="12" t="s">
        <v>182</v>
      </c>
      <c r="D2310" t="s">
        <v>4</v>
      </c>
      <c r="E2310" t="s">
        <v>6</v>
      </c>
      <c r="F2310" t="s">
        <v>16</v>
      </c>
      <c r="G2310" t="s">
        <v>185</v>
      </c>
      <c r="H2310" s="94">
        <v>0.25</v>
      </c>
      <c r="I2310" t="s">
        <v>62</v>
      </c>
      <c r="J2310" t="s">
        <v>63</v>
      </c>
    </row>
    <row r="2311" spans="1:10" x14ac:dyDescent="0.25">
      <c r="A2311" t="s">
        <v>134</v>
      </c>
      <c r="B2311" t="s">
        <v>168</v>
      </c>
      <c r="C2311" s="12" t="s">
        <v>182</v>
      </c>
      <c r="D2311" t="s">
        <v>4</v>
      </c>
      <c r="E2311" t="s">
        <v>6</v>
      </c>
      <c r="F2311" t="s">
        <v>16</v>
      </c>
      <c r="G2311" t="s">
        <v>185</v>
      </c>
      <c r="H2311" s="94">
        <v>0.25</v>
      </c>
      <c r="I2311" t="s">
        <v>62</v>
      </c>
      <c r="J2311" t="s">
        <v>11</v>
      </c>
    </row>
    <row r="2312" spans="1:10" x14ac:dyDescent="0.25">
      <c r="A2312" t="s">
        <v>134</v>
      </c>
      <c r="B2312" t="s">
        <v>168</v>
      </c>
      <c r="C2312" s="12" t="s">
        <v>182</v>
      </c>
      <c r="D2312" t="s">
        <v>4</v>
      </c>
      <c r="E2312" t="s">
        <v>6</v>
      </c>
      <c r="F2312" t="s">
        <v>16</v>
      </c>
      <c r="G2312" t="s">
        <v>185</v>
      </c>
      <c r="H2312" s="94">
        <v>0.25</v>
      </c>
      <c r="I2312" t="s">
        <v>60</v>
      </c>
      <c r="J2312" t="s">
        <v>13</v>
      </c>
    </row>
    <row r="2313" spans="1:10" x14ac:dyDescent="0.25">
      <c r="A2313" t="s">
        <v>134</v>
      </c>
      <c r="B2313" t="s">
        <v>168</v>
      </c>
      <c r="C2313" s="12" t="s">
        <v>182</v>
      </c>
      <c r="D2313" t="s">
        <v>4</v>
      </c>
      <c r="E2313" t="s">
        <v>6</v>
      </c>
      <c r="F2313" t="s">
        <v>16</v>
      </c>
      <c r="G2313" t="s">
        <v>185</v>
      </c>
      <c r="H2313" s="94">
        <v>0.25</v>
      </c>
      <c r="I2313" t="s">
        <v>60</v>
      </c>
      <c r="J2313" t="s">
        <v>63</v>
      </c>
    </row>
    <row r="2314" spans="1:10" x14ac:dyDescent="0.25">
      <c r="A2314" t="s">
        <v>134</v>
      </c>
      <c r="B2314" t="s">
        <v>168</v>
      </c>
      <c r="C2314" s="12" t="s">
        <v>182</v>
      </c>
      <c r="D2314" t="s">
        <v>4</v>
      </c>
      <c r="E2314" t="s">
        <v>6</v>
      </c>
      <c r="F2314" t="s">
        <v>16</v>
      </c>
      <c r="G2314" t="s">
        <v>185</v>
      </c>
      <c r="H2314" s="94">
        <v>0.25</v>
      </c>
      <c r="I2314" t="s">
        <v>60</v>
      </c>
      <c r="J2314" t="s">
        <v>11</v>
      </c>
    </row>
    <row r="2315" spans="1:10" x14ac:dyDescent="0.25">
      <c r="A2315" t="s">
        <v>134</v>
      </c>
      <c r="B2315" t="s">
        <v>168</v>
      </c>
      <c r="C2315" s="12" t="s">
        <v>182</v>
      </c>
      <c r="D2315" t="s">
        <v>4</v>
      </c>
      <c r="E2315" t="s">
        <v>6</v>
      </c>
      <c r="F2315" t="s">
        <v>8</v>
      </c>
      <c r="G2315" t="s">
        <v>185</v>
      </c>
      <c r="H2315" s="94">
        <v>0.4</v>
      </c>
      <c r="I2315" t="s">
        <v>107</v>
      </c>
      <c r="J2315" t="s">
        <v>13</v>
      </c>
    </row>
    <row r="2316" spans="1:10" x14ac:dyDescent="0.25">
      <c r="A2316" t="s">
        <v>134</v>
      </c>
      <c r="B2316" t="s">
        <v>168</v>
      </c>
      <c r="C2316" s="12" t="s">
        <v>182</v>
      </c>
      <c r="D2316" t="s">
        <v>4</v>
      </c>
      <c r="E2316" t="s">
        <v>6</v>
      </c>
      <c r="F2316" t="s">
        <v>8</v>
      </c>
      <c r="G2316" t="s">
        <v>185</v>
      </c>
      <c r="H2316" s="94">
        <v>0.4</v>
      </c>
      <c r="I2316" t="s">
        <v>107</v>
      </c>
      <c r="J2316" t="s">
        <v>63</v>
      </c>
    </row>
    <row r="2317" spans="1:10" x14ac:dyDescent="0.25">
      <c r="A2317" t="s">
        <v>134</v>
      </c>
      <c r="B2317" t="s">
        <v>168</v>
      </c>
      <c r="C2317" s="12" t="s">
        <v>182</v>
      </c>
      <c r="D2317" t="s">
        <v>4</v>
      </c>
      <c r="E2317" t="s">
        <v>6</v>
      </c>
      <c r="F2317" t="s">
        <v>8</v>
      </c>
      <c r="G2317" t="s">
        <v>185</v>
      </c>
      <c r="H2317" s="94">
        <v>0.4</v>
      </c>
      <c r="I2317" t="s">
        <v>107</v>
      </c>
      <c r="J2317" t="s">
        <v>11</v>
      </c>
    </row>
    <row r="2318" spans="1:10" x14ac:dyDescent="0.25">
      <c r="A2318" t="s">
        <v>134</v>
      </c>
      <c r="B2318" t="s">
        <v>168</v>
      </c>
      <c r="C2318" s="12" t="s">
        <v>182</v>
      </c>
      <c r="D2318" t="s">
        <v>4</v>
      </c>
      <c r="E2318" t="s">
        <v>6</v>
      </c>
      <c r="F2318" t="s">
        <v>8</v>
      </c>
      <c r="G2318" t="s">
        <v>185</v>
      </c>
      <c r="H2318" s="94">
        <v>0.4</v>
      </c>
      <c r="I2318" t="s">
        <v>62</v>
      </c>
      <c r="J2318" t="s">
        <v>13</v>
      </c>
    </row>
    <row r="2319" spans="1:10" x14ac:dyDescent="0.25">
      <c r="A2319" t="s">
        <v>134</v>
      </c>
      <c r="B2319" t="s">
        <v>168</v>
      </c>
      <c r="C2319" s="12" t="s">
        <v>182</v>
      </c>
      <c r="D2319" t="s">
        <v>4</v>
      </c>
      <c r="E2319" t="s">
        <v>6</v>
      </c>
      <c r="F2319" t="s">
        <v>8</v>
      </c>
      <c r="G2319" t="s">
        <v>185</v>
      </c>
      <c r="H2319" s="94">
        <v>0.4</v>
      </c>
      <c r="I2319" t="s">
        <v>62</v>
      </c>
      <c r="J2319" t="s">
        <v>63</v>
      </c>
    </row>
    <row r="2320" spans="1:10" x14ac:dyDescent="0.25">
      <c r="A2320" t="s">
        <v>134</v>
      </c>
      <c r="B2320" t="s">
        <v>168</v>
      </c>
      <c r="C2320" s="12" t="s">
        <v>182</v>
      </c>
      <c r="D2320" t="s">
        <v>4</v>
      </c>
      <c r="E2320" t="s">
        <v>6</v>
      </c>
      <c r="F2320" t="s">
        <v>8</v>
      </c>
      <c r="G2320" t="s">
        <v>185</v>
      </c>
      <c r="H2320" s="94">
        <v>0.4</v>
      </c>
      <c r="I2320" t="s">
        <v>62</v>
      </c>
      <c r="J2320" t="s">
        <v>11</v>
      </c>
    </row>
    <row r="2321" spans="1:10" x14ac:dyDescent="0.25">
      <c r="A2321" t="s">
        <v>134</v>
      </c>
      <c r="B2321" t="s">
        <v>168</v>
      </c>
      <c r="C2321" s="12" t="s">
        <v>182</v>
      </c>
      <c r="D2321" t="s">
        <v>4</v>
      </c>
      <c r="E2321" t="s">
        <v>6</v>
      </c>
      <c r="F2321" t="s">
        <v>8</v>
      </c>
      <c r="G2321" t="s">
        <v>185</v>
      </c>
      <c r="H2321" s="94">
        <v>0.4</v>
      </c>
      <c r="I2321" t="s">
        <v>60</v>
      </c>
      <c r="J2321" t="s">
        <v>13</v>
      </c>
    </row>
    <row r="2322" spans="1:10" x14ac:dyDescent="0.25">
      <c r="A2322" t="s">
        <v>134</v>
      </c>
      <c r="B2322" t="s">
        <v>168</v>
      </c>
      <c r="C2322" s="12" t="s">
        <v>182</v>
      </c>
      <c r="D2322" t="s">
        <v>4</v>
      </c>
      <c r="E2322" t="s">
        <v>6</v>
      </c>
      <c r="F2322" t="s">
        <v>8</v>
      </c>
      <c r="G2322" t="s">
        <v>185</v>
      </c>
      <c r="H2322" s="94">
        <v>0.4</v>
      </c>
      <c r="I2322" t="s">
        <v>60</v>
      </c>
      <c r="J2322" t="s">
        <v>63</v>
      </c>
    </row>
    <row r="2323" spans="1:10" x14ac:dyDescent="0.25">
      <c r="A2323" t="s">
        <v>134</v>
      </c>
      <c r="B2323" t="s">
        <v>168</v>
      </c>
      <c r="C2323" s="12" t="s">
        <v>182</v>
      </c>
      <c r="D2323" t="s">
        <v>4</v>
      </c>
      <c r="E2323" t="s">
        <v>6</v>
      </c>
      <c r="F2323" t="s">
        <v>8</v>
      </c>
      <c r="G2323" t="s">
        <v>185</v>
      </c>
      <c r="H2323" s="94">
        <v>0.4</v>
      </c>
      <c r="I2323" t="s">
        <v>60</v>
      </c>
      <c r="J2323" t="s">
        <v>11</v>
      </c>
    </row>
    <row r="2324" spans="1:10" x14ac:dyDescent="0.25">
      <c r="A2324" t="s">
        <v>134</v>
      </c>
      <c r="B2324" t="s">
        <v>168</v>
      </c>
      <c r="C2324" s="12" t="s">
        <v>182</v>
      </c>
      <c r="D2324" t="s">
        <v>4</v>
      </c>
      <c r="E2324" t="s">
        <v>6</v>
      </c>
      <c r="F2324" t="s">
        <v>8</v>
      </c>
      <c r="G2324" t="s">
        <v>185</v>
      </c>
      <c r="H2324" s="94">
        <v>0.25</v>
      </c>
      <c r="I2324" t="s">
        <v>107</v>
      </c>
      <c r="J2324" t="s">
        <v>13</v>
      </c>
    </row>
    <row r="2325" spans="1:10" x14ac:dyDescent="0.25">
      <c r="A2325" t="s">
        <v>134</v>
      </c>
      <c r="B2325" t="s">
        <v>168</v>
      </c>
      <c r="C2325" s="12" t="s">
        <v>182</v>
      </c>
      <c r="D2325" t="s">
        <v>4</v>
      </c>
      <c r="E2325" t="s">
        <v>6</v>
      </c>
      <c r="F2325" t="s">
        <v>8</v>
      </c>
      <c r="G2325" t="s">
        <v>185</v>
      </c>
      <c r="H2325" s="94">
        <v>0.25</v>
      </c>
      <c r="I2325" t="s">
        <v>107</v>
      </c>
      <c r="J2325" t="s">
        <v>63</v>
      </c>
    </row>
    <row r="2326" spans="1:10" x14ac:dyDescent="0.25">
      <c r="A2326" t="s">
        <v>134</v>
      </c>
      <c r="B2326" t="s">
        <v>168</v>
      </c>
      <c r="C2326" s="12" t="s">
        <v>182</v>
      </c>
      <c r="D2326" t="s">
        <v>4</v>
      </c>
      <c r="E2326" t="s">
        <v>6</v>
      </c>
      <c r="F2326" t="s">
        <v>8</v>
      </c>
      <c r="G2326" t="s">
        <v>185</v>
      </c>
      <c r="H2326" s="94">
        <v>0.25</v>
      </c>
      <c r="I2326" t="s">
        <v>107</v>
      </c>
      <c r="J2326" t="s">
        <v>11</v>
      </c>
    </row>
    <row r="2327" spans="1:10" x14ac:dyDescent="0.25">
      <c r="A2327" t="s">
        <v>134</v>
      </c>
      <c r="B2327" t="s">
        <v>168</v>
      </c>
      <c r="C2327" s="12" t="s">
        <v>182</v>
      </c>
      <c r="D2327" t="s">
        <v>4</v>
      </c>
      <c r="E2327" t="s">
        <v>6</v>
      </c>
      <c r="F2327" t="s">
        <v>8</v>
      </c>
      <c r="G2327" t="s">
        <v>185</v>
      </c>
      <c r="H2327" s="94">
        <v>0.25</v>
      </c>
      <c r="I2327" t="s">
        <v>62</v>
      </c>
      <c r="J2327" t="s">
        <v>13</v>
      </c>
    </row>
    <row r="2328" spans="1:10" x14ac:dyDescent="0.25">
      <c r="A2328" t="s">
        <v>134</v>
      </c>
      <c r="B2328" t="s">
        <v>168</v>
      </c>
      <c r="C2328" s="12" t="s">
        <v>182</v>
      </c>
      <c r="D2328" t="s">
        <v>4</v>
      </c>
      <c r="E2328" t="s">
        <v>6</v>
      </c>
      <c r="F2328" t="s">
        <v>8</v>
      </c>
      <c r="G2328" t="s">
        <v>185</v>
      </c>
      <c r="H2328" s="94">
        <v>0.25</v>
      </c>
      <c r="I2328" t="s">
        <v>62</v>
      </c>
      <c r="J2328" t="s">
        <v>63</v>
      </c>
    </row>
    <row r="2329" spans="1:10" x14ac:dyDescent="0.25">
      <c r="A2329" t="s">
        <v>134</v>
      </c>
      <c r="B2329" t="s">
        <v>168</v>
      </c>
      <c r="C2329" s="12" t="s">
        <v>182</v>
      </c>
      <c r="D2329" t="s">
        <v>4</v>
      </c>
      <c r="E2329" t="s">
        <v>6</v>
      </c>
      <c r="F2329" t="s">
        <v>8</v>
      </c>
      <c r="G2329" t="s">
        <v>185</v>
      </c>
      <c r="H2329" s="94">
        <v>0.25</v>
      </c>
      <c r="I2329" t="s">
        <v>62</v>
      </c>
      <c r="J2329" t="s">
        <v>11</v>
      </c>
    </row>
    <row r="2330" spans="1:10" x14ac:dyDescent="0.25">
      <c r="A2330" t="s">
        <v>134</v>
      </c>
      <c r="B2330" t="s">
        <v>168</v>
      </c>
      <c r="C2330" s="12" t="s">
        <v>182</v>
      </c>
      <c r="D2330" t="s">
        <v>4</v>
      </c>
      <c r="E2330" t="s">
        <v>6</v>
      </c>
      <c r="F2330" t="s">
        <v>8</v>
      </c>
      <c r="G2330" t="s">
        <v>185</v>
      </c>
      <c r="H2330" s="94">
        <v>0.25</v>
      </c>
      <c r="I2330" t="s">
        <v>60</v>
      </c>
      <c r="J2330" t="s">
        <v>13</v>
      </c>
    </row>
    <row r="2331" spans="1:10" x14ac:dyDescent="0.25">
      <c r="A2331" t="s">
        <v>134</v>
      </c>
      <c r="B2331" t="s">
        <v>168</v>
      </c>
      <c r="C2331" s="12" t="s">
        <v>182</v>
      </c>
      <c r="D2331" t="s">
        <v>4</v>
      </c>
      <c r="E2331" t="s">
        <v>6</v>
      </c>
      <c r="F2331" t="s">
        <v>8</v>
      </c>
      <c r="G2331" t="s">
        <v>185</v>
      </c>
      <c r="H2331" s="94">
        <v>0.25</v>
      </c>
      <c r="I2331" t="s">
        <v>60</v>
      </c>
      <c r="J2331" t="s">
        <v>63</v>
      </c>
    </row>
    <row r="2332" spans="1:10" x14ac:dyDescent="0.25">
      <c r="A2332" t="s">
        <v>134</v>
      </c>
      <c r="B2332" t="s">
        <v>168</v>
      </c>
      <c r="C2332" s="12" t="s">
        <v>182</v>
      </c>
      <c r="D2332" t="s">
        <v>4</v>
      </c>
      <c r="E2332" t="s">
        <v>6</v>
      </c>
      <c r="F2332" t="s">
        <v>8</v>
      </c>
      <c r="G2332" t="s">
        <v>185</v>
      </c>
      <c r="H2332" s="94">
        <v>0.25</v>
      </c>
      <c r="I2332" t="s">
        <v>60</v>
      </c>
      <c r="J2332" t="s">
        <v>11</v>
      </c>
    </row>
    <row r="2333" spans="1:10" x14ac:dyDescent="0.25">
      <c r="A2333" t="s">
        <v>133</v>
      </c>
      <c r="B2333" t="s">
        <v>186</v>
      </c>
      <c r="C2333" s="12" t="s">
        <v>182</v>
      </c>
      <c r="D2333" t="s">
        <v>187</v>
      </c>
      <c r="E2333" t="s">
        <v>12</v>
      </c>
      <c r="F2333" t="s">
        <v>72</v>
      </c>
      <c r="G2333" t="s">
        <v>185</v>
      </c>
      <c r="H2333" s="94">
        <v>4</v>
      </c>
      <c r="I2333" t="s">
        <v>107</v>
      </c>
      <c r="J2333" t="s">
        <v>13</v>
      </c>
    </row>
    <row r="2334" spans="1:10" x14ac:dyDescent="0.25">
      <c r="A2334" t="s">
        <v>133</v>
      </c>
      <c r="B2334" t="s">
        <v>186</v>
      </c>
      <c r="C2334" s="12" t="s">
        <v>182</v>
      </c>
      <c r="D2334" t="s">
        <v>187</v>
      </c>
      <c r="E2334" t="s">
        <v>12</v>
      </c>
      <c r="F2334" t="s">
        <v>72</v>
      </c>
      <c r="G2334" t="s">
        <v>185</v>
      </c>
      <c r="H2334" s="94">
        <v>4</v>
      </c>
      <c r="I2334" t="s">
        <v>107</v>
      </c>
      <c r="J2334" t="s">
        <v>63</v>
      </c>
    </row>
    <row r="2335" spans="1:10" x14ac:dyDescent="0.25">
      <c r="A2335" t="s">
        <v>133</v>
      </c>
      <c r="B2335" t="s">
        <v>186</v>
      </c>
      <c r="C2335" s="12" t="s">
        <v>182</v>
      </c>
      <c r="D2335" t="s">
        <v>187</v>
      </c>
      <c r="E2335" t="s">
        <v>12</v>
      </c>
      <c r="F2335" t="s">
        <v>72</v>
      </c>
      <c r="G2335" t="s">
        <v>185</v>
      </c>
      <c r="H2335" s="94">
        <v>4</v>
      </c>
      <c r="I2335" t="s">
        <v>107</v>
      </c>
      <c r="J2335" t="s">
        <v>11</v>
      </c>
    </row>
    <row r="2336" spans="1:10" x14ac:dyDescent="0.25">
      <c r="A2336" t="s">
        <v>133</v>
      </c>
      <c r="B2336" t="s">
        <v>186</v>
      </c>
      <c r="C2336" s="12" t="s">
        <v>182</v>
      </c>
      <c r="D2336" t="s">
        <v>187</v>
      </c>
      <c r="E2336" t="s">
        <v>12</v>
      </c>
      <c r="F2336" t="s">
        <v>72</v>
      </c>
      <c r="G2336" t="s">
        <v>185</v>
      </c>
      <c r="H2336" s="94">
        <v>4</v>
      </c>
      <c r="I2336" t="s">
        <v>62</v>
      </c>
      <c r="J2336" t="s">
        <v>13</v>
      </c>
    </row>
    <row r="2337" spans="1:10" x14ac:dyDescent="0.25">
      <c r="A2337" t="s">
        <v>133</v>
      </c>
      <c r="B2337" t="s">
        <v>186</v>
      </c>
      <c r="C2337" s="12" t="s">
        <v>182</v>
      </c>
      <c r="D2337" t="s">
        <v>187</v>
      </c>
      <c r="E2337" t="s">
        <v>12</v>
      </c>
      <c r="F2337" t="s">
        <v>72</v>
      </c>
      <c r="G2337" t="s">
        <v>185</v>
      </c>
      <c r="H2337" s="94">
        <v>4</v>
      </c>
      <c r="I2337" t="s">
        <v>62</v>
      </c>
      <c r="J2337" t="s">
        <v>63</v>
      </c>
    </row>
    <row r="2338" spans="1:10" x14ac:dyDescent="0.25">
      <c r="A2338" t="s">
        <v>133</v>
      </c>
      <c r="B2338" t="s">
        <v>186</v>
      </c>
      <c r="C2338" s="12" t="s">
        <v>182</v>
      </c>
      <c r="D2338" t="s">
        <v>187</v>
      </c>
      <c r="E2338" t="s">
        <v>12</v>
      </c>
      <c r="F2338" t="s">
        <v>72</v>
      </c>
      <c r="G2338" t="s">
        <v>185</v>
      </c>
      <c r="H2338" s="94">
        <v>4</v>
      </c>
      <c r="I2338" t="s">
        <v>62</v>
      </c>
      <c r="J2338" t="s">
        <v>11</v>
      </c>
    </row>
    <row r="2339" spans="1:10" x14ac:dyDescent="0.25">
      <c r="A2339" t="s">
        <v>133</v>
      </c>
      <c r="B2339" t="s">
        <v>186</v>
      </c>
      <c r="C2339" s="12" t="s">
        <v>182</v>
      </c>
      <c r="D2339" t="s">
        <v>187</v>
      </c>
      <c r="E2339" t="s">
        <v>12</v>
      </c>
      <c r="F2339" t="s">
        <v>72</v>
      </c>
      <c r="G2339" t="s">
        <v>185</v>
      </c>
      <c r="H2339" s="94">
        <v>4</v>
      </c>
      <c r="I2339" t="s">
        <v>60</v>
      </c>
      <c r="J2339" t="s">
        <v>13</v>
      </c>
    </row>
    <row r="2340" spans="1:10" x14ac:dyDescent="0.25">
      <c r="A2340" t="s">
        <v>133</v>
      </c>
      <c r="B2340" t="s">
        <v>186</v>
      </c>
      <c r="C2340" s="12" t="s">
        <v>182</v>
      </c>
      <c r="D2340" t="s">
        <v>187</v>
      </c>
      <c r="E2340" t="s">
        <v>12</v>
      </c>
      <c r="F2340" t="s">
        <v>72</v>
      </c>
      <c r="G2340" t="s">
        <v>185</v>
      </c>
      <c r="H2340" s="94">
        <v>4</v>
      </c>
      <c r="I2340" t="s">
        <v>60</v>
      </c>
      <c r="J2340" t="s">
        <v>63</v>
      </c>
    </row>
    <row r="2341" spans="1:10" x14ac:dyDescent="0.25">
      <c r="A2341" t="s">
        <v>133</v>
      </c>
      <c r="B2341" t="s">
        <v>186</v>
      </c>
      <c r="C2341" s="12" t="s">
        <v>182</v>
      </c>
      <c r="D2341" t="s">
        <v>187</v>
      </c>
      <c r="E2341" t="s">
        <v>12</v>
      </c>
      <c r="F2341" t="s">
        <v>72</v>
      </c>
      <c r="G2341" t="s">
        <v>185</v>
      </c>
      <c r="H2341" s="94">
        <v>4</v>
      </c>
      <c r="I2341" t="s">
        <v>60</v>
      </c>
      <c r="J2341" t="s">
        <v>11</v>
      </c>
    </row>
    <row r="2342" spans="1:10" x14ac:dyDescent="0.25">
      <c r="A2342" t="s">
        <v>133</v>
      </c>
      <c r="B2342" t="s">
        <v>186</v>
      </c>
      <c r="C2342" s="12" t="s">
        <v>182</v>
      </c>
      <c r="D2342" t="s">
        <v>187</v>
      </c>
      <c r="E2342" t="s">
        <v>12</v>
      </c>
      <c r="F2342" t="s">
        <v>72</v>
      </c>
      <c r="G2342" t="s">
        <v>185</v>
      </c>
      <c r="H2342" s="94">
        <v>5</v>
      </c>
      <c r="I2342" t="s">
        <v>107</v>
      </c>
      <c r="J2342" t="s">
        <v>13</v>
      </c>
    </row>
    <row r="2343" spans="1:10" x14ac:dyDescent="0.25">
      <c r="A2343" t="s">
        <v>133</v>
      </c>
      <c r="B2343" t="s">
        <v>186</v>
      </c>
      <c r="C2343" s="12" t="s">
        <v>182</v>
      </c>
      <c r="D2343" t="s">
        <v>187</v>
      </c>
      <c r="E2343" t="s">
        <v>12</v>
      </c>
      <c r="F2343" t="s">
        <v>72</v>
      </c>
      <c r="G2343" t="s">
        <v>185</v>
      </c>
      <c r="H2343" s="94">
        <v>5</v>
      </c>
      <c r="I2343" t="s">
        <v>107</v>
      </c>
      <c r="J2343" t="s">
        <v>63</v>
      </c>
    </row>
    <row r="2344" spans="1:10" x14ac:dyDescent="0.25">
      <c r="A2344" t="s">
        <v>133</v>
      </c>
      <c r="B2344" t="s">
        <v>186</v>
      </c>
      <c r="C2344" s="12" t="s">
        <v>182</v>
      </c>
      <c r="D2344" t="s">
        <v>187</v>
      </c>
      <c r="E2344" t="s">
        <v>12</v>
      </c>
      <c r="F2344" t="s">
        <v>72</v>
      </c>
      <c r="G2344" t="s">
        <v>185</v>
      </c>
      <c r="H2344" s="94">
        <v>5</v>
      </c>
      <c r="I2344" t="s">
        <v>107</v>
      </c>
      <c r="J2344" t="s">
        <v>11</v>
      </c>
    </row>
    <row r="2345" spans="1:10" x14ac:dyDescent="0.25">
      <c r="A2345" t="s">
        <v>133</v>
      </c>
      <c r="B2345" t="s">
        <v>186</v>
      </c>
      <c r="C2345" s="12" t="s">
        <v>182</v>
      </c>
      <c r="D2345" t="s">
        <v>187</v>
      </c>
      <c r="E2345" t="s">
        <v>12</v>
      </c>
      <c r="F2345" t="s">
        <v>72</v>
      </c>
      <c r="G2345" t="s">
        <v>185</v>
      </c>
      <c r="H2345" s="94">
        <v>5</v>
      </c>
      <c r="I2345" t="s">
        <v>62</v>
      </c>
      <c r="J2345" t="s">
        <v>13</v>
      </c>
    </row>
    <row r="2346" spans="1:10" x14ac:dyDescent="0.25">
      <c r="A2346" t="s">
        <v>133</v>
      </c>
      <c r="B2346" t="s">
        <v>186</v>
      </c>
      <c r="C2346" s="12" t="s">
        <v>182</v>
      </c>
      <c r="D2346" t="s">
        <v>187</v>
      </c>
      <c r="E2346" t="s">
        <v>12</v>
      </c>
      <c r="F2346" t="s">
        <v>72</v>
      </c>
      <c r="G2346" t="s">
        <v>185</v>
      </c>
      <c r="H2346" s="94">
        <v>5</v>
      </c>
      <c r="I2346" t="s">
        <v>62</v>
      </c>
      <c r="J2346" t="s">
        <v>63</v>
      </c>
    </row>
    <row r="2347" spans="1:10" x14ac:dyDescent="0.25">
      <c r="A2347" t="s">
        <v>133</v>
      </c>
      <c r="B2347" t="s">
        <v>186</v>
      </c>
      <c r="C2347" s="12" t="s">
        <v>182</v>
      </c>
      <c r="D2347" t="s">
        <v>187</v>
      </c>
      <c r="E2347" t="s">
        <v>12</v>
      </c>
      <c r="F2347" t="s">
        <v>72</v>
      </c>
      <c r="G2347" t="s">
        <v>185</v>
      </c>
      <c r="H2347" s="94">
        <v>5</v>
      </c>
      <c r="I2347" t="s">
        <v>62</v>
      </c>
      <c r="J2347" t="s">
        <v>11</v>
      </c>
    </row>
    <row r="2348" spans="1:10" x14ac:dyDescent="0.25">
      <c r="A2348" t="s">
        <v>133</v>
      </c>
      <c r="B2348" t="s">
        <v>186</v>
      </c>
      <c r="C2348" s="12" t="s">
        <v>182</v>
      </c>
      <c r="D2348" t="s">
        <v>187</v>
      </c>
      <c r="E2348" t="s">
        <v>12</v>
      </c>
      <c r="F2348" t="s">
        <v>72</v>
      </c>
      <c r="G2348" t="s">
        <v>185</v>
      </c>
      <c r="H2348" s="94">
        <v>5</v>
      </c>
      <c r="I2348" t="s">
        <v>60</v>
      </c>
      <c r="J2348" t="s">
        <v>13</v>
      </c>
    </row>
    <row r="2349" spans="1:10" x14ac:dyDescent="0.25">
      <c r="A2349" t="s">
        <v>133</v>
      </c>
      <c r="B2349" t="s">
        <v>186</v>
      </c>
      <c r="C2349" s="12" t="s">
        <v>182</v>
      </c>
      <c r="D2349" t="s">
        <v>187</v>
      </c>
      <c r="E2349" t="s">
        <v>12</v>
      </c>
      <c r="F2349" t="s">
        <v>72</v>
      </c>
      <c r="G2349" t="s">
        <v>185</v>
      </c>
      <c r="H2349" s="94">
        <v>5</v>
      </c>
      <c r="I2349" t="s">
        <v>60</v>
      </c>
      <c r="J2349" t="s">
        <v>63</v>
      </c>
    </row>
    <row r="2350" spans="1:10" x14ac:dyDescent="0.25">
      <c r="A2350" t="s">
        <v>133</v>
      </c>
      <c r="B2350" t="s">
        <v>186</v>
      </c>
      <c r="C2350" s="12" t="s">
        <v>182</v>
      </c>
      <c r="D2350" t="s">
        <v>187</v>
      </c>
      <c r="E2350" t="s">
        <v>12</v>
      </c>
      <c r="F2350" t="s">
        <v>72</v>
      </c>
      <c r="G2350" t="s">
        <v>185</v>
      </c>
      <c r="H2350" s="94">
        <v>5</v>
      </c>
      <c r="I2350" t="s">
        <v>60</v>
      </c>
      <c r="J2350" t="s">
        <v>11</v>
      </c>
    </row>
    <row r="2351" spans="1:10" x14ac:dyDescent="0.25">
      <c r="A2351" t="s">
        <v>133</v>
      </c>
      <c r="B2351" t="s">
        <v>186</v>
      </c>
      <c r="C2351" s="12" t="s">
        <v>182</v>
      </c>
      <c r="D2351" t="s">
        <v>187</v>
      </c>
      <c r="E2351" t="s">
        <v>12</v>
      </c>
      <c r="F2351" t="s">
        <v>16</v>
      </c>
      <c r="G2351" t="s">
        <v>185</v>
      </c>
      <c r="H2351" s="94">
        <v>4</v>
      </c>
      <c r="I2351" t="s">
        <v>107</v>
      </c>
      <c r="J2351" t="s">
        <v>13</v>
      </c>
    </row>
    <row r="2352" spans="1:10" x14ac:dyDescent="0.25">
      <c r="A2352" t="s">
        <v>133</v>
      </c>
      <c r="B2352" t="s">
        <v>186</v>
      </c>
      <c r="C2352" s="12" t="s">
        <v>182</v>
      </c>
      <c r="D2352" t="s">
        <v>187</v>
      </c>
      <c r="E2352" t="s">
        <v>12</v>
      </c>
      <c r="F2352" t="s">
        <v>16</v>
      </c>
      <c r="G2352" t="s">
        <v>185</v>
      </c>
      <c r="H2352" s="94">
        <v>4</v>
      </c>
      <c r="I2352" t="s">
        <v>107</v>
      </c>
      <c r="J2352" t="s">
        <v>63</v>
      </c>
    </row>
    <row r="2353" spans="1:10" x14ac:dyDescent="0.25">
      <c r="A2353" t="s">
        <v>133</v>
      </c>
      <c r="B2353" t="s">
        <v>186</v>
      </c>
      <c r="C2353" s="12" t="s">
        <v>182</v>
      </c>
      <c r="D2353" t="s">
        <v>187</v>
      </c>
      <c r="E2353" t="s">
        <v>12</v>
      </c>
      <c r="F2353" t="s">
        <v>16</v>
      </c>
      <c r="G2353" t="s">
        <v>185</v>
      </c>
      <c r="H2353" s="94">
        <v>4</v>
      </c>
      <c r="I2353" t="s">
        <v>107</v>
      </c>
      <c r="J2353" t="s">
        <v>11</v>
      </c>
    </row>
    <row r="2354" spans="1:10" x14ac:dyDescent="0.25">
      <c r="A2354" t="s">
        <v>133</v>
      </c>
      <c r="B2354" t="s">
        <v>186</v>
      </c>
      <c r="C2354" s="12" t="s">
        <v>182</v>
      </c>
      <c r="D2354" t="s">
        <v>187</v>
      </c>
      <c r="E2354" t="s">
        <v>12</v>
      </c>
      <c r="F2354" t="s">
        <v>16</v>
      </c>
      <c r="G2354" t="s">
        <v>185</v>
      </c>
      <c r="H2354" s="94">
        <v>4</v>
      </c>
      <c r="I2354" t="s">
        <v>62</v>
      </c>
      <c r="J2354" t="s">
        <v>13</v>
      </c>
    </row>
    <row r="2355" spans="1:10" x14ac:dyDescent="0.25">
      <c r="A2355" t="s">
        <v>133</v>
      </c>
      <c r="B2355" t="s">
        <v>186</v>
      </c>
      <c r="C2355" s="12" t="s">
        <v>182</v>
      </c>
      <c r="D2355" t="s">
        <v>187</v>
      </c>
      <c r="E2355" t="s">
        <v>12</v>
      </c>
      <c r="F2355" t="s">
        <v>16</v>
      </c>
      <c r="G2355" t="s">
        <v>185</v>
      </c>
      <c r="H2355" s="94">
        <v>4</v>
      </c>
      <c r="I2355" t="s">
        <v>62</v>
      </c>
      <c r="J2355" t="s">
        <v>63</v>
      </c>
    </row>
    <row r="2356" spans="1:10" x14ac:dyDescent="0.25">
      <c r="A2356" t="s">
        <v>133</v>
      </c>
      <c r="B2356" t="s">
        <v>186</v>
      </c>
      <c r="C2356" s="12" t="s">
        <v>182</v>
      </c>
      <c r="D2356" t="s">
        <v>187</v>
      </c>
      <c r="E2356" t="s">
        <v>12</v>
      </c>
      <c r="F2356" t="s">
        <v>16</v>
      </c>
      <c r="G2356" t="s">
        <v>185</v>
      </c>
      <c r="H2356" s="94">
        <v>4</v>
      </c>
      <c r="I2356" t="s">
        <v>62</v>
      </c>
      <c r="J2356" t="s">
        <v>11</v>
      </c>
    </row>
    <row r="2357" spans="1:10" x14ac:dyDescent="0.25">
      <c r="A2357" t="s">
        <v>133</v>
      </c>
      <c r="B2357" t="s">
        <v>186</v>
      </c>
      <c r="C2357" s="12" t="s">
        <v>182</v>
      </c>
      <c r="D2357" t="s">
        <v>187</v>
      </c>
      <c r="E2357" t="s">
        <v>12</v>
      </c>
      <c r="F2357" t="s">
        <v>16</v>
      </c>
      <c r="G2357" t="s">
        <v>185</v>
      </c>
      <c r="H2357" s="94">
        <v>4</v>
      </c>
      <c r="I2357" t="s">
        <v>60</v>
      </c>
      <c r="J2357" t="s">
        <v>13</v>
      </c>
    </row>
    <row r="2358" spans="1:10" x14ac:dyDescent="0.25">
      <c r="A2358" t="s">
        <v>133</v>
      </c>
      <c r="B2358" t="s">
        <v>186</v>
      </c>
      <c r="C2358" s="12" t="s">
        <v>182</v>
      </c>
      <c r="D2358" t="s">
        <v>187</v>
      </c>
      <c r="E2358" t="s">
        <v>12</v>
      </c>
      <c r="F2358" t="s">
        <v>16</v>
      </c>
      <c r="G2358" t="s">
        <v>185</v>
      </c>
      <c r="H2358" s="94">
        <v>4</v>
      </c>
      <c r="I2358" t="s">
        <v>60</v>
      </c>
      <c r="J2358" t="s">
        <v>63</v>
      </c>
    </row>
    <row r="2359" spans="1:10" x14ac:dyDescent="0.25">
      <c r="A2359" t="s">
        <v>133</v>
      </c>
      <c r="B2359" t="s">
        <v>186</v>
      </c>
      <c r="C2359" s="12" t="s">
        <v>182</v>
      </c>
      <c r="D2359" t="s">
        <v>187</v>
      </c>
      <c r="E2359" t="s">
        <v>12</v>
      </c>
      <c r="F2359" t="s">
        <v>16</v>
      </c>
      <c r="G2359" t="s">
        <v>185</v>
      </c>
      <c r="H2359" s="94">
        <v>4</v>
      </c>
      <c r="I2359" t="s">
        <v>60</v>
      </c>
      <c r="J2359" t="s">
        <v>11</v>
      </c>
    </row>
    <row r="2360" spans="1:10" x14ac:dyDescent="0.25">
      <c r="A2360" t="s">
        <v>133</v>
      </c>
      <c r="B2360" t="s">
        <v>186</v>
      </c>
      <c r="C2360" s="12" t="s">
        <v>182</v>
      </c>
      <c r="D2360" t="s">
        <v>187</v>
      </c>
      <c r="E2360" t="s">
        <v>12</v>
      </c>
      <c r="F2360" t="s">
        <v>16</v>
      </c>
      <c r="G2360" t="s">
        <v>185</v>
      </c>
      <c r="H2360" s="94">
        <v>5</v>
      </c>
      <c r="I2360" t="s">
        <v>107</v>
      </c>
      <c r="J2360" t="s">
        <v>13</v>
      </c>
    </row>
    <row r="2361" spans="1:10" x14ac:dyDescent="0.25">
      <c r="A2361" t="s">
        <v>133</v>
      </c>
      <c r="B2361" t="s">
        <v>186</v>
      </c>
      <c r="C2361" s="12" t="s">
        <v>182</v>
      </c>
      <c r="D2361" t="s">
        <v>187</v>
      </c>
      <c r="E2361" t="s">
        <v>12</v>
      </c>
      <c r="F2361" t="s">
        <v>16</v>
      </c>
      <c r="G2361" t="s">
        <v>185</v>
      </c>
      <c r="H2361" s="94">
        <v>5</v>
      </c>
      <c r="I2361" t="s">
        <v>107</v>
      </c>
      <c r="J2361" t="s">
        <v>63</v>
      </c>
    </row>
    <row r="2362" spans="1:10" x14ac:dyDescent="0.25">
      <c r="A2362" t="s">
        <v>133</v>
      </c>
      <c r="B2362" t="s">
        <v>186</v>
      </c>
      <c r="C2362" s="12" t="s">
        <v>182</v>
      </c>
      <c r="D2362" t="s">
        <v>187</v>
      </c>
      <c r="E2362" t="s">
        <v>12</v>
      </c>
      <c r="F2362" t="s">
        <v>16</v>
      </c>
      <c r="G2362" t="s">
        <v>185</v>
      </c>
      <c r="H2362" s="94">
        <v>5</v>
      </c>
      <c r="I2362" t="s">
        <v>107</v>
      </c>
      <c r="J2362" t="s">
        <v>11</v>
      </c>
    </row>
    <row r="2363" spans="1:10" x14ac:dyDescent="0.25">
      <c r="A2363" t="s">
        <v>133</v>
      </c>
      <c r="B2363" t="s">
        <v>186</v>
      </c>
      <c r="C2363" s="12" t="s">
        <v>182</v>
      </c>
      <c r="D2363" t="s">
        <v>187</v>
      </c>
      <c r="E2363" t="s">
        <v>12</v>
      </c>
      <c r="F2363" t="s">
        <v>16</v>
      </c>
      <c r="G2363" t="s">
        <v>185</v>
      </c>
      <c r="H2363" s="94">
        <v>5</v>
      </c>
      <c r="I2363" t="s">
        <v>62</v>
      </c>
      <c r="J2363" t="s">
        <v>13</v>
      </c>
    </row>
    <row r="2364" spans="1:10" x14ac:dyDescent="0.25">
      <c r="A2364" t="s">
        <v>133</v>
      </c>
      <c r="B2364" t="s">
        <v>186</v>
      </c>
      <c r="C2364" s="12" t="s">
        <v>182</v>
      </c>
      <c r="D2364" t="s">
        <v>187</v>
      </c>
      <c r="E2364" t="s">
        <v>12</v>
      </c>
      <c r="F2364" t="s">
        <v>16</v>
      </c>
      <c r="G2364" t="s">
        <v>185</v>
      </c>
      <c r="H2364" s="94">
        <v>5</v>
      </c>
      <c r="I2364" t="s">
        <v>62</v>
      </c>
      <c r="J2364" t="s">
        <v>63</v>
      </c>
    </row>
    <row r="2365" spans="1:10" x14ac:dyDescent="0.25">
      <c r="A2365" t="s">
        <v>133</v>
      </c>
      <c r="B2365" t="s">
        <v>186</v>
      </c>
      <c r="C2365" s="12" t="s">
        <v>182</v>
      </c>
      <c r="D2365" t="s">
        <v>187</v>
      </c>
      <c r="E2365" t="s">
        <v>12</v>
      </c>
      <c r="F2365" t="s">
        <v>16</v>
      </c>
      <c r="G2365" t="s">
        <v>185</v>
      </c>
      <c r="H2365" s="94">
        <v>5</v>
      </c>
      <c r="I2365" t="s">
        <v>62</v>
      </c>
      <c r="J2365" t="s">
        <v>11</v>
      </c>
    </row>
    <row r="2366" spans="1:10" x14ac:dyDescent="0.25">
      <c r="A2366" t="s">
        <v>133</v>
      </c>
      <c r="B2366" t="s">
        <v>186</v>
      </c>
      <c r="C2366" s="12" t="s">
        <v>182</v>
      </c>
      <c r="D2366" t="s">
        <v>187</v>
      </c>
      <c r="E2366" t="s">
        <v>12</v>
      </c>
      <c r="F2366" t="s">
        <v>16</v>
      </c>
      <c r="G2366" t="s">
        <v>185</v>
      </c>
      <c r="H2366" s="94">
        <v>5</v>
      </c>
      <c r="I2366" t="s">
        <v>60</v>
      </c>
      <c r="J2366" t="s">
        <v>13</v>
      </c>
    </row>
    <row r="2367" spans="1:10" x14ac:dyDescent="0.25">
      <c r="A2367" t="s">
        <v>133</v>
      </c>
      <c r="B2367" t="s">
        <v>186</v>
      </c>
      <c r="C2367" s="12" t="s">
        <v>182</v>
      </c>
      <c r="D2367" t="s">
        <v>187</v>
      </c>
      <c r="E2367" t="s">
        <v>12</v>
      </c>
      <c r="F2367" t="s">
        <v>16</v>
      </c>
      <c r="G2367" t="s">
        <v>185</v>
      </c>
      <c r="H2367" s="94">
        <v>5</v>
      </c>
      <c r="I2367" t="s">
        <v>60</v>
      </c>
      <c r="J2367" t="s">
        <v>63</v>
      </c>
    </row>
    <row r="2368" spans="1:10" x14ac:dyDescent="0.25">
      <c r="A2368" t="s">
        <v>133</v>
      </c>
      <c r="B2368" t="s">
        <v>186</v>
      </c>
      <c r="C2368" s="12" t="s">
        <v>182</v>
      </c>
      <c r="D2368" t="s">
        <v>187</v>
      </c>
      <c r="E2368" t="s">
        <v>12</v>
      </c>
      <c r="F2368" t="s">
        <v>16</v>
      </c>
      <c r="G2368" t="s">
        <v>185</v>
      </c>
      <c r="H2368" s="94">
        <v>5</v>
      </c>
      <c r="I2368" t="s">
        <v>60</v>
      </c>
      <c r="J2368" t="s">
        <v>11</v>
      </c>
    </row>
    <row r="2369" spans="1:10" x14ac:dyDescent="0.25">
      <c r="A2369" t="s">
        <v>133</v>
      </c>
      <c r="B2369" t="s">
        <v>186</v>
      </c>
      <c r="C2369" s="12" t="s">
        <v>182</v>
      </c>
      <c r="D2369" t="s">
        <v>187</v>
      </c>
      <c r="E2369" t="s">
        <v>12</v>
      </c>
      <c r="F2369" t="s">
        <v>8</v>
      </c>
      <c r="G2369" t="s">
        <v>185</v>
      </c>
      <c r="H2369" s="94">
        <v>4</v>
      </c>
      <c r="I2369" t="s">
        <v>107</v>
      </c>
      <c r="J2369" t="s">
        <v>13</v>
      </c>
    </row>
    <row r="2370" spans="1:10" x14ac:dyDescent="0.25">
      <c r="A2370" t="s">
        <v>133</v>
      </c>
      <c r="B2370" t="s">
        <v>186</v>
      </c>
      <c r="C2370" s="12" t="s">
        <v>182</v>
      </c>
      <c r="D2370" t="s">
        <v>187</v>
      </c>
      <c r="E2370" t="s">
        <v>12</v>
      </c>
      <c r="F2370" t="s">
        <v>8</v>
      </c>
      <c r="G2370" t="s">
        <v>185</v>
      </c>
      <c r="H2370" s="94">
        <v>4</v>
      </c>
      <c r="I2370" t="s">
        <v>107</v>
      </c>
      <c r="J2370" t="s">
        <v>63</v>
      </c>
    </row>
    <row r="2371" spans="1:10" x14ac:dyDescent="0.25">
      <c r="A2371" t="s">
        <v>133</v>
      </c>
      <c r="B2371" t="s">
        <v>186</v>
      </c>
      <c r="C2371" s="12" t="s">
        <v>182</v>
      </c>
      <c r="D2371" t="s">
        <v>187</v>
      </c>
      <c r="E2371" t="s">
        <v>12</v>
      </c>
      <c r="F2371" t="s">
        <v>8</v>
      </c>
      <c r="G2371" t="s">
        <v>185</v>
      </c>
      <c r="H2371" s="94">
        <v>4</v>
      </c>
      <c r="I2371" t="s">
        <v>107</v>
      </c>
      <c r="J2371" t="s">
        <v>11</v>
      </c>
    </row>
    <row r="2372" spans="1:10" x14ac:dyDescent="0.25">
      <c r="A2372" t="s">
        <v>133</v>
      </c>
      <c r="B2372" t="s">
        <v>186</v>
      </c>
      <c r="C2372" s="12" t="s">
        <v>182</v>
      </c>
      <c r="D2372" t="s">
        <v>187</v>
      </c>
      <c r="E2372" t="s">
        <v>12</v>
      </c>
      <c r="F2372" t="s">
        <v>8</v>
      </c>
      <c r="G2372" t="s">
        <v>185</v>
      </c>
      <c r="H2372" s="94">
        <v>4</v>
      </c>
      <c r="I2372" t="s">
        <v>62</v>
      </c>
      <c r="J2372" t="s">
        <v>13</v>
      </c>
    </row>
    <row r="2373" spans="1:10" x14ac:dyDescent="0.25">
      <c r="A2373" t="s">
        <v>133</v>
      </c>
      <c r="B2373" t="s">
        <v>186</v>
      </c>
      <c r="C2373" s="12" t="s">
        <v>182</v>
      </c>
      <c r="D2373" t="s">
        <v>187</v>
      </c>
      <c r="E2373" t="s">
        <v>12</v>
      </c>
      <c r="F2373" t="s">
        <v>8</v>
      </c>
      <c r="G2373" t="s">
        <v>185</v>
      </c>
      <c r="H2373" s="94">
        <v>4</v>
      </c>
      <c r="I2373" t="s">
        <v>62</v>
      </c>
      <c r="J2373" t="s">
        <v>63</v>
      </c>
    </row>
    <row r="2374" spans="1:10" x14ac:dyDescent="0.25">
      <c r="A2374" t="s">
        <v>133</v>
      </c>
      <c r="B2374" t="s">
        <v>186</v>
      </c>
      <c r="C2374" s="12" t="s">
        <v>182</v>
      </c>
      <c r="D2374" t="s">
        <v>187</v>
      </c>
      <c r="E2374" t="s">
        <v>12</v>
      </c>
      <c r="F2374" t="s">
        <v>8</v>
      </c>
      <c r="G2374" t="s">
        <v>185</v>
      </c>
      <c r="H2374" s="94">
        <v>4</v>
      </c>
      <c r="I2374" t="s">
        <v>62</v>
      </c>
      <c r="J2374" t="s">
        <v>11</v>
      </c>
    </row>
    <row r="2375" spans="1:10" x14ac:dyDescent="0.25">
      <c r="A2375" t="s">
        <v>133</v>
      </c>
      <c r="B2375" t="s">
        <v>186</v>
      </c>
      <c r="C2375" s="12" t="s">
        <v>182</v>
      </c>
      <c r="D2375" t="s">
        <v>187</v>
      </c>
      <c r="E2375" t="s">
        <v>12</v>
      </c>
      <c r="F2375" t="s">
        <v>8</v>
      </c>
      <c r="G2375" t="s">
        <v>185</v>
      </c>
      <c r="H2375" s="94">
        <v>4</v>
      </c>
      <c r="I2375" t="s">
        <v>60</v>
      </c>
      <c r="J2375" t="s">
        <v>13</v>
      </c>
    </row>
    <row r="2376" spans="1:10" x14ac:dyDescent="0.25">
      <c r="A2376" t="s">
        <v>133</v>
      </c>
      <c r="B2376" t="s">
        <v>186</v>
      </c>
      <c r="C2376" s="12" t="s">
        <v>182</v>
      </c>
      <c r="D2376" t="s">
        <v>187</v>
      </c>
      <c r="E2376" t="s">
        <v>12</v>
      </c>
      <c r="F2376" t="s">
        <v>8</v>
      </c>
      <c r="G2376" t="s">
        <v>185</v>
      </c>
      <c r="H2376" s="94">
        <v>4</v>
      </c>
      <c r="I2376" t="s">
        <v>60</v>
      </c>
      <c r="J2376" t="s">
        <v>63</v>
      </c>
    </row>
    <row r="2377" spans="1:10" x14ac:dyDescent="0.25">
      <c r="A2377" t="s">
        <v>133</v>
      </c>
      <c r="B2377" t="s">
        <v>186</v>
      </c>
      <c r="C2377" s="12" t="s">
        <v>182</v>
      </c>
      <c r="D2377" t="s">
        <v>187</v>
      </c>
      <c r="E2377" t="s">
        <v>12</v>
      </c>
      <c r="F2377" t="s">
        <v>8</v>
      </c>
      <c r="G2377" t="s">
        <v>185</v>
      </c>
      <c r="H2377" s="94">
        <v>4</v>
      </c>
      <c r="I2377" t="s">
        <v>60</v>
      </c>
      <c r="J2377" t="s">
        <v>11</v>
      </c>
    </row>
    <row r="2378" spans="1:10" x14ac:dyDescent="0.25">
      <c r="A2378" t="s">
        <v>133</v>
      </c>
      <c r="B2378" t="s">
        <v>186</v>
      </c>
      <c r="C2378" s="12" t="s">
        <v>182</v>
      </c>
      <c r="D2378" t="s">
        <v>187</v>
      </c>
      <c r="E2378" t="s">
        <v>12</v>
      </c>
      <c r="F2378" t="s">
        <v>8</v>
      </c>
      <c r="G2378" t="s">
        <v>185</v>
      </c>
      <c r="H2378" s="94">
        <v>5</v>
      </c>
      <c r="I2378" t="s">
        <v>107</v>
      </c>
      <c r="J2378" t="s">
        <v>13</v>
      </c>
    </row>
    <row r="2379" spans="1:10" x14ac:dyDescent="0.25">
      <c r="A2379" t="s">
        <v>133</v>
      </c>
      <c r="B2379" t="s">
        <v>186</v>
      </c>
      <c r="C2379" s="12" t="s">
        <v>182</v>
      </c>
      <c r="D2379" t="s">
        <v>187</v>
      </c>
      <c r="E2379" t="s">
        <v>12</v>
      </c>
      <c r="F2379" t="s">
        <v>8</v>
      </c>
      <c r="G2379" t="s">
        <v>185</v>
      </c>
      <c r="H2379" s="94">
        <v>5</v>
      </c>
      <c r="I2379" t="s">
        <v>107</v>
      </c>
      <c r="J2379" t="s">
        <v>63</v>
      </c>
    </row>
    <row r="2380" spans="1:10" x14ac:dyDescent="0.25">
      <c r="A2380" t="s">
        <v>133</v>
      </c>
      <c r="B2380" t="s">
        <v>186</v>
      </c>
      <c r="C2380" s="12" t="s">
        <v>182</v>
      </c>
      <c r="D2380" t="s">
        <v>187</v>
      </c>
      <c r="E2380" t="s">
        <v>12</v>
      </c>
      <c r="F2380" t="s">
        <v>8</v>
      </c>
      <c r="G2380" t="s">
        <v>185</v>
      </c>
      <c r="H2380" s="94">
        <v>5</v>
      </c>
      <c r="I2380" t="s">
        <v>107</v>
      </c>
      <c r="J2380" t="s">
        <v>11</v>
      </c>
    </row>
    <row r="2381" spans="1:10" x14ac:dyDescent="0.25">
      <c r="A2381" t="s">
        <v>133</v>
      </c>
      <c r="B2381" t="s">
        <v>186</v>
      </c>
      <c r="C2381" s="12" t="s">
        <v>182</v>
      </c>
      <c r="D2381" t="s">
        <v>187</v>
      </c>
      <c r="E2381" t="s">
        <v>12</v>
      </c>
      <c r="F2381" t="s">
        <v>8</v>
      </c>
      <c r="G2381" t="s">
        <v>185</v>
      </c>
      <c r="H2381" s="94">
        <v>5</v>
      </c>
      <c r="I2381" t="s">
        <v>62</v>
      </c>
      <c r="J2381" t="s">
        <v>13</v>
      </c>
    </row>
    <row r="2382" spans="1:10" x14ac:dyDescent="0.25">
      <c r="A2382" t="s">
        <v>133</v>
      </c>
      <c r="B2382" t="s">
        <v>186</v>
      </c>
      <c r="C2382" s="12" t="s">
        <v>182</v>
      </c>
      <c r="D2382" t="s">
        <v>187</v>
      </c>
      <c r="E2382" t="s">
        <v>12</v>
      </c>
      <c r="F2382" t="s">
        <v>8</v>
      </c>
      <c r="G2382" t="s">
        <v>185</v>
      </c>
      <c r="H2382" s="94">
        <v>5</v>
      </c>
      <c r="I2382" t="s">
        <v>62</v>
      </c>
      <c r="J2382" t="s">
        <v>63</v>
      </c>
    </row>
    <row r="2383" spans="1:10" x14ac:dyDescent="0.25">
      <c r="A2383" t="s">
        <v>133</v>
      </c>
      <c r="B2383" t="s">
        <v>186</v>
      </c>
      <c r="C2383" s="12" t="s">
        <v>182</v>
      </c>
      <c r="D2383" t="s">
        <v>187</v>
      </c>
      <c r="E2383" t="s">
        <v>12</v>
      </c>
      <c r="F2383" t="s">
        <v>8</v>
      </c>
      <c r="G2383" t="s">
        <v>185</v>
      </c>
      <c r="H2383" s="94">
        <v>5</v>
      </c>
      <c r="I2383" t="s">
        <v>62</v>
      </c>
      <c r="J2383" t="s">
        <v>11</v>
      </c>
    </row>
    <row r="2384" spans="1:10" x14ac:dyDescent="0.25">
      <c r="A2384" t="s">
        <v>133</v>
      </c>
      <c r="B2384" t="s">
        <v>186</v>
      </c>
      <c r="C2384" s="12" t="s">
        <v>182</v>
      </c>
      <c r="D2384" t="s">
        <v>187</v>
      </c>
      <c r="E2384" t="s">
        <v>12</v>
      </c>
      <c r="F2384" t="s">
        <v>8</v>
      </c>
      <c r="G2384" t="s">
        <v>185</v>
      </c>
      <c r="H2384" s="94">
        <v>5</v>
      </c>
      <c r="I2384" t="s">
        <v>60</v>
      </c>
      <c r="J2384" t="s">
        <v>13</v>
      </c>
    </row>
    <row r="2385" spans="1:10" x14ac:dyDescent="0.25">
      <c r="A2385" t="s">
        <v>133</v>
      </c>
      <c r="B2385" t="s">
        <v>186</v>
      </c>
      <c r="C2385" s="12" t="s">
        <v>182</v>
      </c>
      <c r="D2385" t="s">
        <v>187</v>
      </c>
      <c r="E2385" t="s">
        <v>12</v>
      </c>
      <c r="F2385" t="s">
        <v>8</v>
      </c>
      <c r="G2385" t="s">
        <v>185</v>
      </c>
      <c r="H2385" s="94">
        <v>5</v>
      </c>
      <c r="I2385" t="s">
        <v>60</v>
      </c>
      <c r="J2385" t="s">
        <v>63</v>
      </c>
    </row>
    <row r="2386" spans="1:10" x14ac:dyDescent="0.25">
      <c r="A2386" t="s">
        <v>133</v>
      </c>
      <c r="B2386" t="s">
        <v>186</v>
      </c>
      <c r="C2386" s="12" t="s">
        <v>182</v>
      </c>
      <c r="D2386" t="s">
        <v>187</v>
      </c>
      <c r="E2386" t="s">
        <v>12</v>
      </c>
      <c r="F2386" t="s">
        <v>8</v>
      </c>
      <c r="G2386" t="s">
        <v>185</v>
      </c>
      <c r="H2386" s="94">
        <v>5</v>
      </c>
      <c r="I2386" t="s">
        <v>60</v>
      </c>
      <c r="J2386" t="s">
        <v>11</v>
      </c>
    </row>
    <row r="2387" spans="1:10" x14ac:dyDescent="0.25">
      <c r="A2387" t="s">
        <v>133</v>
      </c>
      <c r="B2387" t="s">
        <v>186</v>
      </c>
      <c r="C2387" s="12" t="s">
        <v>182</v>
      </c>
      <c r="D2387" t="s">
        <v>187</v>
      </c>
      <c r="E2387" t="s">
        <v>6</v>
      </c>
      <c r="F2387" t="s">
        <v>72</v>
      </c>
      <c r="G2387" t="s">
        <v>185</v>
      </c>
      <c r="H2387" s="94">
        <v>4</v>
      </c>
      <c r="I2387" t="s">
        <v>107</v>
      </c>
      <c r="J2387" t="s">
        <v>13</v>
      </c>
    </row>
    <row r="2388" spans="1:10" x14ac:dyDescent="0.25">
      <c r="A2388" t="s">
        <v>133</v>
      </c>
      <c r="B2388" t="s">
        <v>186</v>
      </c>
      <c r="C2388" s="12" t="s">
        <v>182</v>
      </c>
      <c r="D2388" t="s">
        <v>187</v>
      </c>
      <c r="E2388" t="s">
        <v>6</v>
      </c>
      <c r="F2388" t="s">
        <v>72</v>
      </c>
      <c r="G2388" t="s">
        <v>185</v>
      </c>
      <c r="H2388" s="94">
        <v>4</v>
      </c>
      <c r="I2388" t="s">
        <v>107</v>
      </c>
      <c r="J2388" t="s">
        <v>63</v>
      </c>
    </row>
    <row r="2389" spans="1:10" x14ac:dyDescent="0.25">
      <c r="A2389" t="s">
        <v>133</v>
      </c>
      <c r="B2389" t="s">
        <v>186</v>
      </c>
      <c r="C2389" s="12" t="s">
        <v>182</v>
      </c>
      <c r="D2389" t="s">
        <v>187</v>
      </c>
      <c r="E2389" t="s">
        <v>6</v>
      </c>
      <c r="F2389" t="s">
        <v>72</v>
      </c>
      <c r="G2389" t="s">
        <v>185</v>
      </c>
      <c r="H2389" s="94">
        <v>4</v>
      </c>
      <c r="I2389" t="s">
        <v>107</v>
      </c>
      <c r="J2389" t="s">
        <v>11</v>
      </c>
    </row>
    <row r="2390" spans="1:10" x14ac:dyDescent="0.25">
      <c r="A2390" t="s">
        <v>133</v>
      </c>
      <c r="B2390" t="s">
        <v>186</v>
      </c>
      <c r="C2390" s="12" t="s">
        <v>182</v>
      </c>
      <c r="D2390" t="s">
        <v>187</v>
      </c>
      <c r="E2390" t="s">
        <v>6</v>
      </c>
      <c r="F2390" t="s">
        <v>72</v>
      </c>
      <c r="G2390" t="s">
        <v>185</v>
      </c>
      <c r="H2390" s="94">
        <v>4</v>
      </c>
      <c r="I2390" t="s">
        <v>62</v>
      </c>
      <c r="J2390" t="s">
        <v>13</v>
      </c>
    </row>
    <row r="2391" spans="1:10" x14ac:dyDescent="0.25">
      <c r="A2391" t="s">
        <v>133</v>
      </c>
      <c r="B2391" t="s">
        <v>186</v>
      </c>
      <c r="C2391" s="12" t="s">
        <v>182</v>
      </c>
      <c r="D2391" t="s">
        <v>187</v>
      </c>
      <c r="E2391" t="s">
        <v>6</v>
      </c>
      <c r="F2391" t="s">
        <v>72</v>
      </c>
      <c r="G2391" t="s">
        <v>185</v>
      </c>
      <c r="H2391" s="94">
        <v>4</v>
      </c>
      <c r="I2391" t="s">
        <v>62</v>
      </c>
      <c r="J2391" t="s">
        <v>63</v>
      </c>
    </row>
    <row r="2392" spans="1:10" x14ac:dyDescent="0.25">
      <c r="A2392" t="s">
        <v>133</v>
      </c>
      <c r="B2392" t="s">
        <v>186</v>
      </c>
      <c r="C2392" s="12" t="s">
        <v>182</v>
      </c>
      <c r="D2392" t="s">
        <v>187</v>
      </c>
      <c r="E2392" t="s">
        <v>6</v>
      </c>
      <c r="F2392" t="s">
        <v>72</v>
      </c>
      <c r="G2392" t="s">
        <v>185</v>
      </c>
      <c r="H2392" s="94">
        <v>4</v>
      </c>
      <c r="I2392" t="s">
        <v>62</v>
      </c>
      <c r="J2392" t="s">
        <v>11</v>
      </c>
    </row>
    <row r="2393" spans="1:10" x14ac:dyDescent="0.25">
      <c r="A2393" t="s">
        <v>133</v>
      </c>
      <c r="B2393" t="s">
        <v>186</v>
      </c>
      <c r="C2393" s="12" t="s">
        <v>182</v>
      </c>
      <c r="D2393" t="s">
        <v>187</v>
      </c>
      <c r="E2393" t="s">
        <v>6</v>
      </c>
      <c r="F2393" t="s">
        <v>72</v>
      </c>
      <c r="G2393" t="s">
        <v>185</v>
      </c>
      <c r="H2393" s="94">
        <v>4</v>
      </c>
      <c r="I2393" t="s">
        <v>60</v>
      </c>
      <c r="J2393" t="s">
        <v>13</v>
      </c>
    </row>
    <row r="2394" spans="1:10" x14ac:dyDescent="0.25">
      <c r="A2394" t="s">
        <v>133</v>
      </c>
      <c r="B2394" t="s">
        <v>186</v>
      </c>
      <c r="C2394" s="12" t="s">
        <v>182</v>
      </c>
      <c r="D2394" t="s">
        <v>187</v>
      </c>
      <c r="E2394" t="s">
        <v>6</v>
      </c>
      <c r="F2394" t="s">
        <v>72</v>
      </c>
      <c r="G2394" t="s">
        <v>185</v>
      </c>
      <c r="H2394" s="94">
        <v>4</v>
      </c>
      <c r="I2394" t="s">
        <v>60</v>
      </c>
      <c r="J2394" t="s">
        <v>63</v>
      </c>
    </row>
    <row r="2395" spans="1:10" x14ac:dyDescent="0.25">
      <c r="A2395" t="s">
        <v>133</v>
      </c>
      <c r="B2395" t="s">
        <v>186</v>
      </c>
      <c r="C2395" s="12" t="s">
        <v>182</v>
      </c>
      <c r="D2395" t="s">
        <v>187</v>
      </c>
      <c r="E2395" t="s">
        <v>6</v>
      </c>
      <c r="F2395" t="s">
        <v>72</v>
      </c>
      <c r="G2395" t="s">
        <v>185</v>
      </c>
      <c r="H2395" s="94">
        <v>4</v>
      </c>
      <c r="I2395" t="s">
        <v>60</v>
      </c>
      <c r="J2395" t="s">
        <v>11</v>
      </c>
    </row>
    <row r="2396" spans="1:10" x14ac:dyDescent="0.25">
      <c r="A2396" t="s">
        <v>133</v>
      </c>
      <c r="B2396" t="s">
        <v>186</v>
      </c>
      <c r="C2396" s="12" t="s">
        <v>182</v>
      </c>
      <c r="D2396" t="s">
        <v>187</v>
      </c>
      <c r="E2396" t="s">
        <v>6</v>
      </c>
      <c r="F2396" t="s">
        <v>72</v>
      </c>
      <c r="G2396" t="s">
        <v>185</v>
      </c>
      <c r="H2396" s="94">
        <v>5</v>
      </c>
      <c r="I2396" t="s">
        <v>107</v>
      </c>
      <c r="J2396" t="s">
        <v>13</v>
      </c>
    </row>
    <row r="2397" spans="1:10" x14ac:dyDescent="0.25">
      <c r="A2397" t="s">
        <v>133</v>
      </c>
      <c r="B2397" t="s">
        <v>186</v>
      </c>
      <c r="C2397" s="12" t="s">
        <v>182</v>
      </c>
      <c r="D2397" t="s">
        <v>187</v>
      </c>
      <c r="E2397" t="s">
        <v>6</v>
      </c>
      <c r="F2397" t="s">
        <v>72</v>
      </c>
      <c r="G2397" t="s">
        <v>185</v>
      </c>
      <c r="H2397" s="94">
        <v>5</v>
      </c>
      <c r="I2397" t="s">
        <v>107</v>
      </c>
      <c r="J2397" t="s">
        <v>63</v>
      </c>
    </row>
    <row r="2398" spans="1:10" x14ac:dyDescent="0.25">
      <c r="A2398" t="s">
        <v>133</v>
      </c>
      <c r="B2398" t="s">
        <v>186</v>
      </c>
      <c r="C2398" s="12" t="s">
        <v>182</v>
      </c>
      <c r="D2398" t="s">
        <v>187</v>
      </c>
      <c r="E2398" t="s">
        <v>6</v>
      </c>
      <c r="F2398" t="s">
        <v>72</v>
      </c>
      <c r="G2398" t="s">
        <v>185</v>
      </c>
      <c r="H2398" s="94">
        <v>5</v>
      </c>
      <c r="I2398" t="s">
        <v>107</v>
      </c>
      <c r="J2398" t="s">
        <v>11</v>
      </c>
    </row>
    <row r="2399" spans="1:10" x14ac:dyDescent="0.25">
      <c r="A2399" t="s">
        <v>133</v>
      </c>
      <c r="B2399" t="s">
        <v>186</v>
      </c>
      <c r="C2399" s="12" t="s">
        <v>182</v>
      </c>
      <c r="D2399" t="s">
        <v>187</v>
      </c>
      <c r="E2399" t="s">
        <v>6</v>
      </c>
      <c r="F2399" t="s">
        <v>72</v>
      </c>
      <c r="G2399" t="s">
        <v>185</v>
      </c>
      <c r="H2399" s="94">
        <v>5</v>
      </c>
      <c r="I2399" t="s">
        <v>62</v>
      </c>
      <c r="J2399" t="s">
        <v>13</v>
      </c>
    </row>
    <row r="2400" spans="1:10" x14ac:dyDescent="0.25">
      <c r="A2400" t="s">
        <v>133</v>
      </c>
      <c r="B2400" t="s">
        <v>186</v>
      </c>
      <c r="C2400" s="12" t="s">
        <v>182</v>
      </c>
      <c r="D2400" t="s">
        <v>187</v>
      </c>
      <c r="E2400" t="s">
        <v>6</v>
      </c>
      <c r="F2400" t="s">
        <v>72</v>
      </c>
      <c r="G2400" t="s">
        <v>185</v>
      </c>
      <c r="H2400" s="94">
        <v>5</v>
      </c>
      <c r="I2400" t="s">
        <v>62</v>
      </c>
      <c r="J2400" t="s">
        <v>63</v>
      </c>
    </row>
    <row r="2401" spans="1:10" x14ac:dyDescent="0.25">
      <c r="A2401" t="s">
        <v>133</v>
      </c>
      <c r="B2401" t="s">
        <v>186</v>
      </c>
      <c r="C2401" s="12" t="s">
        <v>182</v>
      </c>
      <c r="D2401" t="s">
        <v>187</v>
      </c>
      <c r="E2401" t="s">
        <v>6</v>
      </c>
      <c r="F2401" t="s">
        <v>72</v>
      </c>
      <c r="G2401" t="s">
        <v>185</v>
      </c>
      <c r="H2401" s="94">
        <v>5</v>
      </c>
      <c r="I2401" t="s">
        <v>62</v>
      </c>
      <c r="J2401" t="s">
        <v>11</v>
      </c>
    </row>
    <row r="2402" spans="1:10" x14ac:dyDescent="0.25">
      <c r="A2402" t="s">
        <v>133</v>
      </c>
      <c r="B2402" t="s">
        <v>186</v>
      </c>
      <c r="C2402" s="12" t="s">
        <v>182</v>
      </c>
      <c r="D2402" t="s">
        <v>187</v>
      </c>
      <c r="E2402" t="s">
        <v>6</v>
      </c>
      <c r="F2402" t="s">
        <v>72</v>
      </c>
      <c r="G2402" t="s">
        <v>185</v>
      </c>
      <c r="H2402" s="94">
        <v>5</v>
      </c>
      <c r="I2402" t="s">
        <v>60</v>
      </c>
      <c r="J2402" t="s">
        <v>13</v>
      </c>
    </row>
    <row r="2403" spans="1:10" x14ac:dyDescent="0.25">
      <c r="A2403" t="s">
        <v>133</v>
      </c>
      <c r="B2403" t="s">
        <v>186</v>
      </c>
      <c r="C2403" s="12" t="s">
        <v>182</v>
      </c>
      <c r="D2403" t="s">
        <v>187</v>
      </c>
      <c r="E2403" t="s">
        <v>6</v>
      </c>
      <c r="F2403" t="s">
        <v>72</v>
      </c>
      <c r="G2403" t="s">
        <v>185</v>
      </c>
      <c r="H2403" s="94">
        <v>5</v>
      </c>
      <c r="I2403" t="s">
        <v>60</v>
      </c>
      <c r="J2403" t="s">
        <v>63</v>
      </c>
    </row>
    <row r="2404" spans="1:10" x14ac:dyDescent="0.25">
      <c r="A2404" t="s">
        <v>133</v>
      </c>
      <c r="B2404" t="s">
        <v>186</v>
      </c>
      <c r="C2404" s="12" t="s">
        <v>182</v>
      </c>
      <c r="D2404" t="s">
        <v>187</v>
      </c>
      <c r="E2404" t="s">
        <v>6</v>
      </c>
      <c r="F2404" t="s">
        <v>72</v>
      </c>
      <c r="G2404" t="s">
        <v>185</v>
      </c>
      <c r="H2404" s="94">
        <v>5</v>
      </c>
      <c r="I2404" t="s">
        <v>60</v>
      </c>
      <c r="J2404" t="s">
        <v>11</v>
      </c>
    </row>
    <row r="2405" spans="1:10" x14ac:dyDescent="0.25">
      <c r="A2405" t="s">
        <v>133</v>
      </c>
      <c r="B2405" t="s">
        <v>186</v>
      </c>
      <c r="C2405" s="12" t="s">
        <v>182</v>
      </c>
      <c r="D2405" t="s">
        <v>187</v>
      </c>
      <c r="E2405" t="s">
        <v>6</v>
      </c>
      <c r="F2405" t="s">
        <v>16</v>
      </c>
      <c r="G2405" t="s">
        <v>185</v>
      </c>
      <c r="H2405" s="94">
        <v>4</v>
      </c>
      <c r="I2405" t="s">
        <v>107</v>
      </c>
      <c r="J2405" t="s">
        <v>13</v>
      </c>
    </row>
    <row r="2406" spans="1:10" x14ac:dyDescent="0.25">
      <c r="A2406" t="s">
        <v>133</v>
      </c>
      <c r="B2406" t="s">
        <v>186</v>
      </c>
      <c r="C2406" s="12" t="s">
        <v>182</v>
      </c>
      <c r="D2406" t="s">
        <v>187</v>
      </c>
      <c r="E2406" t="s">
        <v>6</v>
      </c>
      <c r="F2406" t="s">
        <v>16</v>
      </c>
      <c r="G2406" t="s">
        <v>185</v>
      </c>
      <c r="H2406" s="94">
        <v>4</v>
      </c>
      <c r="I2406" t="s">
        <v>107</v>
      </c>
      <c r="J2406" t="s">
        <v>63</v>
      </c>
    </row>
    <row r="2407" spans="1:10" x14ac:dyDescent="0.25">
      <c r="A2407" t="s">
        <v>133</v>
      </c>
      <c r="B2407" t="s">
        <v>186</v>
      </c>
      <c r="C2407" s="12" t="s">
        <v>182</v>
      </c>
      <c r="D2407" t="s">
        <v>187</v>
      </c>
      <c r="E2407" t="s">
        <v>6</v>
      </c>
      <c r="F2407" t="s">
        <v>16</v>
      </c>
      <c r="G2407" t="s">
        <v>185</v>
      </c>
      <c r="H2407" s="94">
        <v>4</v>
      </c>
      <c r="I2407" t="s">
        <v>107</v>
      </c>
      <c r="J2407" t="s">
        <v>11</v>
      </c>
    </row>
    <row r="2408" spans="1:10" x14ac:dyDescent="0.25">
      <c r="A2408" t="s">
        <v>133</v>
      </c>
      <c r="B2408" t="s">
        <v>186</v>
      </c>
      <c r="C2408" s="12" t="s">
        <v>182</v>
      </c>
      <c r="D2408" t="s">
        <v>187</v>
      </c>
      <c r="E2408" t="s">
        <v>6</v>
      </c>
      <c r="F2408" t="s">
        <v>16</v>
      </c>
      <c r="G2408" t="s">
        <v>185</v>
      </c>
      <c r="H2408" s="94">
        <v>4</v>
      </c>
      <c r="I2408" t="s">
        <v>62</v>
      </c>
      <c r="J2408" t="s">
        <v>13</v>
      </c>
    </row>
    <row r="2409" spans="1:10" x14ac:dyDescent="0.25">
      <c r="A2409" t="s">
        <v>133</v>
      </c>
      <c r="B2409" t="s">
        <v>186</v>
      </c>
      <c r="C2409" s="12" t="s">
        <v>182</v>
      </c>
      <c r="D2409" t="s">
        <v>187</v>
      </c>
      <c r="E2409" t="s">
        <v>6</v>
      </c>
      <c r="F2409" t="s">
        <v>16</v>
      </c>
      <c r="G2409" t="s">
        <v>185</v>
      </c>
      <c r="H2409" s="94">
        <v>4</v>
      </c>
      <c r="I2409" t="s">
        <v>62</v>
      </c>
      <c r="J2409" t="s">
        <v>63</v>
      </c>
    </row>
    <row r="2410" spans="1:10" x14ac:dyDescent="0.25">
      <c r="A2410" t="s">
        <v>133</v>
      </c>
      <c r="B2410" t="s">
        <v>186</v>
      </c>
      <c r="C2410" s="12" t="s">
        <v>182</v>
      </c>
      <c r="D2410" t="s">
        <v>187</v>
      </c>
      <c r="E2410" t="s">
        <v>6</v>
      </c>
      <c r="F2410" t="s">
        <v>16</v>
      </c>
      <c r="G2410" t="s">
        <v>185</v>
      </c>
      <c r="H2410" s="94">
        <v>4</v>
      </c>
      <c r="I2410" t="s">
        <v>62</v>
      </c>
      <c r="J2410" t="s">
        <v>11</v>
      </c>
    </row>
    <row r="2411" spans="1:10" x14ac:dyDescent="0.25">
      <c r="A2411" t="s">
        <v>133</v>
      </c>
      <c r="B2411" t="s">
        <v>186</v>
      </c>
      <c r="C2411" s="12" t="s">
        <v>182</v>
      </c>
      <c r="D2411" t="s">
        <v>187</v>
      </c>
      <c r="E2411" t="s">
        <v>6</v>
      </c>
      <c r="F2411" t="s">
        <v>16</v>
      </c>
      <c r="G2411" t="s">
        <v>185</v>
      </c>
      <c r="H2411" s="94">
        <v>4</v>
      </c>
      <c r="I2411" t="s">
        <v>60</v>
      </c>
      <c r="J2411" t="s">
        <v>13</v>
      </c>
    </row>
    <row r="2412" spans="1:10" x14ac:dyDescent="0.25">
      <c r="A2412" t="s">
        <v>133</v>
      </c>
      <c r="B2412" t="s">
        <v>186</v>
      </c>
      <c r="C2412" s="12" t="s">
        <v>182</v>
      </c>
      <c r="D2412" t="s">
        <v>187</v>
      </c>
      <c r="E2412" t="s">
        <v>6</v>
      </c>
      <c r="F2412" t="s">
        <v>16</v>
      </c>
      <c r="G2412" t="s">
        <v>185</v>
      </c>
      <c r="H2412" s="94">
        <v>4</v>
      </c>
      <c r="I2412" t="s">
        <v>60</v>
      </c>
      <c r="J2412" t="s">
        <v>63</v>
      </c>
    </row>
    <row r="2413" spans="1:10" x14ac:dyDescent="0.25">
      <c r="A2413" t="s">
        <v>133</v>
      </c>
      <c r="B2413" t="s">
        <v>186</v>
      </c>
      <c r="C2413" s="12" t="s">
        <v>182</v>
      </c>
      <c r="D2413" t="s">
        <v>187</v>
      </c>
      <c r="E2413" t="s">
        <v>6</v>
      </c>
      <c r="F2413" t="s">
        <v>16</v>
      </c>
      <c r="G2413" t="s">
        <v>185</v>
      </c>
      <c r="H2413" s="94">
        <v>4</v>
      </c>
      <c r="I2413" t="s">
        <v>60</v>
      </c>
      <c r="J2413" t="s">
        <v>11</v>
      </c>
    </row>
    <row r="2414" spans="1:10" x14ac:dyDescent="0.25">
      <c r="A2414" t="s">
        <v>133</v>
      </c>
      <c r="B2414" t="s">
        <v>186</v>
      </c>
      <c r="C2414" s="12" t="s">
        <v>182</v>
      </c>
      <c r="D2414" t="s">
        <v>187</v>
      </c>
      <c r="E2414" t="s">
        <v>6</v>
      </c>
      <c r="F2414" t="s">
        <v>16</v>
      </c>
      <c r="G2414" t="s">
        <v>185</v>
      </c>
      <c r="H2414" s="94">
        <v>5</v>
      </c>
      <c r="I2414" t="s">
        <v>107</v>
      </c>
      <c r="J2414" t="s">
        <v>13</v>
      </c>
    </row>
    <row r="2415" spans="1:10" x14ac:dyDescent="0.25">
      <c r="A2415" t="s">
        <v>133</v>
      </c>
      <c r="B2415" t="s">
        <v>186</v>
      </c>
      <c r="C2415" s="12" t="s">
        <v>182</v>
      </c>
      <c r="D2415" t="s">
        <v>187</v>
      </c>
      <c r="E2415" t="s">
        <v>6</v>
      </c>
      <c r="F2415" t="s">
        <v>16</v>
      </c>
      <c r="G2415" t="s">
        <v>185</v>
      </c>
      <c r="H2415" s="94">
        <v>5</v>
      </c>
      <c r="I2415" t="s">
        <v>107</v>
      </c>
      <c r="J2415" t="s">
        <v>63</v>
      </c>
    </row>
    <row r="2416" spans="1:10" x14ac:dyDescent="0.25">
      <c r="A2416" t="s">
        <v>133</v>
      </c>
      <c r="B2416" t="s">
        <v>186</v>
      </c>
      <c r="C2416" s="12" t="s">
        <v>182</v>
      </c>
      <c r="D2416" t="s">
        <v>187</v>
      </c>
      <c r="E2416" t="s">
        <v>6</v>
      </c>
      <c r="F2416" t="s">
        <v>16</v>
      </c>
      <c r="G2416" t="s">
        <v>185</v>
      </c>
      <c r="H2416" s="94">
        <v>5</v>
      </c>
      <c r="I2416" t="s">
        <v>107</v>
      </c>
      <c r="J2416" t="s">
        <v>11</v>
      </c>
    </row>
    <row r="2417" spans="1:10" x14ac:dyDescent="0.25">
      <c r="A2417" t="s">
        <v>133</v>
      </c>
      <c r="B2417" t="s">
        <v>186</v>
      </c>
      <c r="C2417" s="12" t="s">
        <v>182</v>
      </c>
      <c r="D2417" t="s">
        <v>187</v>
      </c>
      <c r="E2417" t="s">
        <v>6</v>
      </c>
      <c r="F2417" t="s">
        <v>16</v>
      </c>
      <c r="G2417" t="s">
        <v>185</v>
      </c>
      <c r="H2417" s="94">
        <v>5</v>
      </c>
      <c r="I2417" t="s">
        <v>62</v>
      </c>
      <c r="J2417" t="s">
        <v>13</v>
      </c>
    </row>
    <row r="2418" spans="1:10" x14ac:dyDescent="0.25">
      <c r="A2418" t="s">
        <v>133</v>
      </c>
      <c r="B2418" t="s">
        <v>186</v>
      </c>
      <c r="C2418" s="12" t="s">
        <v>182</v>
      </c>
      <c r="D2418" t="s">
        <v>187</v>
      </c>
      <c r="E2418" t="s">
        <v>6</v>
      </c>
      <c r="F2418" t="s">
        <v>16</v>
      </c>
      <c r="G2418" t="s">
        <v>185</v>
      </c>
      <c r="H2418" s="94">
        <v>5</v>
      </c>
      <c r="I2418" t="s">
        <v>62</v>
      </c>
      <c r="J2418" t="s">
        <v>63</v>
      </c>
    </row>
    <row r="2419" spans="1:10" x14ac:dyDescent="0.25">
      <c r="A2419" t="s">
        <v>133</v>
      </c>
      <c r="B2419" t="s">
        <v>186</v>
      </c>
      <c r="C2419" s="12" t="s">
        <v>182</v>
      </c>
      <c r="D2419" t="s">
        <v>187</v>
      </c>
      <c r="E2419" t="s">
        <v>6</v>
      </c>
      <c r="F2419" t="s">
        <v>16</v>
      </c>
      <c r="G2419" t="s">
        <v>185</v>
      </c>
      <c r="H2419" s="94">
        <v>5</v>
      </c>
      <c r="I2419" t="s">
        <v>62</v>
      </c>
      <c r="J2419" t="s">
        <v>11</v>
      </c>
    </row>
    <row r="2420" spans="1:10" x14ac:dyDescent="0.25">
      <c r="A2420" t="s">
        <v>133</v>
      </c>
      <c r="B2420" t="s">
        <v>186</v>
      </c>
      <c r="C2420" s="12" t="s">
        <v>182</v>
      </c>
      <c r="D2420" t="s">
        <v>187</v>
      </c>
      <c r="E2420" t="s">
        <v>6</v>
      </c>
      <c r="F2420" t="s">
        <v>16</v>
      </c>
      <c r="G2420" t="s">
        <v>185</v>
      </c>
      <c r="H2420" s="94">
        <v>5</v>
      </c>
      <c r="I2420" t="s">
        <v>60</v>
      </c>
      <c r="J2420" t="s">
        <v>13</v>
      </c>
    </row>
    <row r="2421" spans="1:10" x14ac:dyDescent="0.25">
      <c r="A2421" t="s">
        <v>133</v>
      </c>
      <c r="B2421" t="s">
        <v>186</v>
      </c>
      <c r="C2421" s="12" t="s">
        <v>182</v>
      </c>
      <c r="D2421" t="s">
        <v>187</v>
      </c>
      <c r="E2421" t="s">
        <v>6</v>
      </c>
      <c r="F2421" t="s">
        <v>16</v>
      </c>
      <c r="G2421" t="s">
        <v>185</v>
      </c>
      <c r="H2421" s="94">
        <v>5</v>
      </c>
      <c r="I2421" t="s">
        <v>60</v>
      </c>
      <c r="J2421" t="s">
        <v>63</v>
      </c>
    </row>
    <row r="2422" spans="1:10" x14ac:dyDescent="0.25">
      <c r="A2422" t="s">
        <v>133</v>
      </c>
      <c r="B2422" t="s">
        <v>186</v>
      </c>
      <c r="C2422" s="12" t="s">
        <v>182</v>
      </c>
      <c r="D2422" t="s">
        <v>187</v>
      </c>
      <c r="E2422" t="s">
        <v>6</v>
      </c>
      <c r="F2422" t="s">
        <v>16</v>
      </c>
      <c r="G2422" t="s">
        <v>185</v>
      </c>
      <c r="H2422" s="94">
        <v>5</v>
      </c>
      <c r="I2422" t="s">
        <v>60</v>
      </c>
      <c r="J2422" t="s">
        <v>11</v>
      </c>
    </row>
    <row r="2423" spans="1:10" x14ac:dyDescent="0.25">
      <c r="A2423" t="s">
        <v>133</v>
      </c>
      <c r="B2423" t="s">
        <v>186</v>
      </c>
      <c r="C2423" s="12" t="s">
        <v>182</v>
      </c>
      <c r="D2423" t="s">
        <v>187</v>
      </c>
      <c r="E2423" t="s">
        <v>6</v>
      </c>
      <c r="F2423" t="s">
        <v>8</v>
      </c>
      <c r="G2423" t="s">
        <v>185</v>
      </c>
      <c r="H2423" s="94">
        <v>4</v>
      </c>
      <c r="I2423" t="s">
        <v>107</v>
      </c>
      <c r="J2423" t="s">
        <v>13</v>
      </c>
    </row>
    <row r="2424" spans="1:10" x14ac:dyDescent="0.25">
      <c r="A2424" t="s">
        <v>133</v>
      </c>
      <c r="B2424" t="s">
        <v>186</v>
      </c>
      <c r="C2424" s="12" t="s">
        <v>182</v>
      </c>
      <c r="D2424" t="s">
        <v>187</v>
      </c>
      <c r="E2424" t="s">
        <v>6</v>
      </c>
      <c r="F2424" t="s">
        <v>8</v>
      </c>
      <c r="G2424" t="s">
        <v>185</v>
      </c>
      <c r="H2424" s="94">
        <v>4</v>
      </c>
      <c r="I2424" t="s">
        <v>107</v>
      </c>
      <c r="J2424" t="s">
        <v>63</v>
      </c>
    </row>
    <row r="2425" spans="1:10" x14ac:dyDescent="0.25">
      <c r="A2425" t="s">
        <v>133</v>
      </c>
      <c r="B2425" t="s">
        <v>186</v>
      </c>
      <c r="C2425" s="12" t="s">
        <v>182</v>
      </c>
      <c r="D2425" t="s">
        <v>187</v>
      </c>
      <c r="E2425" t="s">
        <v>6</v>
      </c>
      <c r="F2425" t="s">
        <v>8</v>
      </c>
      <c r="G2425" t="s">
        <v>185</v>
      </c>
      <c r="H2425" s="94">
        <v>4</v>
      </c>
      <c r="I2425" t="s">
        <v>107</v>
      </c>
      <c r="J2425" t="s">
        <v>11</v>
      </c>
    </row>
    <row r="2426" spans="1:10" x14ac:dyDescent="0.25">
      <c r="A2426" t="s">
        <v>133</v>
      </c>
      <c r="B2426" t="s">
        <v>186</v>
      </c>
      <c r="C2426" s="12" t="s">
        <v>182</v>
      </c>
      <c r="D2426" t="s">
        <v>187</v>
      </c>
      <c r="E2426" t="s">
        <v>6</v>
      </c>
      <c r="F2426" t="s">
        <v>8</v>
      </c>
      <c r="G2426" t="s">
        <v>185</v>
      </c>
      <c r="H2426" s="94">
        <v>4</v>
      </c>
      <c r="I2426" t="s">
        <v>62</v>
      </c>
      <c r="J2426" t="s">
        <v>13</v>
      </c>
    </row>
    <row r="2427" spans="1:10" x14ac:dyDescent="0.25">
      <c r="A2427" t="s">
        <v>133</v>
      </c>
      <c r="B2427" t="s">
        <v>186</v>
      </c>
      <c r="C2427" s="12" t="s">
        <v>182</v>
      </c>
      <c r="D2427" t="s">
        <v>187</v>
      </c>
      <c r="E2427" t="s">
        <v>6</v>
      </c>
      <c r="F2427" t="s">
        <v>8</v>
      </c>
      <c r="G2427" t="s">
        <v>185</v>
      </c>
      <c r="H2427" s="94">
        <v>4</v>
      </c>
      <c r="I2427" t="s">
        <v>62</v>
      </c>
      <c r="J2427" t="s">
        <v>63</v>
      </c>
    </row>
    <row r="2428" spans="1:10" x14ac:dyDescent="0.25">
      <c r="A2428" t="s">
        <v>133</v>
      </c>
      <c r="B2428" t="s">
        <v>186</v>
      </c>
      <c r="C2428" s="12" t="s">
        <v>182</v>
      </c>
      <c r="D2428" t="s">
        <v>187</v>
      </c>
      <c r="E2428" t="s">
        <v>6</v>
      </c>
      <c r="F2428" t="s">
        <v>8</v>
      </c>
      <c r="G2428" t="s">
        <v>185</v>
      </c>
      <c r="H2428" s="94">
        <v>4</v>
      </c>
      <c r="I2428" t="s">
        <v>62</v>
      </c>
      <c r="J2428" t="s">
        <v>11</v>
      </c>
    </row>
    <row r="2429" spans="1:10" x14ac:dyDescent="0.25">
      <c r="A2429" t="s">
        <v>133</v>
      </c>
      <c r="B2429" t="s">
        <v>186</v>
      </c>
      <c r="C2429" s="12" t="s">
        <v>182</v>
      </c>
      <c r="D2429" t="s">
        <v>187</v>
      </c>
      <c r="E2429" t="s">
        <v>6</v>
      </c>
      <c r="F2429" t="s">
        <v>8</v>
      </c>
      <c r="G2429" t="s">
        <v>185</v>
      </c>
      <c r="H2429" s="94">
        <v>4</v>
      </c>
      <c r="I2429" t="s">
        <v>60</v>
      </c>
      <c r="J2429" t="s">
        <v>13</v>
      </c>
    </row>
    <row r="2430" spans="1:10" x14ac:dyDescent="0.25">
      <c r="A2430" t="s">
        <v>133</v>
      </c>
      <c r="B2430" t="s">
        <v>186</v>
      </c>
      <c r="C2430" s="12" t="s">
        <v>182</v>
      </c>
      <c r="D2430" t="s">
        <v>187</v>
      </c>
      <c r="E2430" t="s">
        <v>6</v>
      </c>
      <c r="F2430" t="s">
        <v>8</v>
      </c>
      <c r="G2430" t="s">
        <v>185</v>
      </c>
      <c r="H2430" s="94">
        <v>4</v>
      </c>
      <c r="I2430" t="s">
        <v>60</v>
      </c>
      <c r="J2430" t="s">
        <v>63</v>
      </c>
    </row>
    <row r="2431" spans="1:10" x14ac:dyDescent="0.25">
      <c r="A2431" t="s">
        <v>133</v>
      </c>
      <c r="B2431" t="s">
        <v>186</v>
      </c>
      <c r="C2431" s="12" t="s">
        <v>182</v>
      </c>
      <c r="D2431" t="s">
        <v>187</v>
      </c>
      <c r="E2431" t="s">
        <v>6</v>
      </c>
      <c r="F2431" t="s">
        <v>8</v>
      </c>
      <c r="G2431" t="s">
        <v>185</v>
      </c>
      <c r="H2431" s="94">
        <v>4</v>
      </c>
      <c r="I2431" t="s">
        <v>60</v>
      </c>
      <c r="J2431" t="s">
        <v>11</v>
      </c>
    </row>
    <row r="2432" spans="1:10" x14ac:dyDescent="0.25">
      <c r="A2432" t="s">
        <v>133</v>
      </c>
      <c r="B2432" t="s">
        <v>186</v>
      </c>
      <c r="C2432" s="12" t="s">
        <v>182</v>
      </c>
      <c r="D2432" t="s">
        <v>187</v>
      </c>
      <c r="E2432" t="s">
        <v>6</v>
      </c>
      <c r="F2432" t="s">
        <v>8</v>
      </c>
      <c r="G2432" t="s">
        <v>185</v>
      </c>
      <c r="H2432" s="94">
        <v>5</v>
      </c>
      <c r="I2432" t="s">
        <v>107</v>
      </c>
      <c r="J2432" t="s">
        <v>13</v>
      </c>
    </row>
    <row r="2433" spans="1:11" x14ac:dyDescent="0.25">
      <c r="A2433" t="s">
        <v>133</v>
      </c>
      <c r="B2433" t="s">
        <v>186</v>
      </c>
      <c r="C2433" s="12" t="s">
        <v>182</v>
      </c>
      <c r="D2433" t="s">
        <v>187</v>
      </c>
      <c r="E2433" t="s">
        <v>6</v>
      </c>
      <c r="F2433" t="s">
        <v>8</v>
      </c>
      <c r="G2433" t="s">
        <v>185</v>
      </c>
      <c r="H2433" s="94">
        <v>5</v>
      </c>
      <c r="I2433" t="s">
        <v>107</v>
      </c>
      <c r="J2433" t="s">
        <v>63</v>
      </c>
    </row>
    <row r="2434" spans="1:11" x14ac:dyDescent="0.25">
      <c r="A2434" t="s">
        <v>133</v>
      </c>
      <c r="B2434" t="s">
        <v>186</v>
      </c>
      <c r="C2434" s="12" t="s">
        <v>182</v>
      </c>
      <c r="D2434" t="s">
        <v>187</v>
      </c>
      <c r="E2434" t="s">
        <v>6</v>
      </c>
      <c r="F2434" t="s">
        <v>8</v>
      </c>
      <c r="G2434" t="s">
        <v>185</v>
      </c>
      <c r="H2434" s="94">
        <v>5</v>
      </c>
      <c r="I2434" t="s">
        <v>107</v>
      </c>
      <c r="J2434" t="s">
        <v>11</v>
      </c>
    </row>
    <row r="2435" spans="1:11" x14ac:dyDescent="0.25">
      <c r="A2435" t="s">
        <v>133</v>
      </c>
      <c r="B2435" t="s">
        <v>186</v>
      </c>
      <c r="C2435" s="12" t="s">
        <v>182</v>
      </c>
      <c r="D2435" t="s">
        <v>187</v>
      </c>
      <c r="E2435" t="s">
        <v>6</v>
      </c>
      <c r="F2435" t="s">
        <v>8</v>
      </c>
      <c r="G2435" t="s">
        <v>185</v>
      </c>
      <c r="H2435" s="94">
        <v>5</v>
      </c>
      <c r="I2435" t="s">
        <v>62</v>
      </c>
      <c r="J2435" t="s">
        <v>13</v>
      </c>
    </row>
    <row r="2436" spans="1:11" x14ac:dyDescent="0.25">
      <c r="A2436" t="s">
        <v>133</v>
      </c>
      <c r="B2436" t="s">
        <v>186</v>
      </c>
      <c r="C2436" s="12" t="s">
        <v>182</v>
      </c>
      <c r="D2436" t="s">
        <v>187</v>
      </c>
      <c r="E2436" t="s">
        <v>6</v>
      </c>
      <c r="F2436" t="s">
        <v>8</v>
      </c>
      <c r="G2436" t="s">
        <v>185</v>
      </c>
      <c r="H2436" s="94">
        <v>5</v>
      </c>
      <c r="I2436" t="s">
        <v>62</v>
      </c>
      <c r="J2436" t="s">
        <v>63</v>
      </c>
    </row>
    <row r="2437" spans="1:11" x14ac:dyDescent="0.25">
      <c r="A2437" t="s">
        <v>133</v>
      </c>
      <c r="B2437" t="s">
        <v>186</v>
      </c>
      <c r="C2437" s="12" t="s">
        <v>182</v>
      </c>
      <c r="D2437" t="s">
        <v>187</v>
      </c>
      <c r="E2437" t="s">
        <v>6</v>
      </c>
      <c r="F2437" t="s">
        <v>8</v>
      </c>
      <c r="G2437" t="s">
        <v>185</v>
      </c>
      <c r="H2437" s="94">
        <v>5</v>
      </c>
      <c r="I2437" t="s">
        <v>62</v>
      </c>
      <c r="J2437" t="s">
        <v>11</v>
      </c>
    </row>
    <row r="2438" spans="1:11" x14ac:dyDescent="0.25">
      <c r="A2438" t="s">
        <v>133</v>
      </c>
      <c r="B2438" t="s">
        <v>186</v>
      </c>
      <c r="C2438" s="12" t="s">
        <v>182</v>
      </c>
      <c r="D2438" t="s">
        <v>187</v>
      </c>
      <c r="E2438" t="s">
        <v>6</v>
      </c>
      <c r="F2438" t="s">
        <v>8</v>
      </c>
      <c r="G2438" t="s">
        <v>185</v>
      </c>
      <c r="H2438" s="94">
        <v>5</v>
      </c>
      <c r="I2438" t="s">
        <v>60</v>
      </c>
      <c r="J2438" t="s">
        <v>13</v>
      </c>
    </row>
    <row r="2439" spans="1:11" x14ac:dyDescent="0.25">
      <c r="A2439" t="s">
        <v>133</v>
      </c>
      <c r="B2439" t="s">
        <v>186</v>
      </c>
      <c r="C2439" s="12" t="s">
        <v>182</v>
      </c>
      <c r="D2439" t="s">
        <v>187</v>
      </c>
      <c r="E2439" t="s">
        <v>6</v>
      </c>
      <c r="F2439" t="s">
        <v>8</v>
      </c>
      <c r="G2439" t="s">
        <v>185</v>
      </c>
      <c r="H2439" s="94">
        <v>5</v>
      </c>
      <c r="I2439" t="s">
        <v>60</v>
      </c>
      <c r="J2439" t="s">
        <v>63</v>
      </c>
    </row>
    <row r="2440" spans="1:11" x14ac:dyDescent="0.25">
      <c r="A2440" t="s">
        <v>133</v>
      </c>
      <c r="B2440" t="s">
        <v>186</v>
      </c>
      <c r="C2440" s="12" t="s">
        <v>182</v>
      </c>
      <c r="D2440" t="s">
        <v>187</v>
      </c>
      <c r="E2440" t="s">
        <v>6</v>
      </c>
      <c r="F2440" t="s">
        <v>8</v>
      </c>
      <c r="G2440" t="s">
        <v>185</v>
      </c>
      <c r="H2440" s="94">
        <v>5</v>
      </c>
      <c r="I2440" t="s">
        <v>60</v>
      </c>
      <c r="J2440" t="s">
        <v>11</v>
      </c>
    </row>
    <row r="2441" spans="1:11" x14ac:dyDescent="0.25">
      <c r="A2441" t="s">
        <v>135</v>
      </c>
      <c r="B2441" t="s">
        <v>168</v>
      </c>
      <c r="C2441" s="12" t="s">
        <v>182</v>
      </c>
      <c r="D2441" t="s">
        <v>187</v>
      </c>
      <c r="E2441" t="s">
        <v>12</v>
      </c>
      <c r="F2441" t="s">
        <v>72</v>
      </c>
      <c r="G2441" t="s">
        <v>188</v>
      </c>
      <c r="H2441" s="94">
        <v>0.34</v>
      </c>
      <c r="I2441" t="s">
        <v>107</v>
      </c>
      <c r="J2441" t="s">
        <v>13</v>
      </c>
      <c r="K2441" t="s">
        <v>189</v>
      </c>
    </row>
    <row r="2442" spans="1:11" x14ac:dyDescent="0.25">
      <c r="A2442" t="s">
        <v>135</v>
      </c>
      <c r="B2442" t="s">
        <v>168</v>
      </c>
      <c r="C2442" s="12" t="s">
        <v>182</v>
      </c>
      <c r="D2442" t="s">
        <v>187</v>
      </c>
      <c r="E2442" t="s">
        <v>12</v>
      </c>
      <c r="F2442" t="s">
        <v>72</v>
      </c>
      <c r="G2442" t="s">
        <v>188</v>
      </c>
      <c r="H2442" s="94">
        <v>0.34</v>
      </c>
      <c r="I2442" t="s">
        <v>107</v>
      </c>
      <c r="J2442" t="s">
        <v>13</v>
      </c>
      <c r="K2442" t="s">
        <v>190</v>
      </c>
    </row>
    <row r="2443" spans="1:11" x14ac:dyDescent="0.25">
      <c r="A2443" t="s">
        <v>135</v>
      </c>
      <c r="B2443" t="s">
        <v>168</v>
      </c>
      <c r="C2443" s="12" t="s">
        <v>182</v>
      </c>
      <c r="D2443" t="s">
        <v>187</v>
      </c>
      <c r="E2443" t="s">
        <v>12</v>
      </c>
      <c r="F2443" t="s">
        <v>72</v>
      </c>
      <c r="G2443" t="s">
        <v>188</v>
      </c>
      <c r="H2443" s="94">
        <v>0.34</v>
      </c>
      <c r="I2443" t="s">
        <v>107</v>
      </c>
      <c r="J2443" t="s">
        <v>63</v>
      </c>
      <c r="K2443" t="s">
        <v>189</v>
      </c>
    </row>
    <row r="2444" spans="1:11" x14ac:dyDescent="0.25">
      <c r="A2444" t="s">
        <v>135</v>
      </c>
      <c r="B2444" t="s">
        <v>168</v>
      </c>
      <c r="C2444" s="12" t="s">
        <v>182</v>
      </c>
      <c r="D2444" t="s">
        <v>187</v>
      </c>
      <c r="E2444" t="s">
        <v>12</v>
      </c>
      <c r="F2444" t="s">
        <v>72</v>
      </c>
      <c r="G2444" t="s">
        <v>188</v>
      </c>
      <c r="H2444" s="94">
        <v>0.34</v>
      </c>
      <c r="I2444" t="s">
        <v>107</v>
      </c>
      <c r="J2444" t="s">
        <v>63</v>
      </c>
      <c r="K2444" t="s">
        <v>190</v>
      </c>
    </row>
    <row r="2445" spans="1:11" x14ac:dyDescent="0.25">
      <c r="A2445" t="s">
        <v>135</v>
      </c>
      <c r="B2445" t="s">
        <v>168</v>
      </c>
      <c r="C2445" s="12" t="s">
        <v>182</v>
      </c>
      <c r="D2445" t="s">
        <v>187</v>
      </c>
      <c r="E2445" t="s">
        <v>12</v>
      </c>
      <c r="F2445" t="s">
        <v>72</v>
      </c>
      <c r="G2445" t="s">
        <v>188</v>
      </c>
      <c r="H2445" s="94">
        <v>0.34</v>
      </c>
      <c r="I2445" t="s">
        <v>107</v>
      </c>
      <c r="J2445" t="s">
        <v>11</v>
      </c>
      <c r="K2445" t="s">
        <v>189</v>
      </c>
    </row>
    <row r="2446" spans="1:11" x14ac:dyDescent="0.25">
      <c r="A2446" t="s">
        <v>135</v>
      </c>
      <c r="B2446" t="s">
        <v>168</v>
      </c>
      <c r="C2446" s="12" t="s">
        <v>182</v>
      </c>
      <c r="D2446" t="s">
        <v>187</v>
      </c>
      <c r="E2446" t="s">
        <v>12</v>
      </c>
      <c r="F2446" t="s">
        <v>72</v>
      </c>
      <c r="G2446" t="s">
        <v>188</v>
      </c>
      <c r="H2446" s="94">
        <v>0.34</v>
      </c>
      <c r="I2446" t="s">
        <v>107</v>
      </c>
      <c r="J2446" t="s">
        <v>11</v>
      </c>
      <c r="K2446" t="s">
        <v>190</v>
      </c>
    </row>
    <row r="2447" spans="1:11" x14ac:dyDescent="0.25">
      <c r="A2447" t="s">
        <v>135</v>
      </c>
      <c r="B2447" t="s">
        <v>168</v>
      </c>
      <c r="C2447" s="12" t="s">
        <v>182</v>
      </c>
      <c r="D2447" t="s">
        <v>187</v>
      </c>
      <c r="E2447" t="s">
        <v>12</v>
      </c>
      <c r="F2447" t="s">
        <v>72</v>
      </c>
      <c r="G2447" t="s">
        <v>188</v>
      </c>
      <c r="H2447" s="94">
        <v>0.34</v>
      </c>
      <c r="I2447" t="s">
        <v>62</v>
      </c>
      <c r="J2447" t="s">
        <v>13</v>
      </c>
      <c r="K2447" t="s">
        <v>189</v>
      </c>
    </row>
    <row r="2448" spans="1:11" x14ac:dyDescent="0.25">
      <c r="A2448" t="s">
        <v>135</v>
      </c>
      <c r="B2448" t="s">
        <v>168</v>
      </c>
      <c r="C2448" s="12" t="s">
        <v>182</v>
      </c>
      <c r="D2448" t="s">
        <v>187</v>
      </c>
      <c r="E2448" t="s">
        <v>12</v>
      </c>
      <c r="F2448" t="s">
        <v>72</v>
      </c>
      <c r="G2448" t="s">
        <v>188</v>
      </c>
      <c r="H2448" s="94">
        <v>0.34</v>
      </c>
      <c r="I2448" t="s">
        <v>62</v>
      </c>
      <c r="J2448" t="s">
        <v>13</v>
      </c>
      <c r="K2448" t="s">
        <v>190</v>
      </c>
    </row>
    <row r="2449" spans="1:11" x14ac:dyDescent="0.25">
      <c r="A2449" t="s">
        <v>135</v>
      </c>
      <c r="B2449" t="s">
        <v>168</v>
      </c>
      <c r="C2449" s="12" t="s">
        <v>182</v>
      </c>
      <c r="D2449" t="s">
        <v>187</v>
      </c>
      <c r="E2449" t="s">
        <v>12</v>
      </c>
      <c r="F2449" t="s">
        <v>72</v>
      </c>
      <c r="G2449" t="s">
        <v>188</v>
      </c>
      <c r="H2449" s="94">
        <v>0.34</v>
      </c>
      <c r="I2449" t="s">
        <v>62</v>
      </c>
      <c r="J2449" t="s">
        <v>63</v>
      </c>
      <c r="K2449" t="s">
        <v>189</v>
      </c>
    </row>
    <row r="2450" spans="1:11" x14ac:dyDescent="0.25">
      <c r="A2450" t="s">
        <v>135</v>
      </c>
      <c r="B2450" t="s">
        <v>168</v>
      </c>
      <c r="C2450" s="12" t="s">
        <v>182</v>
      </c>
      <c r="D2450" t="s">
        <v>187</v>
      </c>
      <c r="E2450" t="s">
        <v>12</v>
      </c>
      <c r="F2450" t="s">
        <v>72</v>
      </c>
      <c r="G2450" t="s">
        <v>188</v>
      </c>
      <c r="H2450" s="94">
        <v>0.34</v>
      </c>
      <c r="I2450" t="s">
        <v>62</v>
      </c>
      <c r="J2450" t="s">
        <v>63</v>
      </c>
      <c r="K2450" t="s">
        <v>190</v>
      </c>
    </row>
    <row r="2451" spans="1:11" x14ac:dyDescent="0.25">
      <c r="A2451" t="s">
        <v>135</v>
      </c>
      <c r="B2451" t="s">
        <v>168</v>
      </c>
      <c r="C2451" s="12" t="s">
        <v>182</v>
      </c>
      <c r="D2451" t="s">
        <v>187</v>
      </c>
      <c r="E2451" t="s">
        <v>12</v>
      </c>
      <c r="F2451" t="s">
        <v>72</v>
      </c>
      <c r="G2451" t="s">
        <v>188</v>
      </c>
      <c r="H2451" s="94">
        <v>0.34</v>
      </c>
      <c r="I2451" t="s">
        <v>62</v>
      </c>
      <c r="J2451" t="s">
        <v>11</v>
      </c>
      <c r="K2451" t="s">
        <v>189</v>
      </c>
    </row>
    <row r="2452" spans="1:11" x14ac:dyDescent="0.25">
      <c r="A2452" t="s">
        <v>135</v>
      </c>
      <c r="B2452" t="s">
        <v>168</v>
      </c>
      <c r="C2452" s="12" t="s">
        <v>182</v>
      </c>
      <c r="D2452" t="s">
        <v>187</v>
      </c>
      <c r="E2452" t="s">
        <v>12</v>
      </c>
      <c r="F2452" t="s">
        <v>72</v>
      </c>
      <c r="G2452" t="s">
        <v>188</v>
      </c>
      <c r="H2452" s="94">
        <v>0.34</v>
      </c>
      <c r="I2452" t="s">
        <v>62</v>
      </c>
      <c r="J2452" t="s">
        <v>11</v>
      </c>
      <c r="K2452" t="s">
        <v>190</v>
      </c>
    </row>
    <row r="2453" spans="1:11" x14ac:dyDescent="0.25">
      <c r="A2453" t="s">
        <v>135</v>
      </c>
      <c r="B2453" t="s">
        <v>168</v>
      </c>
      <c r="C2453" s="12" t="s">
        <v>182</v>
      </c>
      <c r="D2453" t="s">
        <v>187</v>
      </c>
      <c r="E2453" t="s">
        <v>12</v>
      </c>
      <c r="F2453" t="s">
        <v>72</v>
      </c>
      <c r="G2453" t="s">
        <v>188</v>
      </c>
      <c r="H2453" s="94">
        <v>0.34</v>
      </c>
      <c r="I2453" t="s">
        <v>60</v>
      </c>
      <c r="J2453" t="s">
        <v>13</v>
      </c>
      <c r="K2453" t="s">
        <v>189</v>
      </c>
    </row>
    <row r="2454" spans="1:11" x14ac:dyDescent="0.25">
      <c r="A2454" t="s">
        <v>135</v>
      </c>
      <c r="B2454" t="s">
        <v>168</v>
      </c>
      <c r="C2454" s="12" t="s">
        <v>182</v>
      </c>
      <c r="D2454" t="s">
        <v>187</v>
      </c>
      <c r="E2454" t="s">
        <v>12</v>
      </c>
      <c r="F2454" t="s">
        <v>72</v>
      </c>
      <c r="G2454" t="s">
        <v>188</v>
      </c>
      <c r="H2454" s="94">
        <v>0.34</v>
      </c>
      <c r="I2454" t="s">
        <v>60</v>
      </c>
      <c r="J2454" t="s">
        <v>13</v>
      </c>
      <c r="K2454" t="s">
        <v>190</v>
      </c>
    </row>
    <row r="2455" spans="1:11" x14ac:dyDescent="0.25">
      <c r="A2455" t="s">
        <v>135</v>
      </c>
      <c r="B2455" t="s">
        <v>168</v>
      </c>
      <c r="C2455" s="12" t="s">
        <v>182</v>
      </c>
      <c r="D2455" t="s">
        <v>187</v>
      </c>
      <c r="E2455" t="s">
        <v>12</v>
      </c>
      <c r="F2455" t="s">
        <v>72</v>
      </c>
      <c r="G2455" t="s">
        <v>188</v>
      </c>
      <c r="H2455" s="94">
        <v>0.34</v>
      </c>
      <c r="I2455" t="s">
        <v>60</v>
      </c>
      <c r="J2455" t="s">
        <v>63</v>
      </c>
      <c r="K2455" t="s">
        <v>189</v>
      </c>
    </row>
    <row r="2456" spans="1:11" x14ac:dyDescent="0.25">
      <c r="A2456" t="s">
        <v>135</v>
      </c>
      <c r="B2456" t="s">
        <v>168</v>
      </c>
      <c r="C2456" s="12" t="s">
        <v>182</v>
      </c>
      <c r="D2456" t="s">
        <v>187</v>
      </c>
      <c r="E2456" t="s">
        <v>12</v>
      </c>
      <c r="F2456" t="s">
        <v>72</v>
      </c>
      <c r="G2456" t="s">
        <v>188</v>
      </c>
      <c r="H2456" s="94">
        <v>0.34</v>
      </c>
      <c r="I2456" t="s">
        <v>60</v>
      </c>
      <c r="J2456" t="s">
        <v>63</v>
      </c>
      <c r="K2456" t="s">
        <v>190</v>
      </c>
    </row>
    <row r="2457" spans="1:11" x14ac:dyDescent="0.25">
      <c r="A2457" t="s">
        <v>135</v>
      </c>
      <c r="B2457" t="s">
        <v>168</v>
      </c>
      <c r="C2457" s="12" t="s">
        <v>182</v>
      </c>
      <c r="D2457" t="s">
        <v>187</v>
      </c>
      <c r="E2457" t="s">
        <v>12</v>
      </c>
      <c r="F2457" t="s">
        <v>72</v>
      </c>
      <c r="G2457" t="s">
        <v>188</v>
      </c>
      <c r="H2457" s="94">
        <v>0.34</v>
      </c>
      <c r="I2457" t="s">
        <v>60</v>
      </c>
      <c r="J2457" t="s">
        <v>11</v>
      </c>
      <c r="K2457" t="s">
        <v>189</v>
      </c>
    </row>
    <row r="2458" spans="1:11" x14ac:dyDescent="0.25">
      <c r="A2458" t="s">
        <v>135</v>
      </c>
      <c r="B2458" t="s">
        <v>168</v>
      </c>
      <c r="C2458" s="12" t="s">
        <v>182</v>
      </c>
      <c r="D2458" t="s">
        <v>187</v>
      </c>
      <c r="E2458" t="s">
        <v>12</v>
      </c>
      <c r="F2458" t="s">
        <v>72</v>
      </c>
      <c r="G2458" t="s">
        <v>188</v>
      </c>
      <c r="H2458" s="94">
        <v>0.34</v>
      </c>
      <c r="I2458" t="s">
        <v>60</v>
      </c>
      <c r="J2458" t="s">
        <v>11</v>
      </c>
      <c r="K2458" t="s">
        <v>190</v>
      </c>
    </row>
    <row r="2459" spans="1:11" x14ac:dyDescent="0.25">
      <c r="A2459" t="s">
        <v>135</v>
      </c>
      <c r="B2459" t="s">
        <v>168</v>
      </c>
      <c r="C2459" s="12" t="s">
        <v>182</v>
      </c>
      <c r="D2459" t="s">
        <v>187</v>
      </c>
      <c r="E2459" t="s">
        <v>12</v>
      </c>
      <c r="F2459" t="s">
        <v>72</v>
      </c>
      <c r="G2459" t="s">
        <v>188</v>
      </c>
      <c r="H2459" s="94">
        <v>0.7</v>
      </c>
      <c r="I2459" t="s">
        <v>107</v>
      </c>
      <c r="J2459" t="s">
        <v>13</v>
      </c>
      <c r="K2459" t="s">
        <v>189</v>
      </c>
    </row>
    <row r="2460" spans="1:11" x14ac:dyDescent="0.25">
      <c r="A2460" t="s">
        <v>135</v>
      </c>
      <c r="B2460" t="s">
        <v>168</v>
      </c>
      <c r="C2460" s="12" t="s">
        <v>182</v>
      </c>
      <c r="D2460" t="s">
        <v>187</v>
      </c>
      <c r="E2460" t="s">
        <v>12</v>
      </c>
      <c r="F2460" t="s">
        <v>72</v>
      </c>
      <c r="G2460" t="s">
        <v>188</v>
      </c>
      <c r="H2460" s="94">
        <v>0.7</v>
      </c>
      <c r="I2460" t="s">
        <v>107</v>
      </c>
      <c r="J2460" t="s">
        <v>13</v>
      </c>
      <c r="K2460" t="s">
        <v>190</v>
      </c>
    </row>
    <row r="2461" spans="1:11" x14ac:dyDescent="0.25">
      <c r="A2461" t="s">
        <v>135</v>
      </c>
      <c r="B2461" t="s">
        <v>168</v>
      </c>
      <c r="C2461" s="12" t="s">
        <v>182</v>
      </c>
      <c r="D2461" t="s">
        <v>187</v>
      </c>
      <c r="E2461" t="s">
        <v>12</v>
      </c>
      <c r="F2461" t="s">
        <v>72</v>
      </c>
      <c r="G2461" t="s">
        <v>188</v>
      </c>
      <c r="H2461" s="94">
        <v>0.7</v>
      </c>
      <c r="I2461" t="s">
        <v>107</v>
      </c>
      <c r="J2461" t="s">
        <v>63</v>
      </c>
      <c r="K2461" t="s">
        <v>189</v>
      </c>
    </row>
    <row r="2462" spans="1:11" x14ac:dyDescent="0.25">
      <c r="A2462" t="s">
        <v>135</v>
      </c>
      <c r="B2462" t="s">
        <v>168</v>
      </c>
      <c r="C2462" s="12" t="s">
        <v>182</v>
      </c>
      <c r="D2462" t="s">
        <v>187</v>
      </c>
      <c r="E2462" t="s">
        <v>12</v>
      </c>
      <c r="F2462" t="s">
        <v>72</v>
      </c>
      <c r="G2462" t="s">
        <v>188</v>
      </c>
      <c r="H2462" s="94">
        <v>0.7</v>
      </c>
      <c r="I2462" t="s">
        <v>107</v>
      </c>
      <c r="J2462" t="s">
        <v>63</v>
      </c>
      <c r="K2462" t="s">
        <v>190</v>
      </c>
    </row>
    <row r="2463" spans="1:11" x14ac:dyDescent="0.25">
      <c r="A2463" t="s">
        <v>135</v>
      </c>
      <c r="B2463" t="s">
        <v>168</v>
      </c>
      <c r="C2463" s="12" t="s">
        <v>182</v>
      </c>
      <c r="D2463" t="s">
        <v>187</v>
      </c>
      <c r="E2463" t="s">
        <v>12</v>
      </c>
      <c r="F2463" t="s">
        <v>72</v>
      </c>
      <c r="G2463" t="s">
        <v>188</v>
      </c>
      <c r="H2463" s="94">
        <v>0.7</v>
      </c>
      <c r="I2463" t="s">
        <v>107</v>
      </c>
      <c r="J2463" t="s">
        <v>11</v>
      </c>
      <c r="K2463" t="s">
        <v>189</v>
      </c>
    </row>
    <row r="2464" spans="1:11" x14ac:dyDescent="0.25">
      <c r="A2464" t="s">
        <v>135</v>
      </c>
      <c r="B2464" t="s">
        <v>168</v>
      </c>
      <c r="C2464" s="12" t="s">
        <v>182</v>
      </c>
      <c r="D2464" t="s">
        <v>187</v>
      </c>
      <c r="E2464" t="s">
        <v>12</v>
      </c>
      <c r="F2464" t="s">
        <v>72</v>
      </c>
      <c r="G2464" t="s">
        <v>188</v>
      </c>
      <c r="H2464" s="94">
        <v>0.7</v>
      </c>
      <c r="I2464" t="s">
        <v>107</v>
      </c>
      <c r="J2464" t="s">
        <v>11</v>
      </c>
      <c r="K2464" t="s">
        <v>190</v>
      </c>
    </row>
    <row r="2465" spans="1:11" x14ac:dyDescent="0.25">
      <c r="A2465" t="s">
        <v>135</v>
      </c>
      <c r="B2465" t="s">
        <v>168</v>
      </c>
      <c r="C2465" s="12" t="s">
        <v>182</v>
      </c>
      <c r="D2465" t="s">
        <v>187</v>
      </c>
      <c r="E2465" t="s">
        <v>12</v>
      </c>
      <c r="F2465" t="s">
        <v>72</v>
      </c>
      <c r="G2465" t="s">
        <v>188</v>
      </c>
      <c r="H2465" s="94">
        <v>0.7</v>
      </c>
      <c r="I2465" t="s">
        <v>62</v>
      </c>
      <c r="J2465" t="s">
        <v>13</v>
      </c>
      <c r="K2465" t="s">
        <v>189</v>
      </c>
    </row>
    <row r="2466" spans="1:11" x14ac:dyDescent="0.25">
      <c r="A2466" t="s">
        <v>135</v>
      </c>
      <c r="B2466" t="s">
        <v>168</v>
      </c>
      <c r="C2466" s="12" t="s">
        <v>182</v>
      </c>
      <c r="D2466" t="s">
        <v>187</v>
      </c>
      <c r="E2466" t="s">
        <v>12</v>
      </c>
      <c r="F2466" t="s">
        <v>72</v>
      </c>
      <c r="G2466" t="s">
        <v>188</v>
      </c>
      <c r="H2466" s="94">
        <v>0.7</v>
      </c>
      <c r="I2466" t="s">
        <v>62</v>
      </c>
      <c r="J2466" t="s">
        <v>13</v>
      </c>
      <c r="K2466" t="s">
        <v>190</v>
      </c>
    </row>
    <row r="2467" spans="1:11" x14ac:dyDescent="0.25">
      <c r="A2467" t="s">
        <v>135</v>
      </c>
      <c r="B2467" t="s">
        <v>168</v>
      </c>
      <c r="C2467" s="12" t="s">
        <v>182</v>
      </c>
      <c r="D2467" t="s">
        <v>187</v>
      </c>
      <c r="E2467" t="s">
        <v>12</v>
      </c>
      <c r="F2467" t="s">
        <v>72</v>
      </c>
      <c r="G2467" t="s">
        <v>188</v>
      </c>
      <c r="H2467" s="94">
        <v>0.7</v>
      </c>
      <c r="I2467" t="s">
        <v>62</v>
      </c>
      <c r="J2467" t="s">
        <v>63</v>
      </c>
      <c r="K2467" t="s">
        <v>189</v>
      </c>
    </row>
    <row r="2468" spans="1:11" x14ac:dyDescent="0.25">
      <c r="A2468" t="s">
        <v>135</v>
      </c>
      <c r="B2468" t="s">
        <v>168</v>
      </c>
      <c r="C2468" s="12" t="s">
        <v>182</v>
      </c>
      <c r="D2468" t="s">
        <v>187</v>
      </c>
      <c r="E2468" t="s">
        <v>12</v>
      </c>
      <c r="F2468" t="s">
        <v>72</v>
      </c>
      <c r="G2468" t="s">
        <v>188</v>
      </c>
      <c r="H2468" s="94">
        <v>0.7</v>
      </c>
      <c r="I2468" t="s">
        <v>62</v>
      </c>
      <c r="J2468" t="s">
        <v>63</v>
      </c>
      <c r="K2468" t="s">
        <v>190</v>
      </c>
    </row>
    <row r="2469" spans="1:11" x14ac:dyDescent="0.25">
      <c r="A2469" t="s">
        <v>135</v>
      </c>
      <c r="B2469" t="s">
        <v>168</v>
      </c>
      <c r="C2469" s="12" t="s">
        <v>182</v>
      </c>
      <c r="D2469" t="s">
        <v>187</v>
      </c>
      <c r="E2469" t="s">
        <v>12</v>
      </c>
      <c r="F2469" t="s">
        <v>72</v>
      </c>
      <c r="G2469" t="s">
        <v>188</v>
      </c>
      <c r="H2469" s="94">
        <v>0.7</v>
      </c>
      <c r="I2469" t="s">
        <v>62</v>
      </c>
      <c r="J2469" t="s">
        <v>11</v>
      </c>
      <c r="K2469" t="s">
        <v>189</v>
      </c>
    </row>
    <row r="2470" spans="1:11" x14ac:dyDescent="0.25">
      <c r="A2470" t="s">
        <v>135</v>
      </c>
      <c r="B2470" t="s">
        <v>168</v>
      </c>
      <c r="C2470" s="12" t="s">
        <v>182</v>
      </c>
      <c r="D2470" t="s">
        <v>187</v>
      </c>
      <c r="E2470" t="s">
        <v>12</v>
      </c>
      <c r="F2470" t="s">
        <v>72</v>
      </c>
      <c r="G2470" t="s">
        <v>188</v>
      </c>
      <c r="H2470" s="94">
        <v>0.7</v>
      </c>
      <c r="I2470" t="s">
        <v>62</v>
      </c>
      <c r="J2470" t="s">
        <v>11</v>
      </c>
      <c r="K2470" t="s">
        <v>190</v>
      </c>
    </row>
    <row r="2471" spans="1:11" x14ac:dyDescent="0.25">
      <c r="A2471" t="s">
        <v>135</v>
      </c>
      <c r="B2471" t="s">
        <v>168</v>
      </c>
      <c r="C2471" s="12" t="s">
        <v>182</v>
      </c>
      <c r="D2471" t="s">
        <v>187</v>
      </c>
      <c r="E2471" t="s">
        <v>12</v>
      </c>
      <c r="F2471" t="s">
        <v>72</v>
      </c>
      <c r="G2471" t="s">
        <v>188</v>
      </c>
      <c r="H2471" s="94">
        <v>0.7</v>
      </c>
      <c r="I2471" t="s">
        <v>60</v>
      </c>
      <c r="J2471" t="s">
        <v>13</v>
      </c>
      <c r="K2471" t="s">
        <v>189</v>
      </c>
    </row>
    <row r="2472" spans="1:11" x14ac:dyDescent="0.25">
      <c r="A2472" t="s">
        <v>135</v>
      </c>
      <c r="B2472" t="s">
        <v>168</v>
      </c>
      <c r="C2472" s="12" t="s">
        <v>182</v>
      </c>
      <c r="D2472" t="s">
        <v>187</v>
      </c>
      <c r="E2472" t="s">
        <v>12</v>
      </c>
      <c r="F2472" t="s">
        <v>72</v>
      </c>
      <c r="G2472" t="s">
        <v>188</v>
      </c>
      <c r="H2472" s="94">
        <v>0.7</v>
      </c>
      <c r="I2472" t="s">
        <v>60</v>
      </c>
      <c r="J2472" t="s">
        <v>13</v>
      </c>
      <c r="K2472" t="s">
        <v>190</v>
      </c>
    </row>
    <row r="2473" spans="1:11" x14ac:dyDescent="0.25">
      <c r="A2473" t="s">
        <v>135</v>
      </c>
      <c r="B2473" t="s">
        <v>168</v>
      </c>
      <c r="C2473" s="12" t="s">
        <v>182</v>
      </c>
      <c r="D2473" t="s">
        <v>187</v>
      </c>
      <c r="E2473" t="s">
        <v>12</v>
      </c>
      <c r="F2473" t="s">
        <v>72</v>
      </c>
      <c r="G2473" t="s">
        <v>188</v>
      </c>
      <c r="H2473" s="94">
        <v>0.7</v>
      </c>
      <c r="I2473" t="s">
        <v>60</v>
      </c>
      <c r="J2473" t="s">
        <v>63</v>
      </c>
      <c r="K2473" t="s">
        <v>189</v>
      </c>
    </row>
    <row r="2474" spans="1:11" x14ac:dyDescent="0.25">
      <c r="A2474" t="s">
        <v>135</v>
      </c>
      <c r="B2474" t="s">
        <v>168</v>
      </c>
      <c r="C2474" s="12" t="s">
        <v>182</v>
      </c>
      <c r="D2474" t="s">
        <v>187</v>
      </c>
      <c r="E2474" t="s">
        <v>12</v>
      </c>
      <c r="F2474" t="s">
        <v>72</v>
      </c>
      <c r="G2474" t="s">
        <v>188</v>
      </c>
      <c r="H2474" s="94">
        <v>0.7</v>
      </c>
      <c r="I2474" t="s">
        <v>60</v>
      </c>
      <c r="J2474" t="s">
        <v>63</v>
      </c>
      <c r="K2474" t="s">
        <v>190</v>
      </c>
    </row>
    <row r="2475" spans="1:11" x14ac:dyDescent="0.25">
      <c r="A2475" t="s">
        <v>135</v>
      </c>
      <c r="B2475" t="s">
        <v>168</v>
      </c>
      <c r="C2475" s="12" t="s">
        <v>182</v>
      </c>
      <c r="D2475" t="s">
        <v>187</v>
      </c>
      <c r="E2475" t="s">
        <v>12</v>
      </c>
      <c r="F2475" t="s">
        <v>72</v>
      </c>
      <c r="G2475" t="s">
        <v>188</v>
      </c>
      <c r="H2475" s="94">
        <v>0.7</v>
      </c>
      <c r="I2475" t="s">
        <v>60</v>
      </c>
      <c r="J2475" t="s">
        <v>11</v>
      </c>
      <c r="K2475" t="s">
        <v>189</v>
      </c>
    </row>
    <row r="2476" spans="1:11" x14ac:dyDescent="0.25">
      <c r="A2476" t="s">
        <v>135</v>
      </c>
      <c r="B2476" t="s">
        <v>168</v>
      </c>
      <c r="C2476" s="12" t="s">
        <v>182</v>
      </c>
      <c r="D2476" t="s">
        <v>187</v>
      </c>
      <c r="E2476" t="s">
        <v>12</v>
      </c>
      <c r="F2476" t="s">
        <v>72</v>
      </c>
      <c r="G2476" t="s">
        <v>188</v>
      </c>
      <c r="H2476" s="94">
        <v>0.7</v>
      </c>
      <c r="I2476" t="s">
        <v>60</v>
      </c>
      <c r="J2476" t="s">
        <v>11</v>
      </c>
      <c r="K2476" t="s">
        <v>190</v>
      </c>
    </row>
    <row r="2477" spans="1:11" x14ac:dyDescent="0.25">
      <c r="A2477" t="s">
        <v>135</v>
      </c>
      <c r="B2477" t="s">
        <v>168</v>
      </c>
      <c r="C2477" s="12" t="s">
        <v>182</v>
      </c>
      <c r="D2477" t="s">
        <v>187</v>
      </c>
      <c r="E2477" t="s">
        <v>12</v>
      </c>
      <c r="F2477" t="s">
        <v>16</v>
      </c>
      <c r="G2477" t="s">
        <v>188</v>
      </c>
      <c r="H2477" s="94">
        <v>0.34</v>
      </c>
      <c r="I2477" t="s">
        <v>107</v>
      </c>
      <c r="J2477" t="s">
        <v>13</v>
      </c>
      <c r="K2477" t="s">
        <v>189</v>
      </c>
    </row>
    <row r="2478" spans="1:11" x14ac:dyDescent="0.25">
      <c r="A2478" t="s">
        <v>135</v>
      </c>
      <c r="B2478" t="s">
        <v>168</v>
      </c>
      <c r="C2478" s="12" t="s">
        <v>182</v>
      </c>
      <c r="D2478" t="s">
        <v>187</v>
      </c>
      <c r="E2478" t="s">
        <v>12</v>
      </c>
      <c r="F2478" t="s">
        <v>16</v>
      </c>
      <c r="G2478" t="s">
        <v>188</v>
      </c>
      <c r="H2478" s="94">
        <v>0.34</v>
      </c>
      <c r="I2478" t="s">
        <v>107</v>
      </c>
      <c r="J2478" t="s">
        <v>13</v>
      </c>
      <c r="K2478" t="s">
        <v>190</v>
      </c>
    </row>
    <row r="2479" spans="1:11" x14ac:dyDescent="0.25">
      <c r="A2479" t="s">
        <v>135</v>
      </c>
      <c r="B2479" t="s">
        <v>168</v>
      </c>
      <c r="C2479" s="12" t="s">
        <v>182</v>
      </c>
      <c r="D2479" t="s">
        <v>187</v>
      </c>
      <c r="E2479" t="s">
        <v>12</v>
      </c>
      <c r="F2479" t="s">
        <v>16</v>
      </c>
      <c r="G2479" t="s">
        <v>188</v>
      </c>
      <c r="H2479" s="94">
        <v>0.34</v>
      </c>
      <c r="I2479" t="s">
        <v>107</v>
      </c>
      <c r="J2479" t="s">
        <v>63</v>
      </c>
      <c r="K2479" t="s">
        <v>189</v>
      </c>
    </row>
    <row r="2480" spans="1:11" x14ac:dyDescent="0.25">
      <c r="A2480" t="s">
        <v>135</v>
      </c>
      <c r="B2480" t="s">
        <v>168</v>
      </c>
      <c r="C2480" s="12" t="s">
        <v>182</v>
      </c>
      <c r="D2480" t="s">
        <v>187</v>
      </c>
      <c r="E2480" t="s">
        <v>12</v>
      </c>
      <c r="F2480" t="s">
        <v>16</v>
      </c>
      <c r="G2480" t="s">
        <v>188</v>
      </c>
      <c r="H2480" s="94">
        <v>0.34</v>
      </c>
      <c r="I2480" t="s">
        <v>107</v>
      </c>
      <c r="J2480" t="s">
        <v>63</v>
      </c>
      <c r="K2480" t="s">
        <v>190</v>
      </c>
    </row>
    <row r="2481" spans="1:11" x14ac:dyDescent="0.25">
      <c r="A2481" t="s">
        <v>135</v>
      </c>
      <c r="B2481" t="s">
        <v>168</v>
      </c>
      <c r="C2481" s="12" t="s">
        <v>182</v>
      </c>
      <c r="D2481" t="s">
        <v>187</v>
      </c>
      <c r="E2481" t="s">
        <v>12</v>
      </c>
      <c r="F2481" t="s">
        <v>16</v>
      </c>
      <c r="G2481" t="s">
        <v>188</v>
      </c>
      <c r="H2481" s="94">
        <v>0.34</v>
      </c>
      <c r="I2481" t="s">
        <v>107</v>
      </c>
      <c r="J2481" t="s">
        <v>11</v>
      </c>
      <c r="K2481" t="s">
        <v>189</v>
      </c>
    </row>
    <row r="2482" spans="1:11" x14ac:dyDescent="0.25">
      <c r="A2482" t="s">
        <v>135</v>
      </c>
      <c r="B2482" t="s">
        <v>168</v>
      </c>
      <c r="C2482" s="12" t="s">
        <v>182</v>
      </c>
      <c r="D2482" t="s">
        <v>187</v>
      </c>
      <c r="E2482" t="s">
        <v>12</v>
      </c>
      <c r="F2482" t="s">
        <v>16</v>
      </c>
      <c r="G2482" t="s">
        <v>188</v>
      </c>
      <c r="H2482" s="94">
        <v>0.34</v>
      </c>
      <c r="I2482" t="s">
        <v>107</v>
      </c>
      <c r="J2482" t="s">
        <v>11</v>
      </c>
      <c r="K2482" t="s">
        <v>190</v>
      </c>
    </row>
    <row r="2483" spans="1:11" x14ac:dyDescent="0.25">
      <c r="A2483" t="s">
        <v>135</v>
      </c>
      <c r="B2483" t="s">
        <v>168</v>
      </c>
      <c r="C2483" s="12" t="s">
        <v>182</v>
      </c>
      <c r="D2483" t="s">
        <v>187</v>
      </c>
      <c r="E2483" t="s">
        <v>12</v>
      </c>
      <c r="F2483" t="s">
        <v>16</v>
      </c>
      <c r="G2483" t="s">
        <v>188</v>
      </c>
      <c r="H2483" s="94">
        <v>0.34</v>
      </c>
      <c r="I2483" t="s">
        <v>62</v>
      </c>
      <c r="J2483" t="s">
        <v>13</v>
      </c>
      <c r="K2483" t="s">
        <v>189</v>
      </c>
    </row>
    <row r="2484" spans="1:11" x14ac:dyDescent="0.25">
      <c r="A2484" t="s">
        <v>135</v>
      </c>
      <c r="B2484" t="s">
        <v>168</v>
      </c>
      <c r="C2484" s="12" t="s">
        <v>182</v>
      </c>
      <c r="D2484" t="s">
        <v>187</v>
      </c>
      <c r="E2484" t="s">
        <v>12</v>
      </c>
      <c r="F2484" t="s">
        <v>16</v>
      </c>
      <c r="G2484" t="s">
        <v>188</v>
      </c>
      <c r="H2484" s="94">
        <v>0.34</v>
      </c>
      <c r="I2484" t="s">
        <v>62</v>
      </c>
      <c r="J2484" t="s">
        <v>13</v>
      </c>
      <c r="K2484" t="s">
        <v>190</v>
      </c>
    </row>
    <row r="2485" spans="1:11" x14ac:dyDescent="0.25">
      <c r="A2485" t="s">
        <v>135</v>
      </c>
      <c r="B2485" t="s">
        <v>168</v>
      </c>
      <c r="C2485" s="12" t="s">
        <v>182</v>
      </c>
      <c r="D2485" t="s">
        <v>187</v>
      </c>
      <c r="E2485" t="s">
        <v>12</v>
      </c>
      <c r="F2485" t="s">
        <v>16</v>
      </c>
      <c r="G2485" t="s">
        <v>188</v>
      </c>
      <c r="H2485" s="94">
        <v>0.34</v>
      </c>
      <c r="I2485" t="s">
        <v>62</v>
      </c>
      <c r="J2485" t="s">
        <v>63</v>
      </c>
      <c r="K2485" t="s">
        <v>189</v>
      </c>
    </row>
    <row r="2486" spans="1:11" x14ac:dyDescent="0.25">
      <c r="A2486" t="s">
        <v>135</v>
      </c>
      <c r="B2486" t="s">
        <v>168</v>
      </c>
      <c r="C2486" s="12" t="s">
        <v>182</v>
      </c>
      <c r="D2486" t="s">
        <v>187</v>
      </c>
      <c r="E2486" t="s">
        <v>12</v>
      </c>
      <c r="F2486" t="s">
        <v>16</v>
      </c>
      <c r="G2486" t="s">
        <v>188</v>
      </c>
      <c r="H2486" s="94">
        <v>0.34</v>
      </c>
      <c r="I2486" t="s">
        <v>62</v>
      </c>
      <c r="J2486" t="s">
        <v>63</v>
      </c>
      <c r="K2486" t="s">
        <v>190</v>
      </c>
    </row>
    <row r="2487" spans="1:11" x14ac:dyDescent="0.25">
      <c r="A2487" t="s">
        <v>135</v>
      </c>
      <c r="B2487" t="s">
        <v>168</v>
      </c>
      <c r="C2487" s="12" t="s">
        <v>182</v>
      </c>
      <c r="D2487" t="s">
        <v>187</v>
      </c>
      <c r="E2487" t="s">
        <v>12</v>
      </c>
      <c r="F2487" t="s">
        <v>16</v>
      </c>
      <c r="G2487" t="s">
        <v>188</v>
      </c>
      <c r="H2487" s="94">
        <v>0.34</v>
      </c>
      <c r="I2487" t="s">
        <v>62</v>
      </c>
      <c r="J2487" t="s">
        <v>11</v>
      </c>
      <c r="K2487" t="s">
        <v>189</v>
      </c>
    </row>
    <row r="2488" spans="1:11" x14ac:dyDescent="0.25">
      <c r="A2488" t="s">
        <v>135</v>
      </c>
      <c r="B2488" t="s">
        <v>168</v>
      </c>
      <c r="C2488" s="12" t="s">
        <v>182</v>
      </c>
      <c r="D2488" t="s">
        <v>187</v>
      </c>
      <c r="E2488" t="s">
        <v>12</v>
      </c>
      <c r="F2488" t="s">
        <v>16</v>
      </c>
      <c r="G2488" t="s">
        <v>188</v>
      </c>
      <c r="H2488" s="94">
        <v>0.34</v>
      </c>
      <c r="I2488" t="s">
        <v>62</v>
      </c>
      <c r="J2488" t="s">
        <v>11</v>
      </c>
      <c r="K2488" t="s">
        <v>190</v>
      </c>
    </row>
    <row r="2489" spans="1:11" x14ac:dyDescent="0.25">
      <c r="A2489" t="s">
        <v>135</v>
      </c>
      <c r="B2489" t="s">
        <v>168</v>
      </c>
      <c r="C2489" s="12" t="s">
        <v>182</v>
      </c>
      <c r="D2489" t="s">
        <v>187</v>
      </c>
      <c r="E2489" t="s">
        <v>12</v>
      </c>
      <c r="F2489" t="s">
        <v>16</v>
      </c>
      <c r="G2489" t="s">
        <v>188</v>
      </c>
      <c r="H2489" s="94">
        <v>0.34</v>
      </c>
      <c r="I2489" t="s">
        <v>60</v>
      </c>
      <c r="J2489" t="s">
        <v>13</v>
      </c>
      <c r="K2489" t="s">
        <v>189</v>
      </c>
    </row>
    <row r="2490" spans="1:11" x14ac:dyDescent="0.25">
      <c r="A2490" t="s">
        <v>135</v>
      </c>
      <c r="B2490" t="s">
        <v>168</v>
      </c>
      <c r="C2490" s="12" t="s">
        <v>182</v>
      </c>
      <c r="D2490" t="s">
        <v>187</v>
      </c>
      <c r="E2490" t="s">
        <v>12</v>
      </c>
      <c r="F2490" t="s">
        <v>16</v>
      </c>
      <c r="G2490" t="s">
        <v>188</v>
      </c>
      <c r="H2490" s="94">
        <v>0.34</v>
      </c>
      <c r="I2490" t="s">
        <v>60</v>
      </c>
      <c r="J2490" t="s">
        <v>13</v>
      </c>
      <c r="K2490" t="s">
        <v>190</v>
      </c>
    </row>
    <row r="2491" spans="1:11" x14ac:dyDescent="0.25">
      <c r="A2491" t="s">
        <v>135</v>
      </c>
      <c r="B2491" t="s">
        <v>168</v>
      </c>
      <c r="C2491" s="12" t="s">
        <v>182</v>
      </c>
      <c r="D2491" t="s">
        <v>187</v>
      </c>
      <c r="E2491" t="s">
        <v>12</v>
      </c>
      <c r="F2491" t="s">
        <v>16</v>
      </c>
      <c r="G2491" t="s">
        <v>188</v>
      </c>
      <c r="H2491" s="94">
        <v>0.34</v>
      </c>
      <c r="I2491" t="s">
        <v>60</v>
      </c>
      <c r="J2491" t="s">
        <v>63</v>
      </c>
      <c r="K2491" t="s">
        <v>189</v>
      </c>
    </row>
    <row r="2492" spans="1:11" x14ac:dyDescent="0.25">
      <c r="A2492" t="s">
        <v>135</v>
      </c>
      <c r="B2492" t="s">
        <v>168</v>
      </c>
      <c r="C2492" s="12" t="s">
        <v>182</v>
      </c>
      <c r="D2492" t="s">
        <v>187</v>
      </c>
      <c r="E2492" t="s">
        <v>12</v>
      </c>
      <c r="F2492" t="s">
        <v>16</v>
      </c>
      <c r="G2492" t="s">
        <v>188</v>
      </c>
      <c r="H2492" s="94">
        <v>0.34</v>
      </c>
      <c r="I2492" t="s">
        <v>60</v>
      </c>
      <c r="J2492" t="s">
        <v>63</v>
      </c>
      <c r="K2492" t="s">
        <v>190</v>
      </c>
    </row>
    <row r="2493" spans="1:11" x14ac:dyDescent="0.25">
      <c r="A2493" t="s">
        <v>135</v>
      </c>
      <c r="B2493" t="s">
        <v>168</v>
      </c>
      <c r="C2493" s="12" t="s">
        <v>182</v>
      </c>
      <c r="D2493" t="s">
        <v>187</v>
      </c>
      <c r="E2493" t="s">
        <v>12</v>
      </c>
      <c r="F2493" t="s">
        <v>16</v>
      </c>
      <c r="G2493" t="s">
        <v>188</v>
      </c>
      <c r="H2493" s="94">
        <v>0.34</v>
      </c>
      <c r="I2493" t="s">
        <v>60</v>
      </c>
      <c r="J2493" t="s">
        <v>11</v>
      </c>
      <c r="K2493" t="s">
        <v>189</v>
      </c>
    </row>
    <row r="2494" spans="1:11" x14ac:dyDescent="0.25">
      <c r="A2494" t="s">
        <v>135</v>
      </c>
      <c r="B2494" t="s">
        <v>168</v>
      </c>
      <c r="C2494" s="12" t="s">
        <v>182</v>
      </c>
      <c r="D2494" t="s">
        <v>187</v>
      </c>
      <c r="E2494" t="s">
        <v>12</v>
      </c>
      <c r="F2494" t="s">
        <v>16</v>
      </c>
      <c r="G2494" t="s">
        <v>188</v>
      </c>
      <c r="H2494" s="94">
        <v>0.34</v>
      </c>
      <c r="I2494" t="s">
        <v>60</v>
      </c>
      <c r="J2494" t="s">
        <v>11</v>
      </c>
      <c r="K2494" t="s">
        <v>190</v>
      </c>
    </row>
    <row r="2495" spans="1:11" x14ac:dyDescent="0.25">
      <c r="A2495" t="s">
        <v>135</v>
      </c>
      <c r="B2495" t="s">
        <v>168</v>
      </c>
      <c r="C2495" s="12" t="s">
        <v>182</v>
      </c>
      <c r="D2495" t="s">
        <v>187</v>
      </c>
      <c r="E2495" t="s">
        <v>12</v>
      </c>
      <c r="F2495" t="s">
        <v>16</v>
      </c>
      <c r="G2495" t="s">
        <v>188</v>
      </c>
      <c r="H2495" s="94">
        <v>0.7</v>
      </c>
      <c r="I2495" t="s">
        <v>107</v>
      </c>
      <c r="J2495" t="s">
        <v>13</v>
      </c>
      <c r="K2495" t="s">
        <v>189</v>
      </c>
    </row>
    <row r="2496" spans="1:11" x14ac:dyDescent="0.25">
      <c r="A2496" t="s">
        <v>135</v>
      </c>
      <c r="B2496" t="s">
        <v>168</v>
      </c>
      <c r="C2496" s="12" t="s">
        <v>182</v>
      </c>
      <c r="D2496" t="s">
        <v>187</v>
      </c>
      <c r="E2496" t="s">
        <v>12</v>
      </c>
      <c r="F2496" t="s">
        <v>16</v>
      </c>
      <c r="G2496" t="s">
        <v>188</v>
      </c>
      <c r="H2496" s="94">
        <v>0.7</v>
      </c>
      <c r="I2496" t="s">
        <v>107</v>
      </c>
      <c r="J2496" t="s">
        <v>13</v>
      </c>
      <c r="K2496" t="s">
        <v>190</v>
      </c>
    </row>
    <row r="2497" spans="1:11" x14ac:dyDescent="0.25">
      <c r="A2497" t="s">
        <v>135</v>
      </c>
      <c r="B2497" t="s">
        <v>168</v>
      </c>
      <c r="C2497" s="12" t="s">
        <v>182</v>
      </c>
      <c r="D2497" t="s">
        <v>187</v>
      </c>
      <c r="E2497" t="s">
        <v>12</v>
      </c>
      <c r="F2497" t="s">
        <v>16</v>
      </c>
      <c r="G2497" t="s">
        <v>188</v>
      </c>
      <c r="H2497" s="94">
        <v>0.7</v>
      </c>
      <c r="I2497" t="s">
        <v>107</v>
      </c>
      <c r="J2497" t="s">
        <v>63</v>
      </c>
      <c r="K2497" t="s">
        <v>189</v>
      </c>
    </row>
    <row r="2498" spans="1:11" x14ac:dyDescent="0.25">
      <c r="A2498" t="s">
        <v>135</v>
      </c>
      <c r="B2498" t="s">
        <v>168</v>
      </c>
      <c r="C2498" s="12" t="s">
        <v>182</v>
      </c>
      <c r="D2498" t="s">
        <v>187</v>
      </c>
      <c r="E2498" t="s">
        <v>12</v>
      </c>
      <c r="F2498" t="s">
        <v>16</v>
      </c>
      <c r="G2498" t="s">
        <v>188</v>
      </c>
      <c r="H2498" s="94">
        <v>0.7</v>
      </c>
      <c r="I2498" t="s">
        <v>107</v>
      </c>
      <c r="J2498" t="s">
        <v>63</v>
      </c>
      <c r="K2498" t="s">
        <v>190</v>
      </c>
    </row>
    <row r="2499" spans="1:11" x14ac:dyDescent="0.25">
      <c r="A2499" t="s">
        <v>135</v>
      </c>
      <c r="B2499" t="s">
        <v>168</v>
      </c>
      <c r="C2499" s="12" t="s">
        <v>182</v>
      </c>
      <c r="D2499" t="s">
        <v>187</v>
      </c>
      <c r="E2499" t="s">
        <v>12</v>
      </c>
      <c r="F2499" t="s">
        <v>16</v>
      </c>
      <c r="G2499" t="s">
        <v>188</v>
      </c>
      <c r="H2499" s="94">
        <v>0.7</v>
      </c>
      <c r="I2499" t="s">
        <v>107</v>
      </c>
      <c r="J2499" t="s">
        <v>11</v>
      </c>
      <c r="K2499" t="s">
        <v>189</v>
      </c>
    </row>
    <row r="2500" spans="1:11" x14ac:dyDescent="0.25">
      <c r="A2500" t="s">
        <v>135</v>
      </c>
      <c r="B2500" t="s">
        <v>168</v>
      </c>
      <c r="C2500" s="12" t="s">
        <v>182</v>
      </c>
      <c r="D2500" t="s">
        <v>187</v>
      </c>
      <c r="E2500" t="s">
        <v>12</v>
      </c>
      <c r="F2500" t="s">
        <v>16</v>
      </c>
      <c r="G2500" t="s">
        <v>188</v>
      </c>
      <c r="H2500" s="94">
        <v>0.7</v>
      </c>
      <c r="I2500" t="s">
        <v>107</v>
      </c>
      <c r="J2500" t="s">
        <v>11</v>
      </c>
      <c r="K2500" t="s">
        <v>190</v>
      </c>
    </row>
    <row r="2501" spans="1:11" x14ac:dyDescent="0.25">
      <c r="A2501" t="s">
        <v>135</v>
      </c>
      <c r="B2501" t="s">
        <v>168</v>
      </c>
      <c r="C2501" s="12" t="s">
        <v>182</v>
      </c>
      <c r="D2501" t="s">
        <v>187</v>
      </c>
      <c r="E2501" t="s">
        <v>12</v>
      </c>
      <c r="F2501" t="s">
        <v>16</v>
      </c>
      <c r="G2501" t="s">
        <v>188</v>
      </c>
      <c r="H2501" s="94">
        <v>0.7</v>
      </c>
      <c r="I2501" t="s">
        <v>62</v>
      </c>
      <c r="J2501" t="s">
        <v>13</v>
      </c>
      <c r="K2501" t="s">
        <v>189</v>
      </c>
    </row>
    <row r="2502" spans="1:11" x14ac:dyDescent="0.25">
      <c r="A2502" t="s">
        <v>135</v>
      </c>
      <c r="B2502" t="s">
        <v>168</v>
      </c>
      <c r="C2502" s="12" t="s">
        <v>182</v>
      </c>
      <c r="D2502" t="s">
        <v>187</v>
      </c>
      <c r="E2502" t="s">
        <v>12</v>
      </c>
      <c r="F2502" t="s">
        <v>16</v>
      </c>
      <c r="G2502" t="s">
        <v>188</v>
      </c>
      <c r="H2502" s="94">
        <v>0.7</v>
      </c>
      <c r="I2502" t="s">
        <v>62</v>
      </c>
      <c r="J2502" t="s">
        <v>13</v>
      </c>
      <c r="K2502" t="s">
        <v>190</v>
      </c>
    </row>
    <row r="2503" spans="1:11" x14ac:dyDescent="0.25">
      <c r="A2503" t="s">
        <v>135</v>
      </c>
      <c r="B2503" t="s">
        <v>168</v>
      </c>
      <c r="C2503" s="12" t="s">
        <v>182</v>
      </c>
      <c r="D2503" t="s">
        <v>187</v>
      </c>
      <c r="E2503" t="s">
        <v>12</v>
      </c>
      <c r="F2503" t="s">
        <v>16</v>
      </c>
      <c r="G2503" t="s">
        <v>188</v>
      </c>
      <c r="H2503" s="94">
        <v>0.7</v>
      </c>
      <c r="I2503" t="s">
        <v>62</v>
      </c>
      <c r="J2503" t="s">
        <v>63</v>
      </c>
      <c r="K2503" t="s">
        <v>189</v>
      </c>
    </row>
    <row r="2504" spans="1:11" x14ac:dyDescent="0.25">
      <c r="A2504" t="s">
        <v>135</v>
      </c>
      <c r="B2504" t="s">
        <v>168</v>
      </c>
      <c r="C2504" s="12" t="s">
        <v>182</v>
      </c>
      <c r="D2504" t="s">
        <v>187</v>
      </c>
      <c r="E2504" t="s">
        <v>12</v>
      </c>
      <c r="F2504" t="s">
        <v>16</v>
      </c>
      <c r="G2504" t="s">
        <v>188</v>
      </c>
      <c r="H2504" s="94">
        <v>0.7</v>
      </c>
      <c r="I2504" t="s">
        <v>62</v>
      </c>
      <c r="J2504" t="s">
        <v>63</v>
      </c>
      <c r="K2504" t="s">
        <v>190</v>
      </c>
    </row>
    <row r="2505" spans="1:11" x14ac:dyDescent="0.25">
      <c r="A2505" t="s">
        <v>135</v>
      </c>
      <c r="B2505" t="s">
        <v>168</v>
      </c>
      <c r="C2505" s="12" t="s">
        <v>182</v>
      </c>
      <c r="D2505" t="s">
        <v>187</v>
      </c>
      <c r="E2505" t="s">
        <v>12</v>
      </c>
      <c r="F2505" t="s">
        <v>16</v>
      </c>
      <c r="G2505" t="s">
        <v>188</v>
      </c>
      <c r="H2505" s="94">
        <v>0.7</v>
      </c>
      <c r="I2505" t="s">
        <v>62</v>
      </c>
      <c r="J2505" t="s">
        <v>11</v>
      </c>
      <c r="K2505" t="s">
        <v>189</v>
      </c>
    </row>
    <row r="2506" spans="1:11" x14ac:dyDescent="0.25">
      <c r="A2506" t="s">
        <v>135</v>
      </c>
      <c r="B2506" t="s">
        <v>168</v>
      </c>
      <c r="C2506" s="12" t="s">
        <v>182</v>
      </c>
      <c r="D2506" t="s">
        <v>187</v>
      </c>
      <c r="E2506" t="s">
        <v>12</v>
      </c>
      <c r="F2506" t="s">
        <v>16</v>
      </c>
      <c r="G2506" t="s">
        <v>188</v>
      </c>
      <c r="H2506" s="94">
        <v>0.7</v>
      </c>
      <c r="I2506" t="s">
        <v>62</v>
      </c>
      <c r="J2506" t="s">
        <v>11</v>
      </c>
      <c r="K2506" t="s">
        <v>190</v>
      </c>
    </row>
    <row r="2507" spans="1:11" x14ac:dyDescent="0.25">
      <c r="A2507" t="s">
        <v>135</v>
      </c>
      <c r="B2507" t="s">
        <v>168</v>
      </c>
      <c r="C2507" s="12" t="s">
        <v>182</v>
      </c>
      <c r="D2507" t="s">
        <v>187</v>
      </c>
      <c r="E2507" t="s">
        <v>12</v>
      </c>
      <c r="F2507" t="s">
        <v>16</v>
      </c>
      <c r="G2507" t="s">
        <v>188</v>
      </c>
      <c r="H2507" s="94">
        <v>0.7</v>
      </c>
      <c r="I2507" t="s">
        <v>60</v>
      </c>
      <c r="J2507" t="s">
        <v>13</v>
      </c>
      <c r="K2507" t="s">
        <v>189</v>
      </c>
    </row>
    <row r="2508" spans="1:11" x14ac:dyDescent="0.25">
      <c r="A2508" t="s">
        <v>135</v>
      </c>
      <c r="B2508" t="s">
        <v>168</v>
      </c>
      <c r="C2508" s="12" t="s">
        <v>182</v>
      </c>
      <c r="D2508" t="s">
        <v>187</v>
      </c>
      <c r="E2508" t="s">
        <v>12</v>
      </c>
      <c r="F2508" t="s">
        <v>16</v>
      </c>
      <c r="G2508" t="s">
        <v>188</v>
      </c>
      <c r="H2508" s="94">
        <v>0.7</v>
      </c>
      <c r="I2508" t="s">
        <v>60</v>
      </c>
      <c r="J2508" t="s">
        <v>13</v>
      </c>
      <c r="K2508" t="s">
        <v>190</v>
      </c>
    </row>
    <row r="2509" spans="1:11" x14ac:dyDescent="0.25">
      <c r="A2509" t="s">
        <v>135</v>
      </c>
      <c r="B2509" t="s">
        <v>168</v>
      </c>
      <c r="C2509" s="12" t="s">
        <v>182</v>
      </c>
      <c r="D2509" t="s">
        <v>187</v>
      </c>
      <c r="E2509" t="s">
        <v>12</v>
      </c>
      <c r="F2509" t="s">
        <v>16</v>
      </c>
      <c r="G2509" t="s">
        <v>188</v>
      </c>
      <c r="H2509" s="94">
        <v>0.7</v>
      </c>
      <c r="I2509" t="s">
        <v>60</v>
      </c>
      <c r="J2509" t="s">
        <v>63</v>
      </c>
      <c r="K2509" t="s">
        <v>189</v>
      </c>
    </row>
    <row r="2510" spans="1:11" x14ac:dyDescent="0.25">
      <c r="A2510" t="s">
        <v>135</v>
      </c>
      <c r="B2510" t="s">
        <v>168</v>
      </c>
      <c r="C2510" s="12" t="s">
        <v>182</v>
      </c>
      <c r="D2510" t="s">
        <v>187</v>
      </c>
      <c r="E2510" t="s">
        <v>12</v>
      </c>
      <c r="F2510" t="s">
        <v>16</v>
      </c>
      <c r="G2510" t="s">
        <v>188</v>
      </c>
      <c r="H2510" s="94">
        <v>0.7</v>
      </c>
      <c r="I2510" t="s">
        <v>60</v>
      </c>
      <c r="J2510" t="s">
        <v>63</v>
      </c>
      <c r="K2510" t="s">
        <v>190</v>
      </c>
    </row>
    <row r="2511" spans="1:11" x14ac:dyDescent="0.25">
      <c r="A2511" t="s">
        <v>135</v>
      </c>
      <c r="B2511" t="s">
        <v>168</v>
      </c>
      <c r="C2511" s="12" t="s">
        <v>182</v>
      </c>
      <c r="D2511" t="s">
        <v>187</v>
      </c>
      <c r="E2511" t="s">
        <v>12</v>
      </c>
      <c r="F2511" t="s">
        <v>16</v>
      </c>
      <c r="G2511" t="s">
        <v>188</v>
      </c>
      <c r="H2511" s="94">
        <v>0.7</v>
      </c>
      <c r="I2511" t="s">
        <v>60</v>
      </c>
      <c r="J2511" t="s">
        <v>11</v>
      </c>
      <c r="K2511" t="s">
        <v>189</v>
      </c>
    </row>
    <row r="2512" spans="1:11" x14ac:dyDescent="0.25">
      <c r="A2512" t="s">
        <v>135</v>
      </c>
      <c r="B2512" t="s">
        <v>168</v>
      </c>
      <c r="C2512" s="12" t="s">
        <v>182</v>
      </c>
      <c r="D2512" t="s">
        <v>187</v>
      </c>
      <c r="E2512" t="s">
        <v>12</v>
      </c>
      <c r="F2512" t="s">
        <v>16</v>
      </c>
      <c r="G2512" t="s">
        <v>188</v>
      </c>
      <c r="H2512" s="94">
        <v>0.7</v>
      </c>
      <c r="I2512" t="s">
        <v>60</v>
      </c>
      <c r="J2512" t="s">
        <v>11</v>
      </c>
      <c r="K2512" t="s">
        <v>190</v>
      </c>
    </row>
    <row r="2513" spans="1:11" x14ac:dyDescent="0.25">
      <c r="A2513" t="s">
        <v>135</v>
      </c>
      <c r="B2513" t="s">
        <v>168</v>
      </c>
      <c r="C2513" s="12" t="s">
        <v>182</v>
      </c>
      <c r="D2513" t="s">
        <v>187</v>
      </c>
      <c r="E2513" t="s">
        <v>12</v>
      </c>
      <c r="F2513" t="s">
        <v>8</v>
      </c>
      <c r="G2513" t="s">
        <v>188</v>
      </c>
      <c r="H2513" s="94">
        <v>0.34</v>
      </c>
      <c r="I2513" t="s">
        <v>107</v>
      </c>
      <c r="J2513" t="s">
        <v>13</v>
      </c>
      <c r="K2513" t="s">
        <v>189</v>
      </c>
    </row>
    <row r="2514" spans="1:11" x14ac:dyDescent="0.25">
      <c r="A2514" t="s">
        <v>135</v>
      </c>
      <c r="B2514" t="s">
        <v>168</v>
      </c>
      <c r="C2514" s="12" t="s">
        <v>182</v>
      </c>
      <c r="D2514" t="s">
        <v>187</v>
      </c>
      <c r="E2514" t="s">
        <v>12</v>
      </c>
      <c r="F2514" t="s">
        <v>8</v>
      </c>
      <c r="G2514" t="s">
        <v>188</v>
      </c>
      <c r="H2514" s="94">
        <v>0.34</v>
      </c>
      <c r="I2514" t="s">
        <v>107</v>
      </c>
      <c r="J2514" t="s">
        <v>13</v>
      </c>
      <c r="K2514" t="s">
        <v>190</v>
      </c>
    </row>
    <row r="2515" spans="1:11" x14ac:dyDescent="0.25">
      <c r="A2515" t="s">
        <v>135</v>
      </c>
      <c r="B2515" t="s">
        <v>168</v>
      </c>
      <c r="C2515" s="12" t="s">
        <v>182</v>
      </c>
      <c r="D2515" t="s">
        <v>187</v>
      </c>
      <c r="E2515" t="s">
        <v>12</v>
      </c>
      <c r="F2515" t="s">
        <v>8</v>
      </c>
      <c r="G2515" t="s">
        <v>188</v>
      </c>
      <c r="H2515" s="94">
        <v>0.34</v>
      </c>
      <c r="I2515" t="s">
        <v>107</v>
      </c>
      <c r="J2515" t="s">
        <v>63</v>
      </c>
      <c r="K2515" t="s">
        <v>189</v>
      </c>
    </row>
    <row r="2516" spans="1:11" x14ac:dyDescent="0.25">
      <c r="A2516" t="s">
        <v>135</v>
      </c>
      <c r="B2516" t="s">
        <v>168</v>
      </c>
      <c r="C2516" s="12" t="s">
        <v>182</v>
      </c>
      <c r="D2516" t="s">
        <v>187</v>
      </c>
      <c r="E2516" t="s">
        <v>12</v>
      </c>
      <c r="F2516" t="s">
        <v>8</v>
      </c>
      <c r="G2516" t="s">
        <v>188</v>
      </c>
      <c r="H2516" s="94">
        <v>0.34</v>
      </c>
      <c r="I2516" t="s">
        <v>107</v>
      </c>
      <c r="J2516" t="s">
        <v>63</v>
      </c>
      <c r="K2516" t="s">
        <v>190</v>
      </c>
    </row>
    <row r="2517" spans="1:11" x14ac:dyDescent="0.25">
      <c r="A2517" t="s">
        <v>135</v>
      </c>
      <c r="B2517" t="s">
        <v>168</v>
      </c>
      <c r="C2517" s="12" t="s">
        <v>182</v>
      </c>
      <c r="D2517" t="s">
        <v>187</v>
      </c>
      <c r="E2517" t="s">
        <v>12</v>
      </c>
      <c r="F2517" t="s">
        <v>8</v>
      </c>
      <c r="G2517" t="s">
        <v>188</v>
      </c>
      <c r="H2517" s="94">
        <v>0.34</v>
      </c>
      <c r="I2517" t="s">
        <v>107</v>
      </c>
      <c r="J2517" t="s">
        <v>11</v>
      </c>
      <c r="K2517" t="s">
        <v>189</v>
      </c>
    </row>
    <row r="2518" spans="1:11" x14ac:dyDescent="0.25">
      <c r="A2518" t="s">
        <v>135</v>
      </c>
      <c r="B2518" t="s">
        <v>168</v>
      </c>
      <c r="C2518" s="12" t="s">
        <v>182</v>
      </c>
      <c r="D2518" t="s">
        <v>187</v>
      </c>
      <c r="E2518" t="s">
        <v>12</v>
      </c>
      <c r="F2518" t="s">
        <v>8</v>
      </c>
      <c r="G2518" t="s">
        <v>188</v>
      </c>
      <c r="H2518" s="94">
        <v>0.34</v>
      </c>
      <c r="I2518" t="s">
        <v>107</v>
      </c>
      <c r="J2518" t="s">
        <v>11</v>
      </c>
      <c r="K2518" t="s">
        <v>190</v>
      </c>
    </row>
    <row r="2519" spans="1:11" x14ac:dyDescent="0.25">
      <c r="A2519" t="s">
        <v>135</v>
      </c>
      <c r="B2519" t="s">
        <v>168</v>
      </c>
      <c r="C2519" s="12" t="s">
        <v>182</v>
      </c>
      <c r="D2519" t="s">
        <v>187</v>
      </c>
      <c r="E2519" t="s">
        <v>12</v>
      </c>
      <c r="F2519" t="s">
        <v>8</v>
      </c>
      <c r="G2519" t="s">
        <v>188</v>
      </c>
      <c r="H2519" s="94">
        <v>0.34</v>
      </c>
      <c r="I2519" t="s">
        <v>62</v>
      </c>
      <c r="J2519" t="s">
        <v>13</v>
      </c>
      <c r="K2519" t="s">
        <v>189</v>
      </c>
    </row>
    <row r="2520" spans="1:11" x14ac:dyDescent="0.25">
      <c r="A2520" t="s">
        <v>135</v>
      </c>
      <c r="B2520" t="s">
        <v>168</v>
      </c>
      <c r="C2520" s="12" t="s">
        <v>182</v>
      </c>
      <c r="D2520" t="s">
        <v>187</v>
      </c>
      <c r="E2520" t="s">
        <v>12</v>
      </c>
      <c r="F2520" t="s">
        <v>8</v>
      </c>
      <c r="G2520" t="s">
        <v>188</v>
      </c>
      <c r="H2520" s="94">
        <v>0.34</v>
      </c>
      <c r="I2520" t="s">
        <v>62</v>
      </c>
      <c r="J2520" t="s">
        <v>13</v>
      </c>
      <c r="K2520" t="s">
        <v>190</v>
      </c>
    </row>
    <row r="2521" spans="1:11" x14ac:dyDescent="0.25">
      <c r="A2521" t="s">
        <v>135</v>
      </c>
      <c r="B2521" t="s">
        <v>168</v>
      </c>
      <c r="C2521" s="12" t="s">
        <v>182</v>
      </c>
      <c r="D2521" t="s">
        <v>187</v>
      </c>
      <c r="E2521" t="s">
        <v>12</v>
      </c>
      <c r="F2521" t="s">
        <v>8</v>
      </c>
      <c r="G2521" t="s">
        <v>188</v>
      </c>
      <c r="H2521" s="94">
        <v>0.34</v>
      </c>
      <c r="I2521" t="s">
        <v>62</v>
      </c>
      <c r="J2521" t="s">
        <v>63</v>
      </c>
      <c r="K2521" t="s">
        <v>189</v>
      </c>
    </row>
    <row r="2522" spans="1:11" x14ac:dyDescent="0.25">
      <c r="A2522" t="s">
        <v>135</v>
      </c>
      <c r="B2522" t="s">
        <v>168</v>
      </c>
      <c r="C2522" s="12" t="s">
        <v>182</v>
      </c>
      <c r="D2522" t="s">
        <v>187</v>
      </c>
      <c r="E2522" t="s">
        <v>12</v>
      </c>
      <c r="F2522" t="s">
        <v>8</v>
      </c>
      <c r="G2522" t="s">
        <v>188</v>
      </c>
      <c r="H2522" s="94">
        <v>0.34</v>
      </c>
      <c r="I2522" t="s">
        <v>62</v>
      </c>
      <c r="J2522" t="s">
        <v>63</v>
      </c>
      <c r="K2522" t="s">
        <v>190</v>
      </c>
    </row>
    <row r="2523" spans="1:11" x14ac:dyDescent="0.25">
      <c r="A2523" t="s">
        <v>135</v>
      </c>
      <c r="B2523" t="s">
        <v>168</v>
      </c>
      <c r="C2523" s="12" t="s">
        <v>182</v>
      </c>
      <c r="D2523" t="s">
        <v>187</v>
      </c>
      <c r="E2523" t="s">
        <v>12</v>
      </c>
      <c r="F2523" t="s">
        <v>8</v>
      </c>
      <c r="G2523" t="s">
        <v>188</v>
      </c>
      <c r="H2523" s="94">
        <v>0.34</v>
      </c>
      <c r="I2523" t="s">
        <v>62</v>
      </c>
      <c r="J2523" t="s">
        <v>11</v>
      </c>
      <c r="K2523" t="s">
        <v>189</v>
      </c>
    </row>
    <row r="2524" spans="1:11" x14ac:dyDescent="0.25">
      <c r="A2524" t="s">
        <v>135</v>
      </c>
      <c r="B2524" t="s">
        <v>168</v>
      </c>
      <c r="C2524" s="12" t="s">
        <v>182</v>
      </c>
      <c r="D2524" t="s">
        <v>187</v>
      </c>
      <c r="E2524" t="s">
        <v>12</v>
      </c>
      <c r="F2524" t="s">
        <v>8</v>
      </c>
      <c r="G2524" t="s">
        <v>188</v>
      </c>
      <c r="H2524" s="94">
        <v>0.34</v>
      </c>
      <c r="I2524" t="s">
        <v>62</v>
      </c>
      <c r="J2524" t="s">
        <v>11</v>
      </c>
      <c r="K2524" t="s">
        <v>190</v>
      </c>
    </row>
    <row r="2525" spans="1:11" x14ac:dyDescent="0.25">
      <c r="A2525" t="s">
        <v>135</v>
      </c>
      <c r="B2525" t="s">
        <v>168</v>
      </c>
      <c r="C2525" s="12" t="s">
        <v>182</v>
      </c>
      <c r="D2525" t="s">
        <v>187</v>
      </c>
      <c r="E2525" t="s">
        <v>12</v>
      </c>
      <c r="F2525" t="s">
        <v>8</v>
      </c>
      <c r="G2525" t="s">
        <v>188</v>
      </c>
      <c r="H2525" s="94">
        <v>0.34</v>
      </c>
      <c r="I2525" t="s">
        <v>60</v>
      </c>
      <c r="J2525" t="s">
        <v>13</v>
      </c>
      <c r="K2525" t="s">
        <v>189</v>
      </c>
    </row>
    <row r="2526" spans="1:11" x14ac:dyDescent="0.25">
      <c r="A2526" t="s">
        <v>135</v>
      </c>
      <c r="B2526" t="s">
        <v>168</v>
      </c>
      <c r="C2526" s="12" t="s">
        <v>182</v>
      </c>
      <c r="D2526" t="s">
        <v>187</v>
      </c>
      <c r="E2526" t="s">
        <v>12</v>
      </c>
      <c r="F2526" t="s">
        <v>8</v>
      </c>
      <c r="G2526" t="s">
        <v>188</v>
      </c>
      <c r="H2526" s="94">
        <v>0.34</v>
      </c>
      <c r="I2526" t="s">
        <v>60</v>
      </c>
      <c r="J2526" t="s">
        <v>13</v>
      </c>
      <c r="K2526" t="s">
        <v>190</v>
      </c>
    </row>
    <row r="2527" spans="1:11" x14ac:dyDescent="0.25">
      <c r="A2527" t="s">
        <v>135</v>
      </c>
      <c r="B2527" t="s">
        <v>168</v>
      </c>
      <c r="C2527" s="12" t="s">
        <v>182</v>
      </c>
      <c r="D2527" t="s">
        <v>187</v>
      </c>
      <c r="E2527" t="s">
        <v>12</v>
      </c>
      <c r="F2527" t="s">
        <v>8</v>
      </c>
      <c r="G2527" t="s">
        <v>188</v>
      </c>
      <c r="H2527" s="94">
        <v>0.34</v>
      </c>
      <c r="I2527" t="s">
        <v>60</v>
      </c>
      <c r="J2527" t="s">
        <v>63</v>
      </c>
      <c r="K2527" t="s">
        <v>189</v>
      </c>
    </row>
    <row r="2528" spans="1:11" x14ac:dyDescent="0.25">
      <c r="A2528" t="s">
        <v>135</v>
      </c>
      <c r="B2528" t="s">
        <v>168</v>
      </c>
      <c r="C2528" s="12" t="s">
        <v>182</v>
      </c>
      <c r="D2528" t="s">
        <v>187</v>
      </c>
      <c r="E2528" t="s">
        <v>12</v>
      </c>
      <c r="F2528" t="s">
        <v>8</v>
      </c>
      <c r="G2528" t="s">
        <v>188</v>
      </c>
      <c r="H2528" s="94">
        <v>0.34</v>
      </c>
      <c r="I2528" t="s">
        <v>60</v>
      </c>
      <c r="J2528" t="s">
        <v>63</v>
      </c>
      <c r="K2528" t="s">
        <v>190</v>
      </c>
    </row>
    <row r="2529" spans="1:11" x14ac:dyDescent="0.25">
      <c r="A2529" t="s">
        <v>135</v>
      </c>
      <c r="B2529" t="s">
        <v>168</v>
      </c>
      <c r="C2529" s="12" t="s">
        <v>182</v>
      </c>
      <c r="D2529" t="s">
        <v>187</v>
      </c>
      <c r="E2529" t="s">
        <v>12</v>
      </c>
      <c r="F2529" t="s">
        <v>8</v>
      </c>
      <c r="G2529" t="s">
        <v>188</v>
      </c>
      <c r="H2529" s="94">
        <v>0.34</v>
      </c>
      <c r="I2529" t="s">
        <v>60</v>
      </c>
      <c r="J2529" t="s">
        <v>11</v>
      </c>
      <c r="K2529" t="s">
        <v>189</v>
      </c>
    </row>
    <row r="2530" spans="1:11" x14ac:dyDescent="0.25">
      <c r="A2530" t="s">
        <v>135</v>
      </c>
      <c r="B2530" t="s">
        <v>168</v>
      </c>
      <c r="C2530" s="12" t="s">
        <v>182</v>
      </c>
      <c r="D2530" t="s">
        <v>187</v>
      </c>
      <c r="E2530" t="s">
        <v>12</v>
      </c>
      <c r="F2530" t="s">
        <v>8</v>
      </c>
      <c r="G2530" t="s">
        <v>188</v>
      </c>
      <c r="H2530" s="94">
        <v>0.34</v>
      </c>
      <c r="I2530" t="s">
        <v>60</v>
      </c>
      <c r="J2530" t="s">
        <v>11</v>
      </c>
      <c r="K2530" t="s">
        <v>190</v>
      </c>
    </row>
    <row r="2531" spans="1:11" x14ac:dyDescent="0.25">
      <c r="A2531" t="s">
        <v>135</v>
      </c>
      <c r="B2531" t="s">
        <v>168</v>
      </c>
      <c r="C2531" s="12" t="s">
        <v>182</v>
      </c>
      <c r="D2531" t="s">
        <v>187</v>
      </c>
      <c r="E2531" t="s">
        <v>12</v>
      </c>
      <c r="F2531" t="s">
        <v>8</v>
      </c>
      <c r="G2531" t="s">
        <v>188</v>
      </c>
      <c r="H2531" s="94">
        <v>0.7</v>
      </c>
      <c r="I2531" t="s">
        <v>107</v>
      </c>
      <c r="J2531" t="s">
        <v>13</v>
      </c>
      <c r="K2531" t="s">
        <v>189</v>
      </c>
    </row>
    <row r="2532" spans="1:11" x14ac:dyDescent="0.25">
      <c r="A2532" t="s">
        <v>135</v>
      </c>
      <c r="B2532" t="s">
        <v>168</v>
      </c>
      <c r="C2532" s="12" t="s">
        <v>182</v>
      </c>
      <c r="D2532" t="s">
        <v>187</v>
      </c>
      <c r="E2532" t="s">
        <v>12</v>
      </c>
      <c r="F2532" t="s">
        <v>8</v>
      </c>
      <c r="G2532" t="s">
        <v>188</v>
      </c>
      <c r="H2532" s="94">
        <v>0.7</v>
      </c>
      <c r="I2532" t="s">
        <v>107</v>
      </c>
      <c r="J2532" t="s">
        <v>13</v>
      </c>
      <c r="K2532" t="s">
        <v>190</v>
      </c>
    </row>
    <row r="2533" spans="1:11" x14ac:dyDescent="0.25">
      <c r="A2533" t="s">
        <v>135</v>
      </c>
      <c r="B2533" t="s">
        <v>168</v>
      </c>
      <c r="C2533" s="12" t="s">
        <v>182</v>
      </c>
      <c r="D2533" t="s">
        <v>187</v>
      </c>
      <c r="E2533" t="s">
        <v>12</v>
      </c>
      <c r="F2533" t="s">
        <v>8</v>
      </c>
      <c r="G2533" t="s">
        <v>188</v>
      </c>
      <c r="H2533" s="94">
        <v>0.7</v>
      </c>
      <c r="I2533" t="s">
        <v>107</v>
      </c>
      <c r="J2533" t="s">
        <v>63</v>
      </c>
      <c r="K2533" t="s">
        <v>189</v>
      </c>
    </row>
    <row r="2534" spans="1:11" x14ac:dyDescent="0.25">
      <c r="A2534" t="s">
        <v>135</v>
      </c>
      <c r="B2534" t="s">
        <v>168</v>
      </c>
      <c r="C2534" s="12" t="s">
        <v>182</v>
      </c>
      <c r="D2534" t="s">
        <v>187</v>
      </c>
      <c r="E2534" t="s">
        <v>12</v>
      </c>
      <c r="F2534" t="s">
        <v>8</v>
      </c>
      <c r="G2534" t="s">
        <v>188</v>
      </c>
      <c r="H2534" s="94">
        <v>0.7</v>
      </c>
      <c r="I2534" t="s">
        <v>107</v>
      </c>
      <c r="J2534" t="s">
        <v>63</v>
      </c>
      <c r="K2534" t="s">
        <v>190</v>
      </c>
    </row>
    <row r="2535" spans="1:11" x14ac:dyDescent="0.25">
      <c r="A2535" t="s">
        <v>135</v>
      </c>
      <c r="B2535" t="s">
        <v>168</v>
      </c>
      <c r="C2535" s="12" t="s">
        <v>182</v>
      </c>
      <c r="D2535" t="s">
        <v>187</v>
      </c>
      <c r="E2535" t="s">
        <v>12</v>
      </c>
      <c r="F2535" t="s">
        <v>8</v>
      </c>
      <c r="G2535" t="s">
        <v>188</v>
      </c>
      <c r="H2535" s="94">
        <v>0.7</v>
      </c>
      <c r="I2535" t="s">
        <v>107</v>
      </c>
      <c r="J2535" t="s">
        <v>11</v>
      </c>
      <c r="K2535" t="s">
        <v>189</v>
      </c>
    </row>
    <row r="2536" spans="1:11" x14ac:dyDescent="0.25">
      <c r="A2536" t="s">
        <v>135</v>
      </c>
      <c r="B2536" t="s">
        <v>168</v>
      </c>
      <c r="C2536" s="12" t="s">
        <v>182</v>
      </c>
      <c r="D2536" t="s">
        <v>187</v>
      </c>
      <c r="E2536" t="s">
        <v>12</v>
      </c>
      <c r="F2536" t="s">
        <v>8</v>
      </c>
      <c r="G2536" t="s">
        <v>188</v>
      </c>
      <c r="H2536" s="94">
        <v>0.7</v>
      </c>
      <c r="I2536" t="s">
        <v>107</v>
      </c>
      <c r="J2536" t="s">
        <v>11</v>
      </c>
      <c r="K2536" t="s">
        <v>190</v>
      </c>
    </row>
    <row r="2537" spans="1:11" x14ac:dyDescent="0.25">
      <c r="A2537" t="s">
        <v>135</v>
      </c>
      <c r="B2537" t="s">
        <v>168</v>
      </c>
      <c r="C2537" s="12" t="s">
        <v>182</v>
      </c>
      <c r="D2537" t="s">
        <v>187</v>
      </c>
      <c r="E2537" t="s">
        <v>12</v>
      </c>
      <c r="F2537" t="s">
        <v>8</v>
      </c>
      <c r="G2537" t="s">
        <v>188</v>
      </c>
      <c r="H2537" s="94">
        <v>0.7</v>
      </c>
      <c r="I2537" t="s">
        <v>62</v>
      </c>
      <c r="J2537" t="s">
        <v>13</v>
      </c>
      <c r="K2537" t="s">
        <v>189</v>
      </c>
    </row>
    <row r="2538" spans="1:11" x14ac:dyDescent="0.25">
      <c r="A2538" t="s">
        <v>135</v>
      </c>
      <c r="B2538" t="s">
        <v>168</v>
      </c>
      <c r="C2538" s="12" t="s">
        <v>182</v>
      </c>
      <c r="D2538" t="s">
        <v>187</v>
      </c>
      <c r="E2538" t="s">
        <v>12</v>
      </c>
      <c r="F2538" t="s">
        <v>8</v>
      </c>
      <c r="G2538" t="s">
        <v>188</v>
      </c>
      <c r="H2538" s="94">
        <v>0.7</v>
      </c>
      <c r="I2538" t="s">
        <v>62</v>
      </c>
      <c r="J2538" t="s">
        <v>13</v>
      </c>
      <c r="K2538" t="s">
        <v>190</v>
      </c>
    </row>
    <row r="2539" spans="1:11" x14ac:dyDescent="0.25">
      <c r="A2539" t="s">
        <v>135</v>
      </c>
      <c r="B2539" t="s">
        <v>168</v>
      </c>
      <c r="C2539" s="12" t="s">
        <v>182</v>
      </c>
      <c r="D2539" t="s">
        <v>187</v>
      </c>
      <c r="E2539" t="s">
        <v>12</v>
      </c>
      <c r="F2539" t="s">
        <v>8</v>
      </c>
      <c r="G2539" t="s">
        <v>188</v>
      </c>
      <c r="H2539" s="94">
        <v>0.7</v>
      </c>
      <c r="I2539" t="s">
        <v>62</v>
      </c>
      <c r="J2539" t="s">
        <v>63</v>
      </c>
      <c r="K2539" t="s">
        <v>189</v>
      </c>
    </row>
    <row r="2540" spans="1:11" x14ac:dyDescent="0.25">
      <c r="A2540" t="s">
        <v>135</v>
      </c>
      <c r="B2540" t="s">
        <v>168</v>
      </c>
      <c r="C2540" s="12" t="s">
        <v>182</v>
      </c>
      <c r="D2540" t="s">
        <v>187</v>
      </c>
      <c r="E2540" t="s">
        <v>12</v>
      </c>
      <c r="F2540" t="s">
        <v>8</v>
      </c>
      <c r="G2540" t="s">
        <v>188</v>
      </c>
      <c r="H2540" s="94">
        <v>0.7</v>
      </c>
      <c r="I2540" t="s">
        <v>62</v>
      </c>
      <c r="J2540" t="s">
        <v>63</v>
      </c>
      <c r="K2540" t="s">
        <v>190</v>
      </c>
    </row>
    <row r="2541" spans="1:11" x14ac:dyDescent="0.25">
      <c r="A2541" t="s">
        <v>135</v>
      </c>
      <c r="B2541" t="s">
        <v>168</v>
      </c>
      <c r="C2541" s="12" t="s">
        <v>182</v>
      </c>
      <c r="D2541" t="s">
        <v>187</v>
      </c>
      <c r="E2541" t="s">
        <v>12</v>
      </c>
      <c r="F2541" t="s">
        <v>8</v>
      </c>
      <c r="G2541" t="s">
        <v>188</v>
      </c>
      <c r="H2541" s="94">
        <v>0.7</v>
      </c>
      <c r="I2541" t="s">
        <v>62</v>
      </c>
      <c r="J2541" t="s">
        <v>11</v>
      </c>
      <c r="K2541" t="s">
        <v>189</v>
      </c>
    </row>
    <row r="2542" spans="1:11" x14ac:dyDescent="0.25">
      <c r="A2542" t="s">
        <v>135</v>
      </c>
      <c r="B2542" t="s">
        <v>168</v>
      </c>
      <c r="C2542" s="12" t="s">
        <v>182</v>
      </c>
      <c r="D2542" t="s">
        <v>187</v>
      </c>
      <c r="E2542" t="s">
        <v>12</v>
      </c>
      <c r="F2542" t="s">
        <v>8</v>
      </c>
      <c r="G2542" t="s">
        <v>188</v>
      </c>
      <c r="H2542" s="94">
        <v>0.7</v>
      </c>
      <c r="I2542" t="s">
        <v>62</v>
      </c>
      <c r="J2542" t="s">
        <v>11</v>
      </c>
      <c r="K2542" t="s">
        <v>190</v>
      </c>
    </row>
    <row r="2543" spans="1:11" x14ac:dyDescent="0.25">
      <c r="A2543" t="s">
        <v>135</v>
      </c>
      <c r="B2543" t="s">
        <v>168</v>
      </c>
      <c r="C2543" s="12" t="s">
        <v>182</v>
      </c>
      <c r="D2543" t="s">
        <v>187</v>
      </c>
      <c r="E2543" t="s">
        <v>12</v>
      </c>
      <c r="F2543" t="s">
        <v>8</v>
      </c>
      <c r="G2543" t="s">
        <v>188</v>
      </c>
      <c r="H2543" s="94">
        <v>0.7</v>
      </c>
      <c r="I2543" t="s">
        <v>60</v>
      </c>
      <c r="J2543" t="s">
        <v>13</v>
      </c>
      <c r="K2543" t="s">
        <v>189</v>
      </c>
    </row>
    <row r="2544" spans="1:11" x14ac:dyDescent="0.25">
      <c r="A2544" t="s">
        <v>135</v>
      </c>
      <c r="B2544" t="s">
        <v>168</v>
      </c>
      <c r="C2544" s="12" t="s">
        <v>182</v>
      </c>
      <c r="D2544" t="s">
        <v>187</v>
      </c>
      <c r="E2544" t="s">
        <v>12</v>
      </c>
      <c r="F2544" t="s">
        <v>8</v>
      </c>
      <c r="G2544" t="s">
        <v>188</v>
      </c>
      <c r="H2544" s="94">
        <v>0.7</v>
      </c>
      <c r="I2544" t="s">
        <v>60</v>
      </c>
      <c r="J2544" t="s">
        <v>13</v>
      </c>
      <c r="K2544" t="s">
        <v>190</v>
      </c>
    </row>
    <row r="2545" spans="1:11" x14ac:dyDescent="0.25">
      <c r="A2545" t="s">
        <v>135</v>
      </c>
      <c r="B2545" t="s">
        <v>168</v>
      </c>
      <c r="C2545" s="12" t="s">
        <v>182</v>
      </c>
      <c r="D2545" t="s">
        <v>187</v>
      </c>
      <c r="E2545" t="s">
        <v>12</v>
      </c>
      <c r="F2545" t="s">
        <v>8</v>
      </c>
      <c r="G2545" t="s">
        <v>188</v>
      </c>
      <c r="H2545" s="94">
        <v>0.7</v>
      </c>
      <c r="I2545" t="s">
        <v>60</v>
      </c>
      <c r="J2545" t="s">
        <v>63</v>
      </c>
      <c r="K2545" t="s">
        <v>189</v>
      </c>
    </row>
    <row r="2546" spans="1:11" x14ac:dyDescent="0.25">
      <c r="A2546" t="s">
        <v>135</v>
      </c>
      <c r="B2546" t="s">
        <v>168</v>
      </c>
      <c r="C2546" s="12" t="s">
        <v>182</v>
      </c>
      <c r="D2546" t="s">
        <v>187</v>
      </c>
      <c r="E2546" t="s">
        <v>12</v>
      </c>
      <c r="F2546" t="s">
        <v>8</v>
      </c>
      <c r="G2546" t="s">
        <v>188</v>
      </c>
      <c r="H2546" s="94">
        <v>0.7</v>
      </c>
      <c r="I2546" t="s">
        <v>60</v>
      </c>
      <c r="J2546" t="s">
        <v>63</v>
      </c>
      <c r="K2546" t="s">
        <v>190</v>
      </c>
    </row>
    <row r="2547" spans="1:11" x14ac:dyDescent="0.25">
      <c r="A2547" t="s">
        <v>135</v>
      </c>
      <c r="B2547" t="s">
        <v>168</v>
      </c>
      <c r="C2547" s="12" t="s">
        <v>182</v>
      </c>
      <c r="D2547" t="s">
        <v>187</v>
      </c>
      <c r="E2547" t="s">
        <v>12</v>
      </c>
      <c r="F2547" t="s">
        <v>8</v>
      </c>
      <c r="G2547" t="s">
        <v>188</v>
      </c>
      <c r="H2547" s="94">
        <v>0.7</v>
      </c>
      <c r="I2547" t="s">
        <v>60</v>
      </c>
      <c r="J2547" t="s">
        <v>11</v>
      </c>
      <c r="K2547" t="s">
        <v>189</v>
      </c>
    </row>
    <row r="2548" spans="1:11" x14ac:dyDescent="0.25">
      <c r="A2548" t="s">
        <v>135</v>
      </c>
      <c r="B2548" t="s">
        <v>168</v>
      </c>
      <c r="C2548" s="12" t="s">
        <v>182</v>
      </c>
      <c r="D2548" t="s">
        <v>187</v>
      </c>
      <c r="E2548" t="s">
        <v>12</v>
      </c>
      <c r="F2548" t="s">
        <v>8</v>
      </c>
      <c r="G2548" t="s">
        <v>188</v>
      </c>
      <c r="H2548" s="94">
        <v>0.7</v>
      </c>
      <c r="I2548" t="s">
        <v>60</v>
      </c>
      <c r="J2548" t="s">
        <v>11</v>
      </c>
      <c r="K2548" t="s">
        <v>190</v>
      </c>
    </row>
    <row r="2549" spans="1:11" x14ac:dyDescent="0.25">
      <c r="A2549" t="s">
        <v>135</v>
      </c>
      <c r="B2549" t="s">
        <v>168</v>
      </c>
      <c r="C2549" s="12" t="s">
        <v>182</v>
      </c>
      <c r="D2549" t="s">
        <v>187</v>
      </c>
      <c r="E2549" t="s">
        <v>6</v>
      </c>
      <c r="F2549" t="s">
        <v>72</v>
      </c>
      <c r="G2549" t="s">
        <v>188</v>
      </c>
      <c r="H2549" s="94">
        <v>0.34</v>
      </c>
      <c r="I2549" t="s">
        <v>107</v>
      </c>
      <c r="J2549" t="s">
        <v>13</v>
      </c>
      <c r="K2549" t="s">
        <v>189</v>
      </c>
    </row>
    <row r="2550" spans="1:11" x14ac:dyDescent="0.25">
      <c r="A2550" t="s">
        <v>135</v>
      </c>
      <c r="B2550" t="s">
        <v>168</v>
      </c>
      <c r="C2550" s="12" t="s">
        <v>182</v>
      </c>
      <c r="D2550" t="s">
        <v>187</v>
      </c>
      <c r="E2550" t="s">
        <v>6</v>
      </c>
      <c r="F2550" t="s">
        <v>72</v>
      </c>
      <c r="G2550" t="s">
        <v>188</v>
      </c>
      <c r="H2550" s="94">
        <v>0.34</v>
      </c>
      <c r="I2550" t="s">
        <v>107</v>
      </c>
      <c r="J2550" t="s">
        <v>13</v>
      </c>
      <c r="K2550" t="s">
        <v>190</v>
      </c>
    </row>
    <row r="2551" spans="1:11" x14ac:dyDescent="0.25">
      <c r="A2551" t="s">
        <v>135</v>
      </c>
      <c r="B2551" t="s">
        <v>168</v>
      </c>
      <c r="C2551" s="12" t="s">
        <v>182</v>
      </c>
      <c r="D2551" t="s">
        <v>187</v>
      </c>
      <c r="E2551" t="s">
        <v>6</v>
      </c>
      <c r="F2551" t="s">
        <v>72</v>
      </c>
      <c r="G2551" t="s">
        <v>188</v>
      </c>
      <c r="H2551" s="94">
        <v>0.34</v>
      </c>
      <c r="I2551" t="s">
        <v>107</v>
      </c>
      <c r="J2551" t="s">
        <v>63</v>
      </c>
      <c r="K2551" t="s">
        <v>189</v>
      </c>
    </row>
    <row r="2552" spans="1:11" x14ac:dyDescent="0.25">
      <c r="A2552" t="s">
        <v>135</v>
      </c>
      <c r="B2552" t="s">
        <v>168</v>
      </c>
      <c r="C2552" s="12" t="s">
        <v>182</v>
      </c>
      <c r="D2552" t="s">
        <v>187</v>
      </c>
      <c r="E2552" t="s">
        <v>6</v>
      </c>
      <c r="F2552" t="s">
        <v>72</v>
      </c>
      <c r="G2552" t="s">
        <v>188</v>
      </c>
      <c r="H2552" s="94">
        <v>0.34</v>
      </c>
      <c r="I2552" t="s">
        <v>107</v>
      </c>
      <c r="J2552" t="s">
        <v>63</v>
      </c>
      <c r="K2552" t="s">
        <v>190</v>
      </c>
    </row>
    <row r="2553" spans="1:11" x14ac:dyDescent="0.25">
      <c r="A2553" t="s">
        <v>135</v>
      </c>
      <c r="B2553" t="s">
        <v>168</v>
      </c>
      <c r="C2553" s="12" t="s">
        <v>182</v>
      </c>
      <c r="D2553" t="s">
        <v>187</v>
      </c>
      <c r="E2553" t="s">
        <v>6</v>
      </c>
      <c r="F2553" t="s">
        <v>72</v>
      </c>
      <c r="G2553" t="s">
        <v>188</v>
      </c>
      <c r="H2553" s="94">
        <v>0.34</v>
      </c>
      <c r="I2553" t="s">
        <v>107</v>
      </c>
      <c r="J2553" t="s">
        <v>11</v>
      </c>
      <c r="K2553" t="s">
        <v>189</v>
      </c>
    </row>
    <row r="2554" spans="1:11" x14ac:dyDescent="0.25">
      <c r="A2554" t="s">
        <v>135</v>
      </c>
      <c r="B2554" t="s">
        <v>168</v>
      </c>
      <c r="C2554" s="12" t="s">
        <v>182</v>
      </c>
      <c r="D2554" t="s">
        <v>187</v>
      </c>
      <c r="E2554" t="s">
        <v>6</v>
      </c>
      <c r="F2554" t="s">
        <v>72</v>
      </c>
      <c r="G2554" t="s">
        <v>188</v>
      </c>
      <c r="H2554" s="94">
        <v>0.34</v>
      </c>
      <c r="I2554" t="s">
        <v>107</v>
      </c>
      <c r="J2554" t="s">
        <v>11</v>
      </c>
      <c r="K2554" t="s">
        <v>190</v>
      </c>
    </row>
    <row r="2555" spans="1:11" x14ac:dyDescent="0.25">
      <c r="A2555" t="s">
        <v>135</v>
      </c>
      <c r="B2555" t="s">
        <v>168</v>
      </c>
      <c r="C2555" s="12" t="s">
        <v>182</v>
      </c>
      <c r="D2555" t="s">
        <v>187</v>
      </c>
      <c r="E2555" t="s">
        <v>6</v>
      </c>
      <c r="F2555" t="s">
        <v>72</v>
      </c>
      <c r="G2555" t="s">
        <v>188</v>
      </c>
      <c r="H2555" s="94">
        <v>0.34</v>
      </c>
      <c r="I2555" t="s">
        <v>62</v>
      </c>
      <c r="J2555" t="s">
        <v>13</v>
      </c>
      <c r="K2555" t="s">
        <v>189</v>
      </c>
    </row>
    <row r="2556" spans="1:11" x14ac:dyDescent="0.25">
      <c r="A2556" t="s">
        <v>135</v>
      </c>
      <c r="B2556" t="s">
        <v>168</v>
      </c>
      <c r="C2556" s="12" t="s">
        <v>182</v>
      </c>
      <c r="D2556" t="s">
        <v>187</v>
      </c>
      <c r="E2556" t="s">
        <v>6</v>
      </c>
      <c r="F2556" t="s">
        <v>72</v>
      </c>
      <c r="G2556" t="s">
        <v>188</v>
      </c>
      <c r="H2556" s="94">
        <v>0.34</v>
      </c>
      <c r="I2556" t="s">
        <v>62</v>
      </c>
      <c r="J2556" t="s">
        <v>13</v>
      </c>
      <c r="K2556" t="s">
        <v>190</v>
      </c>
    </row>
    <row r="2557" spans="1:11" x14ac:dyDescent="0.25">
      <c r="A2557" t="s">
        <v>135</v>
      </c>
      <c r="B2557" t="s">
        <v>168</v>
      </c>
      <c r="C2557" s="12" t="s">
        <v>182</v>
      </c>
      <c r="D2557" t="s">
        <v>187</v>
      </c>
      <c r="E2557" t="s">
        <v>6</v>
      </c>
      <c r="F2557" t="s">
        <v>72</v>
      </c>
      <c r="G2557" t="s">
        <v>188</v>
      </c>
      <c r="H2557" s="94">
        <v>0.34</v>
      </c>
      <c r="I2557" t="s">
        <v>62</v>
      </c>
      <c r="J2557" t="s">
        <v>63</v>
      </c>
      <c r="K2557" t="s">
        <v>189</v>
      </c>
    </row>
    <row r="2558" spans="1:11" x14ac:dyDescent="0.25">
      <c r="A2558" t="s">
        <v>135</v>
      </c>
      <c r="B2558" t="s">
        <v>168</v>
      </c>
      <c r="C2558" s="12" t="s">
        <v>182</v>
      </c>
      <c r="D2558" t="s">
        <v>187</v>
      </c>
      <c r="E2558" t="s">
        <v>6</v>
      </c>
      <c r="F2558" t="s">
        <v>72</v>
      </c>
      <c r="G2558" t="s">
        <v>188</v>
      </c>
      <c r="H2558" s="94">
        <v>0.34</v>
      </c>
      <c r="I2558" t="s">
        <v>62</v>
      </c>
      <c r="J2558" t="s">
        <v>63</v>
      </c>
      <c r="K2558" t="s">
        <v>190</v>
      </c>
    </row>
    <row r="2559" spans="1:11" x14ac:dyDescent="0.25">
      <c r="A2559" t="s">
        <v>135</v>
      </c>
      <c r="B2559" t="s">
        <v>168</v>
      </c>
      <c r="C2559" s="12" t="s">
        <v>182</v>
      </c>
      <c r="D2559" t="s">
        <v>187</v>
      </c>
      <c r="E2559" t="s">
        <v>6</v>
      </c>
      <c r="F2559" t="s">
        <v>72</v>
      </c>
      <c r="G2559" t="s">
        <v>188</v>
      </c>
      <c r="H2559" s="94">
        <v>0.34</v>
      </c>
      <c r="I2559" t="s">
        <v>62</v>
      </c>
      <c r="J2559" t="s">
        <v>11</v>
      </c>
      <c r="K2559" t="s">
        <v>189</v>
      </c>
    </row>
    <row r="2560" spans="1:11" x14ac:dyDescent="0.25">
      <c r="A2560" t="s">
        <v>135</v>
      </c>
      <c r="B2560" t="s">
        <v>168</v>
      </c>
      <c r="C2560" s="12" t="s">
        <v>182</v>
      </c>
      <c r="D2560" t="s">
        <v>187</v>
      </c>
      <c r="E2560" t="s">
        <v>6</v>
      </c>
      <c r="F2560" t="s">
        <v>72</v>
      </c>
      <c r="G2560" t="s">
        <v>188</v>
      </c>
      <c r="H2560" s="94">
        <v>0.34</v>
      </c>
      <c r="I2560" t="s">
        <v>62</v>
      </c>
      <c r="J2560" t="s">
        <v>11</v>
      </c>
      <c r="K2560" t="s">
        <v>190</v>
      </c>
    </row>
    <row r="2561" spans="1:11" x14ac:dyDescent="0.25">
      <c r="A2561" t="s">
        <v>135</v>
      </c>
      <c r="B2561" t="s">
        <v>168</v>
      </c>
      <c r="C2561" s="12" t="s">
        <v>182</v>
      </c>
      <c r="D2561" t="s">
        <v>187</v>
      </c>
      <c r="E2561" t="s">
        <v>6</v>
      </c>
      <c r="F2561" t="s">
        <v>72</v>
      </c>
      <c r="G2561" t="s">
        <v>188</v>
      </c>
      <c r="H2561" s="94">
        <v>0.34</v>
      </c>
      <c r="I2561" t="s">
        <v>60</v>
      </c>
      <c r="J2561" t="s">
        <v>13</v>
      </c>
      <c r="K2561" t="s">
        <v>189</v>
      </c>
    </row>
    <row r="2562" spans="1:11" x14ac:dyDescent="0.25">
      <c r="A2562" t="s">
        <v>135</v>
      </c>
      <c r="B2562" t="s">
        <v>168</v>
      </c>
      <c r="C2562" s="12" t="s">
        <v>182</v>
      </c>
      <c r="D2562" t="s">
        <v>187</v>
      </c>
      <c r="E2562" t="s">
        <v>6</v>
      </c>
      <c r="F2562" t="s">
        <v>72</v>
      </c>
      <c r="G2562" t="s">
        <v>188</v>
      </c>
      <c r="H2562" s="94">
        <v>0.34</v>
      </c>
      <c r="I2562" t="s">
        <v>60</v>
      </c>
      <c r="J2562" t="s">
        <v>13</v>
      </c>
      <c r="K2562" t="s">
        <v>190</v>
      </c>
    </row>
    <row r="2563" spans="1:11" x14ac:dyDescent="0.25">
      <c r="A2563" t="s">
        <v>135</v>
      </c>
      <c r="B2563" t="s">
        <v>168</v>
      </c>
      <c r="C2563" s="12" t="s">
        <v>182</v>
      </c>
      <c r="D2563" t="s">
        <v>187</v>
      </c>
      <c r="E2563" t="s">
        <v>6</v>
      </c>
      <c r="F2563" t="s">
        <v>72</v>
      </c>
      <c r="G2563" t="s">
        <v>188</v>
      </c>
      <c r="H2563" s="94">
        <v>0.34</v>
      </c>
      <c r="I2563" t="s">
        <v>60</v>
      </c>
      <c r="J2563" t="s">
        <v>63</v>
      </c>
      <c r="K2563" t="s">
        <v>189</v>
      </c>
    </row>
    <row r="2564" spans="1:11" x14ac:dyDescent="0.25">
      <c r="A2564" t="s">
        <v>135</v>
      </c>
      <c r="B2564" t="s">
        <v>168</v>
      </c>
      <c r="C2564" s="12" t="s">
        <v>182</v>
      </c>
      <c r="D2564" t="s">
        <v>187</v>
      </c>
      <c r="E2564" t="s">
        <v>6</v>
      </c>
      <c r="F2564" t="s">
        <v>72</v>
      </c>
      <c r="G2564" t="s">
        <v>188</v>
      </c>
      <c r="H2564" s="94">
        <v>0.34</v>
      </c>
      <c r="I2564" t="s">
        <v>60</v>
      </c>
      <c r="J2564" t="s">
        <v>63</v>
      </c>
      <c r="K2564" t="s">
        <v>190</v>
      </c>
    </row>
    <row r="2565" spans="1:11" x14ac:dyDescent="0.25">
      <c r="A2565" t="s">
        <v>135</v>
      </c>
      <c r="B2565" t="s">
        <v>168</v>
      </c>
      <c r="C2565" s="12" t="s">
        <v>182</v>
      </c>
      <c r="D2565" t="s">
        <v>187</v>
      </c>
      <c r="E2565" t="s">
        <v>6</v>
      </c>
      <c r="F2565" t="s">
        <v>72</v>
      </c>
      <c r="G2565" t="s">
        <v>188</v>
      </c>
      <c r="H2565" s="94">
        <v>0.34</v>
      </c>
      <c r="I2565" t="s">
        <v>60</v>
      </c>
      <c r="J2565" t="s">
        <v>11</v>
      </c>
      <c r="K2565" t="s">
        <v>189</v>
      </c>
    </row>
    <row r="2566" spans="1:11" x14ac:dyDescent="0.25">
      <c r="A2566" t="s">
        <v>135</v>
      </c>
      <c r="B2566" t="s">
        <v>168</v>
      </c>
      <c r="C2566" s="12" t="s">
        <v>182</v>
      </c>
      <c r="D2566" t="s">
        <v>187</v>
      </c>
      <c r="E2566" t="s">
        <v>6</v>
      </c>
      <c r="F2566" t="s">
        <v>72</v>
      </c>
      <c r="G2566" t="s">
        <v>188</v>
      </c>
      <c r="H2566" s="94">
        <v>0.34</v>
      </c>
      <c r="I2566" t="s">
        <v>60</v>
      </c>
      <c r="J2566" t="s">
        <v>11</v>
      </c>
      <c r="K2566" t="s">
        <v>190</v>
      </c>
    </row>
    <row r="2567" spans="1:11" x14ac:dyDescent="0.25">
      <c r="A2567" t="s">
        <v>135</v>
      </c>
      <c r="B2567" t="s">
        <v>168</v>
      </c>
      <c r="C2567" s="12" t="s">
        <v>182</v>
      </c>
      <c r="D2567" t="s">
        <v>187</v>
      </c>
      <c r="E2567" t="s">
        <v>6</v>
      </c>
      <c r="F2567" t="s">
        <v>72</v>
      </c>
      <c r="G2567" t="s">
        <v>188</v>
      </c>
      <c r="H2567" s="94">
        <v>0.7</v>
      </c>
      <c r="I2567" t="s">
        <v>107</v>
      </c>
      <c r="J2567" t="s">
        <v>13</v>
      </c>
      <c r="K2567" t="s">
        <v>189</v>
      </c>
    </row>
    <row r="2568" spans="1:11" x14ac:dyDescent="0.25">
      <c r="A2568" t="s">
        <v>135</v>
      </c>
      <c r="B2568" t="s">
        <v>168</v>
      </c>
      <c r="C2568" s="12" t="s">
        <v>182</v>
      </c>
      <c r="D2568" t="s">
        <v>187</v>
      </c>
      <c r="E2568" t="s">
        <v>6</v>
      </c>
      <c r="F2568" t="s">
        <v>72</v>
      </c>
      <c r="G2568" t="s">
        <v>188</v>
      </c>
      <c r="H2568" s="94">
        <v>0.7</v>
      </c>
      <c r="I2568" t="s">
        <v>107</v>
      </c>
      <c r="J2568" t="s">
        <v>13</v>
      </c>
      <c r="K2568" t="s">
        <v>190</v>
      </c>
    </row>
    <row r="2569" spans="1:11" x14ac:dyDescent="0.25">
      <c r="A2569" t="s">
        <v>135</v>
      </c>
      <c r="B2569" t="s">
        <v>168</v>
      </c>
      <c r="C2569" s="12" t="s">
        <v>182</v>
      </c>
      <c r="D2569" t="s">
        <v>187</v>
      </c>
      <c r="E2569" t="s">
        <v>6</v>
      </c>
      <c r="F2569" t="s">
        <v>72</v>
      </c>
      <c r="G2569" t="s">
        <v>188</v>
      </c>
      <c r="H2569" s="94">
        <v>0.7</v>
      </c>
      <c r="I2569" t="s">
        <v>107</v>
      </c>
      <c r="J2569" t="s">
        <v>63</v>
      </c>
      <c r="K2569" t="s">
        <v>189</v>
      </c>
    </row>
    <row r="2570" spans="1:11" x14ac:dyDescent="0.25">
      <c r="A2570" t="s">
        <v>135</v>
      </c>
      <c r="B2570" t="s">
        <v>168</v>
      </c>
      <c r="C2570" s="12" t="s">
        <v>182</v>
      </c>
      <c r="D2570" t="s">
        <v>187</v>
      </c>
      <c r="E2570" t="s">
        <v>6</v>
      </c>
      <c r="F2570" t="s">
        <v>72</v>
      </c>
      <c r="G2570" t="s">
        <v>188</v>
      </c>
      <c r="H2570" s="94">
        <v>0.7</v>
      </c>
      <c r="I2570" t="s">
        <v>107</v>
      </c>
      <c r="J2570" t="s">
        <v>63</v>
      </c>
      <c r="K2570" t="s">
        <v>190</v>
      </c>
    </row>
    <row r="2571" spans="1:11" x14ac:dyDescent="0.25">
      <c r="A2571" t="s">
        <v>135</v>
      </c>
      <c r="B2571" t="s">
        <v>168</v>
      </c>
      <c r="C2571" s="12" t="s">
        <v>182</v>
      </c>
      <c r="D2571" t="s">
        <v>187</v>
      </c>
      <c r="E2571" t="s">
        <v>6</v>
      </c>
      <c r="F2571" t="s">
        <v>72</v>
      </c>
      <c r="G2571" t="s">
        <v>188</v>
      </c>
      <c r="H2571" s="94">
        <v>0.7</v>
      </c>
      <c r="I2571" t="s">
        <v>107</v>
      </c>
      <c r="J2571" t="s">
        <v>11</v>
      </c>
      <c r="K2571" t="s">
        <v>189</v>
      </c>
    </row>
    <row r="2572" spans="1:11" x14ac:dyDescent="0.25">
      <c r="A2572" t="s">
        <v>135</v>
      </c>
      <c r="B2572" t="s">
        <v>168</v>
      </c>
      <c r="C2572" s="12" t="s">
        <v>182</v>
      </c>
      <c r="D2572" t="s">
        <v>187</v>
      </c>
      <c r="E2572" t="s">
        <v>6</v>
      </c>
      <c r="F2572" t="s">
        <v>72</v>
      </c>
      <c r="G2572" t="s">
        <v>188</v>
      </c>
      <c r="H2572" s="94">
        <v>0.7</v>
      </c>
      <c r="I2572" t="s">
        <v>107</v>
      </c>
      <c r="J2572" t="s">
        <v>11</v>
      </c>
      <c r="K2572" t="s">
        <v>190</v>
      </c>
    </row>
    <row r="2573" spans="1:11" x14ac:dyDescent="0.25">
      <c r="A2573" t="s">
        <v>135</v>
      </c>
      <c r="B2573" t="s">
        <v>168</v>
      </c>
      <c r="C2573" s="12" t="s">
        <v>182</v>
      </c>
      <c r="D2573" t="s">
        <v>187</v>
      </c>
      <c r="E2573" t="s">
        <v>6</v>
      </c>
      <c r="F2573" t="s">
        <v>72</v>
      </c>
      <c r="G2573" t="s">
        <v>188</v>
      </c>
      <c r="H2573" s="94">
        <v>0.7</v>
      </c>
      <c r="I2573" t="s">
        <v>62</v>
      </c>
      <c r="J2573" t="s">
        <v>13</v>
      </c>
      <c r="K2573" t="s">
        <v>189</v>
      </c>
    </row>
    <row r="2574" spans="1:11" x14ac:dyDescent="0.25">
      <c r="A2574" t="s">
        <v>135</v>
      </c>
      <c r="B2574" t="s">
        <v>168</v>
      </c>
      <c r="C2574" s="12" t="s">
        <v>182</v>
      </c>
      <c r="D2574" t="s">
        <v>187</v>
      </c>
      <c r="E2574" t="s">
        <v>6</v>
      </c>
      <c r="F2574" t="s">
        <v>72</v>
      </c>
      <c r="G2574" t="s">
        <v>188</v>
      </c>
      <c r="H2574" s="94">
        <v>0.7</v>
      </c>
      <c r="I2574" t="s">
        <v>62</v>
      </c>
      <c r="J2574" t="s">
        <v>13</v>
      </c>
      <c r="K2574" t="s">
        <v>190</v>
      </c>
    </row>
    <row r="2575" spans="1:11" x14ac:dyDescent="0.25">
      <c r="A2575" t="s">
        <v>135</v>
      </c>
      <c r="B2575" t="s">
        <v>168</v>
      </c>
      <c r="C2575" s="12" t="s">
        <v>182</v>
      </c>
      <c r="D2575" t="s">
        <v>187</v>
      </c>
      <c r="E2575" t="s">
        <v>6</v>
      </c>
      <c r="F2575" t="s">
        <v>72</v>
      </c>
      <c r="G2575" t="s">
        <v>188</v>
      </c>
      <c r="H2575" s="94">
        <v>0.7</v>
      </c>
      <c r="I2575" t="s">
        <v>62</v>
      </c>
      <c r="J2575" t="s">
        <v>63</v>
      </c>
      <c r="K2575" t="s">
        <v>189</v>
      </c>
    </row>
    <row r="2576" spans="1:11" x14ac:dyDescent="0.25">
      <c r="A2576" t="s">
        <v>135</v>
      </c>
      <c r="B2576" t="s">
        <v>168</v>
      </c>
      <c r="C2576" s="12" t="s">
        <v>182</v>
      </c>
      <c r="D2576" t="s">
        <v>187</v>
      </c>
      <c r="E2576" t="s">
        <v>6</v>
      </c>
      <c r="F2576" t="s">
        <v>72</v>
      </c>
      <c r="G2576" t="s">
        <v>188</v>
      </c>
      <c r="H2576" s="94">
        <v>0.7</v>
      </c>
      <c r="I2576" t="s">
        <v>62</v>
      </c>
      <c r="J2576" t="s">
        <v>63</v>
      </c>
      <c r="K2576" t="s">
        <v>190</v>
      </c>
    </row>
    <row r="2577" spans="1:11" x14ac:dyDescent="0.25">
      <c r="A2577" t="s">
        <v>135</v>
      </c>
      <c r="B2577" t="s">
        <v>168</v>
      </c>
      <c r="C2577" s="12" t="s">
        <v>182</v>
      </c>
      <c r="D2577" t="s">
        <v>187</v>
      </c>
      <c r="E2577" t="s">
        <v>6</v>
      </c>
      <c r="F2577" t="s">
        <v>72</v>
      </c>
      <c r="G2577" t="s">
        <v>188</v>
      </c>
      <c r="H2577" s="94">
        <v>0.7</v>
      </c>
      <c r="I2577" t="s">
        <v>62</v>
      </c>
      <c r="J2577" t="s">
        <v>11</v>
      </c>
      <c r="K2577" t="s">
        <v>189</v>
      </c>
    </row>
    <row r="2578" spans="1:11" x14ac:dyDescent="0.25">
      <c r="A2578" t="s">
        <v>135</v>
      </c>
      <c r="B2578" t="s">
        <v>168</v>
      </c>
      <c r="C2578" s="12" t="s">
        <v>182</v>
      </c>
      <c r="D2578" t="s">
        <v>187</v>
      </c>
      <c r="E2578" t="s">
        <v>6</v>
      </c>
      <c r="F2578" t="s">
        <v>72</v>
      </c>
      <c r="G2578" t="s">
        <v>188</v>
      </c>
      <c r="H2578" s="94">
        <v>0.7</v>
      </c>
      <c r="I2578" t="s">
        <v>62</v>
      </c>
      <c r="J2578" t="s">
        <v>11</v>
      </c>
      <c r="K2578" t="s">
        <v>190</v>
      </c>
    </row>
    <row r="2579" spans="1:11" x14ac:dyDescent="0.25">
      <c r="A2579" t="s">
        <v>135</v>
      </c>
      <c r="B2579" t="s">
        <v>168</v>
      </c>
      <c r="C2579" s="12" t="s">
        <v>182</v>
      </c>
      <c r="D2579" t="s">
        <v>187</v>
      </c>
      <c r="E2579" t="s">
        <v>6</v>
      </c>
      <c r="F2579" t="s">
        <v>72</v>
      </c>
      <c r="G2579" t="s">
        <v>188</v>
      </c>
      <c r="H2579" s="94">
        <v>0.7</v>
      </c>
      <c r="I2579" t="s">
        <v>60</v>
      </c>
      <c r="J2579" t="s">
        <v>13</v>
      </c>
      <c r="K2579" t="s">
        <v>189</v>
      </c>
    </row>
    <row r="2580" spans="1:11" x14ac:dyDescent="0.25">
      <c r="A2580" t="s">
        <v>135</v>
      </c>
      <c r="B2580" t="s">
        <v>168</v>
      </c>
      <c r="C2580" s="12" t="s">
        <v>182</v>
      </c>
      <c r="D2580" t="s">
        <v>187</v>
      </c>
      <c r="E2580" t="s">
        <v>6</v>
      </c>
      <c r="F2580" t="s">
        <v>72</v>
      </c>
      <c r="G2580" t="s">
        <v>188</v>
      </c>
      <c r="H2580" s="94">
        <v>0.7</v>
      </c>
      <c r="I2580" t="s">
        <v>60</v>
      </c>
      <c r="J2580" t="s">
        <v>13</v>
      </c>
      <c r="K2580" t="s">
        <v>190</v>
      </c>
    </row>
    <row r="2581" spans="1:11" x14ac:dyDescent="0.25">
      <c r="A2581" t="s">
        <v>135</v>
      </c>
      <c r="B2581" t="s">
        <v>168</v>
      </c>
      <c r="C2581" s="12" t="s">
        <v>182</v>
      </c>
      <c r="D2581" t="s">
        <v>187</v>
      </c>
      <c r="E2581" t="s">
        <v>6</v>
      </c>
      <c r="F2581" t="s">
        <v>72</v>
      </c>
      <c r="G2581" t="s">
        <v>188</v>
      </c>
      <c r="H2581" s="94">
        <v>0.7</v>
      </c>
      <c r="I2581" t="s">
        <v>60</v>
      </c>
      <c r="J2581" t="s">
        <v>63</v>
      </c>
      <c r="K2581" t="s">
        <v>189</v>
      </c>
    </row>
    <row r="2582" spans="1:11" x14ac:dyDescent="0.25">
      <c r="A2582" t="s">
        <v>135</v>
      </c>
      <c r="B2582" t="s">
        <v>168</v>
      </c>
      <c r="C2582" s="12" t="s">
        <v>182</v>
      </c>
      <c r="D2582" t="s">
        <v>187</v>
      </c>
      <c r="E2582" t="s">
        <v>6</v>
      </c>
      <c r="F2582" t="s">
        <v>72</v>
      </c>
      <c r="G2582" t="s">
        <v>188</v>
      </c>
      <c r="H2582" s="94">
        <v>0.7</v>
      </c>
      <c r="I2582" t="s">
        <v>60</v>
      </c>
      <c r="J2582" t="s">
        <v>63</v>
      </c>
      <c r="K2582" t="s">
        <v>190</v>
      </c>
    </row>
    <row r="2583" spans="1:11" x14ac:dyDescent="0.25">
      <c r="A2583" t="s">
        <v>135</v>
      </c>
      <c r="B2583" t="s">
        <v>168</v>
      </c>
      <c r="C2583" s="12" t="s">
        <v>182</v>
      </c>
      <c r="D2583" t="s">
        <v>187</v>
      </c>
      <c r="E2583" t="s">
        <v>6</v>
      </c>
      <c r="F2583" t="s">
        <v>72</v>
      </c>
      <c r="G2583" t="s">
        <v>188</v>
      </c>
      <c r="H2583" s="94">
        <v>0.7</v>
      </c>
      <c r="I2583" t="s">
        <v>60</v>
      </c>
      <c r="J2583" t="s">
        <v>11</v>
      </c>
      <c r="K2583" t="s">
        <v>189</v>
      </c>
    </row>
    <row r="2584" spans="1:11" x14ac:dyDescent="0.25">
      <c r="A2584" t="s">
        <v>135</v>
      </c>
      <c r="B2584" t="s">
        <v>168</v>
      </c>
      <c r="C2584" s="12" t="s">
        <v>182</v>
      </c>
      <c r="D2584" t="s">
        <v>187</v>
      </c>
      <c r="E2584" t="s">
        <v>6</v>
      </c>
      <c r="F2584" t="s">
        <v>72</v>
      </c>
      <c r="G2584" t="s">
        <v>188</v>
      </c>
      <c r="H2584" s="94">
        <v>0.7</v>
      </c>
      <c r="I2584" t="s">
        <v>60</v>
      </c>
      <c r="J2584" t="s">
        <v>11</v>
      </c>
      <c r="K2584" t="s">
        <v>190</v>
      </c>
    </row>
    <row r="2585" spans="1:11" x14ac:dyDescent="0.25">
      <c r="A2585" t="s">
        <v>135</v>
      </c>
      <c r="B2585" t="s">
        <v>168</v>
      </c>
      <c r="C2585" s="12" t="s">
        <v>182</v>
      </c>
      <c r="D2585" t="s">
        <v>187</v>
      </c>
      <c r="E2585" t="s">
        <v>6</v>
      </c>
      <c r="F2585" t="s">
        <v>16</v>
      </c>
      <c r="G2585" t="s">
        <v>188</v>
      </c>
      <c r="H2585" s="94">
        <v>0.34</v>
      </c>
      <c r="I2585" t="s">
        <v>107</v>
      </c>
      <c r="J2585" t="s">
        <v>13</v>
      </c>
      <c r="K2585" t="s">
        <v>189</v>
      </c>
    </row>
    <row r="2586" spans="1:11" x14ac:dyDescent="0.25">
      <c r="A2586" t="s">
        <v>135</v>
      </c>
      <c r="B2586" t="s">
        <v>168</v>
      </c>
      <c r="C2586" s="12" t="s">
        <v>182</v>
      </c>
      <c r="D2586" t="s">
        <v>187</v>
      </c>
      <c r="E2586" t="s">
        <v>6</v>
      </c>
      <c r="F2586" t="s">
        <v>16</v>
      </c>
      <c r="G2586" t="s">
        <v>188</v>
      </c>
      <c r="H2586" s="94">
        <v>0.34</v>
      </c>
      <c r="I2586" t="s">
        <v>107</v>
      </c>
      <c r="J2586" t="s">
        <v>13</v>
      </c>
      <c r="K2586" t="s">
        <v>190</v>
      </c>
    </row>
    <row r="2587" spans="1:11" x14ac:dyDescent="0.25">
      <c r="A2587" t="s">
        <v>135</v>
      </c>
      <c r="B2587" t="s">
        <v>168</v>
      </c>
      <c r="C2587" s="12" t="s">
        <v>182</v>
      </c>
      <c r="D2587" t="s">
        <v>187</v>
      </c>
      <c r="E2587" t="s">
        <v>6</v>
      </c>
      <c r="F2587" t="s">
        <v>16</v>
      </c>
      <c r="G2587" t="s">
        <v>188</v>
      </c>
      <c r="H2587" s="94">
        <v>0.34</v>
      </c>
      <c r="I2587" t="s">
        <v>107</v>
      </c>
      <c r="J2587" t="s">
        <v>63</v>
      </c>
      <c r="K2587" t="s">
        <v>189</v>
      </c>
    </row>
    <row r="2588" spans="1:11" x14ac:dyDescent="0.25">
      <c r="A2588" t="s">
        <v>135</v>
      </c>
      <c r="B2588" t="s">
        <v>168</v>
      </c>
      <c r="C2588" s="12" t="s">
        <v>182</v>
      </c>
      <c r="D2588" t="s">
        <v>187</v>
      </c>
      <c r="E2588" t="s">
        <v>6</v>
      </c>
      <c r="F2588" t="s">
        <v>16</v>
      </c>
      <c r="G2588" t="s">
        <v>188</v>
      </c>
      <c r="H2588" s="94">
        <v>0.34</v>
      </c>
      <c r="I2588" t="s">
        <v>107</v>
      </c>
      <c r="J2588" t="s">
        <v>63</v>
      </c>
      <c r="K2588" t="s">
        <v>190</v>
      </c>
    </row>
    <row r="2589" spans="1:11" x14ac:dyDescent="0.25">
      <c r="A2589" t="s">
        <v>135</v>
      </c>
      <c r="B2589" t="s">
        <v>168</v>
      </c>
      <c r="C2589" s="12" t="s">
        <v>182</v>
      </c>
      <c r="D2589" t="s">
        <v>187</v>
      </c>
      <c r="E2589" t="s">
        <v>6</v>
      </c>
      <c r="F2589" t="s">
        <v>16</v>
      </c>
      <c r="G2589" t="s">
        <v>188</v>
      </c>
      <c r="H2589" s="94">
        <v>0.34</v>
      </c>
      <c r="I2589" t="s">
        <v>107</v>
      </c>
      <c r="J2589" t="s">
        <v>11</v>
      </c>
      <c r="K2589" t="s">
        <v>189</v>
      </c>
    </row>
    <row r="2590" spans="1:11" x14ac:dyDescent="0.25">
      <c r="A2590" t="s">
        <v>135</v>
      </c>
      <c r="B2590" t="s">
        <v>168</v>
      </c>
      <c r="C2590" s="12" t="s">
        <v>182</v>
      </c>
      <c r="D2590" t="s">
        <v>187</v>
      </c>
      <c r="E2590" t="s">
        <v>6</v>
      </c>
      <c r="F2590" t="s">
        <v>16</v>
      </c>
      <c r="G2590" t="s">
        <v>188</v>
      </c>
      <c r="H2590" s="94">
        <v>0.34</v>
      </c>
      <c r="I2590" t="s">
        <v>107</v>
      </c>
      <c r="J2590" t="s">
        <v>11</v>
      </c>
      <c r="K2590" t="s">
        <v>190</v>
      </c>
    </row>
    <row r="2591" spans="1:11" x14ac:dyDescent="0.25">
      <c r="A2591" t="s">
        <v>135</v>
      </c>
      <c r="B2591" t="s">
        <v>168</v>
      </c>
      <c r="C2591" s="12" t="s">
        <v>182</v>
      </c>
      <c r="D2591" t="s">
        <v>187</v>
      </c>
      <c r="E2591" t="s">
        <v>6</v>
      </c>
      <c r="F2591" t="s">
        <v>16</v>
      </c>
      <c r="G2591" t="s">
        <v>188</v>
      </c>
      <c r="H2591" s="94">
        <v>0.34</v>
      </c>
      <c r="I2591" t="s">
        <v>62</v>
      </c>
      <c r="J2591" t="s">
        <v>13</v>
      </c>
      <c r="K2591" t="s">
        <v>189</v>
      </c>
    </row>
    <row r="2592" spans="1:11" x14ac:dyDescent="0.25">
      <c r="A2592" t="s">
        <v>135</v>
      </c>
      <c r="B2592" t="s">
        <v>168</v>
      </c>
      <c r="C2592" s="12" t="s">
        <v>182</v>
      </c>
      <c r="D2592" t="s">
        <v>187</v>
      </c>
      <c r="E2592" t="s">
        <v>6</v>
      </c>
      <c r="F2592" t="s">
        <v>16</v>
      </c>
      <c r="G2592" t="s">
        <v>188</v>
      </c>
      <c r="H2592" s="94">
        <v>0.34</v>
      </c>
      <c r="I2592" t="s">
        <v>62</v>
      </c>
      <c r="J2592" t="s">
        <v>13</v>
      </c>
      <c r="K2592" t="s">
        <v>190</v>
      </c>
    </row>
    <row r="2593" spans="1:11" x14ac:dyDescent="0.25">
      <c r="A2593" t="s">
        <v>135</v>
      </c>
      <c r="B2593" t="s">
        <v>168</v>
      </c>
      <c r="C2593" s="12" t="s">
        <v>182</v>
      </c>
      <c r="D2593" t="s">
        <v>187</v>
      </c>
      <c r="E2593" t="s">
        <v>6</v>
      </c>
      <c r="F2593" t="s">
        <v>16</v>
      </c>
      <c r="G2593" t="s">
        <v>188</v>
      </c>
      <c r="H2593" s="94">
        <v>0.34</v>
      </c>
      <c r="I2593" t="s">
        <v>62</v>
      </c>
      <c r="J2593" t="s">
        <v>63</v>
      </c>
      <c r="K2593" t="s">
        <v>189</v>
      </c>
    </row>
    <row r="2594" spans="1:11" x14ac:dyDescent="0.25">
      <c r="A2594" t="s">
        <v>135</v>
      </c>
      <c r="B2594" t="s">
        <v>168</v>
      </c>
      <c r="C2594" s="12" t="s">
        <v>182</v>
      </c>
      <c r="D2594" t="s">
        <v>187</v>
      </c>
      <c r="E2594" t="s">
        <v>6</v>
      </c>
      <c r="F2594" t="s">
        <v>16</v>
      </c>
      <c r="G2594" t="s">
        <v>188</v>
      </c>
      <c r="H2594" s="94">
        <v>0.34</v>
      </c>
      <c r="I2594" t="s">
        <v>62</v>
      </c>
      <c r="J2594" t="s">
        <v>63</v>
      </c>
      <c r="K2594" t="s">
        <v>190</v>
      </c>
    </row>
    <row r="2595" spans="1:11" x14ac:dyDescent="0.25">
      <c r="A2595" t="s">
        <v>135</v>
      </c>
      <c r="B2595" t="s">
        <v>168</v>
      </c>
      <c r="C2595" s="12" t="s">
        <v>182</v>
      </c>
      <c r="D2595" t="s">
        <v>187</v>
      </c>
      <c r="E2595" t="s">
        <v>6</v>
      </c>
      <c r="F2595" t="s">
        <v>16</v>
      </c>
      <c r="G2595" t="s">
        <v>188</v>
      </c>
      <c r="H2595" s="94">
        <v>0.34</v>
      </c>
      <c r="I2595" t="s">
        <v>62</v>
      </c>
      <c r="J2595" t="s">
        <v>11</v>
      </c>
      <c r="K2595" t="s">
        <v>189</v>
      </c>
    </row>
    <row r="2596" spans="1:11" x14ac:dyDescent="0.25">
      <c r="A2596" t="s">
        <v>135</v>
      </c>
      <c r="B2596" t="s">
        <v>168</v>
      </c>
      <c r="C2596" s="12" t="s">
        <v>182</v>
      </c>
      <c r="D2596" t="s">
        <v>187</v>
      </c>
      <c r="E2596" t="s">
        <v>6</v>
      </c>
      <c r="F2596" t="s">
        <v>16</v>
      </c>
      <c r="G2596" t="s">
        <v>188</v>
      </c>
      <c r="H2596" s="94">
        <v>0.34</v>
      </c>
      <c r="I2596" t="s">
        <v>62</v>
      </c>
      <c r="J2596" t="s">
        <v>11</v>
      </c>
      <c r="K2596" t="s">
        <v>190</v>
      </c>
    </row>
    <row r="2597" spans="1:11" x14ac:dyDescent="0.25">
      <c r="A2597" t="s">
        <v>135</v>
      </c>
      <c r="B2597" t="s">
        <v>168</v>
      </c>
      <c r="C2597" s="12" t="s">
        <v>182</v>
      </c>
      <c r="D2597" t="s">
        <v>187</v>
      </c>
      <c r="E2597" t="s">
        <v>6</v>
      </c>
      <c r="F2597" t="s">
        <v>16</v>
      </c>
      <c r="G2597" t="s">
        <v>188</v>
      </c>
      <c r="H2597" s="94">
        <v>0.34</v>
      </c>
      <c r="I2597" t="s">
        <v>60</v>
      </c>
      <c r="J2597" t="s">
        <v>13</v>
      </c>
      <c r="K2597" t="s">
        <v>189</v>
      </c>
    </row>
    <row r="2598" spans="1:11" x14ac:dyDescent="0.25">
      <c r="A2598" t="s">
        <v>135</v>
      </c>
      <c r="B2598" t="s">
        <v>168</v>
      </c>
      <c r="C2598" s="12" t="s">
        <v>182</v>
      </c>
      <c r="D2598" t="s">
        <v>187</v>
      </c>
      <c r="E2598" t="s">
        <v>6</v>
      </c>
      <c r="F2598" t="s">
        <v>16</v>
      </c>
      <c r="G2598" t="s">
        <v>188</v>
      </c>
      <c r="H2598" s="94">
        <v>0.34</v>
      </c>
      <c r="I2598" t="s">
        <v>60</v>
      </c>
      <c r="J2598" t="s">
        <v>13</v>
      </c>
      <c r="K2598" t="s">
        <v>190</v>
      </c>
    </row>
    <row r="2599" spans="1:11" x14ac:dyDescent="0.25">
      <c r="A2599" t="s">
        <v>135</v>
      </c>
      <c r="B2599" t="s">
        <v>168</v>
      </c>
      <c r="C2599" s="12" t="s">
        <v>182</v>
      </c>
      <c r="D2599" t="s">
        <v>187</v>
      </c>
      <c r="E2599" t="s">
        <v>6</v>
      </c>
      <c r="F2599" t="s">
        <v>16</v>
      </c>
      <c r="G2599" t="s">
        <v>188</v>
      </c>
      <c r="H2599" s="94">
        <v>0.34</v>
      </c>
      <c r="I2599" t="s">
        <v>60</v>
      </c>
      <c r="J2599" t="s">
        <v>63</v>
      </c>
      <c r="K2599" t="s">
        <v>189</v>
      </c>
    </row>
    <row r="2600" spans="1:11" x14ac:dyDescent="0.25">
      <c r="A2600" t="s">
        <v>135</v>
      </c>
      <c r="B2600" t="s">
        <v>168</v>
      </c>
      <c r="C2600" s="12" t="s">
        <v>182</v>
      </c>
      <c r="D2600" t="s">
        <v>187</v>
      </c>
      <c r="E2600" t="s">
        <v>6</v>
      </c>
      <c r="F2600" t="s">
        <v>16</v>
      </c>
      <c r="G2600" t="s">
        <v>188</v>
      </c>
      <c r="H2600" s="94">
        <v>0.34</v>
      </c>
      <c r="I2600" t="s">
        <v>60</v>
      </c>
      <c r="J2600" t="s">
        <v>63</v>
      </c>
      <c r="K2600" t="s">
        <v>190</v>
      </c>
    </row>
    <row r="2601" spans="1:11" x14ac:dyDescent="0.25">
      <c r="A2601" t="s">
        <v>135</v>
      </c>
      <c r="B2601" t="s">
        <v>168</v>
      </c>
      <c r="C2601" s="12" t="s">
        <v>182</v>
      </c>
      <c r="D2601" t="s">
        <v>187</v>
      </c>
      <c r="E2601" t="s">
        <v>6</v>
      </c>
      <c r="F2601" t="s">
        <v>16</v>
      </c>
      <c r="G2601" t="s">
        <v>188</v>
      </c>
      <c r="H2601" s="94">
        <v>0.34</v>
      </c>
      <c r="I2601" t="s">
        <v>60</v>
      </c>
      <c r="J2601" t="s">
        <v>11</v>
      </c>
      <c r="K2601" t="s">
        <v>189</v>
      </c>
    </row>
    <row r="2602" spans="1:11" x14ac:dyDescent="0.25">
      <c r="A2602" t="s">
        <v>135</v>
      </c>
      <c r="B2602" t="s">
        <v>168</v>
      </c>
      <c r="C2602" s="12" t="s">
        <v>182</v>
      </c>
      <c r="D2602" t="s">
        <v>187</v>
      </c>
      <c r="E2602" t="s">
        <v>6</v>
      </c>
      <c r="F2602" t="s">
        <v>16</v>
      </c>
      <c r="G2602" t="s">
        <v>188</v>
      </c>
      <c r="H2602" s="94">
        <v>0.34</v>
      </c>
      <c r="I2602" t="s">
        <v>60</v>
      </c>
      <c r="J2602" t="s">
        <v>11</v>
      </c>
      <c r="K2602" t="s">
        <v>190</v>
      </c>
    </row>
    <row r="2603" spans="1:11" x14ac:dyDescent="0.25">
      <c r="A2603" t="s">
        <v>135</v>
      </c>
      <c r="B2603" t="s">
        <v>168</v>
      </c>
      <c r="C2603" s="12" t="s">
        <v>182</v>
      </c>
      <c r="D2603" t="s">
        <v>187</v>
      </c>
      <c r="E2603" t="s">
        <v>6</v>
      </c>
      <c r="F2603" t="s">
        <v>16</v>
      </c>
      <c r="G2603" t="s">
        <v>188</v>
      </c>
      <c r="H2603" s="94">
        <v>0.7</v>
      </c>
      <c r="I2603" t="s">
        <v>107</v>
      </c>
      <c r="J2603" t="s">
        <v>13</v>
      </c>
      <c r="K2603" t="s">
        <v>189</v>
      </c>
    </row>
    <row r="2604" spans="1:11" x14ac:dyDescent="0.25">
      <c r="A2604" t="s">
        <v>135</v>
      </c>
      <c r="B2604" t="s">
        <v>168</v>
      </c>
      <c r="C2604" s="12" t="s">
        <v>182</v>
      </c>
      <c r="D2604" t="s">
        <v>187</v>
      </c>
      <c r="E2604" t="s">
        <v>6</v>
      </c>
      <c r="F2604" t="s">
        <v>16</v>
      </c>
      <c r="G2604" t="s">
        <v>188</v>
      </c>
      <c r="H2604" s="94">
        <v>0.7</v>
      </c>
      <c r="I2604" t="s">
        <v>107</v>
      </c>
      <c r="J2604" t="s">
        <v>13</v>
      </c>
      <c r="K2604" t="s">
        <v>190</v>
      </c>
    </row>
    <row r="2605" spans="1:11" x14ac:dyDescent="0.25">
      <c r="A2605" t="s">
        <v>135</v>
      </c>
      <c r="B2605" t="s">
        <v>168</v>
      </c>
      <c r="C2605" s="12" t="s">
        <v>182</v>
      </c>
      <c r="D2605" t="s">
        <v>187</v>
      </c>
      <c r="E2605" t="s">
        <v>6</v>
      </c>
      <c r="F2605" t="s">
        <v>16</v>
      </c>
      <c r="G2605" t="s">
        <v>188</v>
      </c>
      <c r="H2605" s="94">
        <v>0.7</v>
      </c>
      <c r="I2605" t="s">
        <v>107</v>
      </c>
      <c r="J2605" t="s">
        <v>63</v>
      </c>
      <c r="K2605" t="s">
        <v>189</v>
      </c>
    </row>
    <row r="2606" spans="1:11" x14ac:dyDescent="0.25">
      <c r="A2606" t="s">
        <v>135</v>
      </c>
      <c r="B2606" t="s">
        <v>168</v>
      </c>
      <c r="C2606" s="12" t="s">
        <v>182</v>
      </c>
      <c r="D2606" t="s">
        <v>187</v>
      </c>
      <c r="E2606" t="s">
        <v>6</v>
      </c>
      <c r="F2606" t="s">
        <v>16</v>
      </c>
      <c r="G2606" t="s">
        <v>188</v>
      </c>
      <c r="H2606" s="94">
        <v>0.7</v>
      </c>
      <c r="I2606" t="s">
        <v>107</v>
      </c>
      <c r="J2606" t="s">
        <v>63</v>
      </c>
      <c r="K2606" t="s">
        <v>190</v>
      </c>
    </row>
    <row r="2607" spans="1:11" x14ac:dyDescent="0.25">
      <c r="A2607" t="s">
        <v>135</v>
      </c>
      <c r="B2607" t="s">
        <v>168</v>
      </c>
      <c r="C2607" s="12" t="s">
        <v>182</v>
      </c>
      <c r="D2607" t="s">
        <v>187</v>
      </c>
      <c r="E2607" t="s">
        <v>6</v>
      </c>
      <c r="F2607" t="s">
        <v>16</v>
      </c>
      <c r="G2607" t="s">
        <v>188</v>
      </c>
      <c r="H2607" s="94">
        <v>0.7</v>
      </c>
      <c r="I2607" t="s">
        <v>107</v>
      </c>
      <c r="J2607" t="s">
        <v>11</v>
      </c>
      <c r="K2607" t="s">
        <v>189</v>
      </c>
    </row>
    <row r="2608" spans="1:11" x14ac:dyDescent="0.25">
      <c r="A2608" t="s">
        <v>135</v>
      </c>
      <c r="B2608" t="s">
        <v>168</v>
      </c>
      <c r="C2608" s="12" t="s">
        <v>182</v>
      </c>
      <c r="D2608" t="s">
        <v>187</v>
      </c>
      <c r="E2608" t="s">
        <v>6</v>
      </c>
      <c r="F2608" t="s">
        <v>16</v>
      </c>
      <c r="G2608" t="s">
        <v>188</v>
      </c>
      <c r="H2608" s="94">
        <v>0.7</v>
      </c>
      <c r="I2608" t="s">
        <v>107</v>
      </c>
      <c r="J2608" t="s">
        <v>11</v>
      </c>
      <c r="K2608" t="s">
        <v>190</v>
      </c>
    </row>
    <row r="2609" spans="1:11" x14ac:dyDescent="0.25">
      <c r="A2609" t="s">
        <v>135</v>
      </c>
      <c r="B2609" t="s">
        <v>168</v>
      </c>
      <c r="C2609" s="12" t="s">
        <v>182</v>
      </c>
      <c r="D2609" t="s">
        <v>187</v>
      </c>
      <c r="E2609" t="s">
        <v>6</v>
      </c>
      <c r="F2609" t="s">
        <v>16</v>
      </c>
      <c r="G2609" t="s">
        <v>188</v>
      </c>
      <c r="H2609" s="94">
        <v>0.7</v>
      </c>
      <c r="I2609" t="s">
        <v>62</v>
      </c>
      <c r="J2609" t="s">
        <v>13</v>
      </c>
      <c r="K2609" t="s">
        <v>189</v>
      </c>
    </row>
    <row r="2610" spans="1:11" x14ac:dyDescent="0.25">
      <c r="A2610" t="s">
        <v>135</v>
      </c>
      <c r="B2610" t="s">
        <v>168</v>
      </c>
      <c r="C2610" s="12" t="s">
        <v>182</v>
      </c>
      <c r="D2610" t="s">
        <v>187</v>
      </c>
      <c r="E2610" t="s">
        <v>6</v>
      </c>
      <c r="F2610" t="s">
        <v>16</v>
      </c>
      <c r="G2610" t="s">
        <v>188</v>
      </c>
      <c r="H2610" s="94">
        <v>0.7</v>
      </c>
      <c r="I2610" t="s">
        <v>62</v>
      </c>
      <c r="J2610" t="s">
        <v>13</v>
      </c>
      <c r="K2610" t="s">
        <v>190</v>
      </c>
    </row>
    <row r="2611" spans="1:11" x14ac:dyDescent="0.25">
      <c r="A2611" t="s">
        <v>135</v>
      </c>
      <c r="B2611" t="s">
        <v>168</v>
      </c>
      <c r="C2611" s="12" t="s">
        <v>182</v>
      </c>
      <c r="D2611" t="s">
        <v>187</v>
      </c>
      <c r="E2611" t="s">
        <v>6</v>
      </c>
      <c r="F2611" t="s">
        <v>16</v>
      </c>
      <c r="G2611" t="s">
        <v>188</v>
      </c>
      <c r="H2611" s="94">
        <v>0.7</v>
      </c>
      <c r="I2611" t="s">
        <v>62</v>
      </c>
      <c r="J2611" t="s">
        <v>63</v>
      </c>
      <c r="K2611" t="s">
        <v>189</v>
      </c>
    </row>
    <row r="2612" spans="1:11" x14ac:dyDescent="0.25">
      <c r="A2612" t="s">
        <v>135</v>
      </c>
      <c r="B2612" t="s">
        <v>168</v>
      </c>
      <c r="C2612" s="12" t="s">
        <v>182</v>
      </c>
      <c r="D2612" t="s">
        <v>187</v>
      </c>
      <c r="E2612" t="s">
        <v>6</v>
      </c>
      <c r="F2612" t="s">
        <v>16</v>
      </c>
      <c r="G2612" t="s">
        <v>188</v>
      </c>
      <c r="H2612" s="94">
        <v>0.7</v>
      </c>
      <c r="I2612" t="s">
        <v>62</v>
      </c>
      <c r="J2612" t="s">
        <v>63</v>
      </c>
      <c r="K2612" t="s">
        <v>190</v>
      </c>
    </row>
    <row r="2613" spans="1:11" x14ac:dyDescent="0.25">
      <c r="A2613" t="s">
        <v>135</v>
      </c>
      <c r="B2613" t="s">
        <v>168</v>
      </c>
      <c r="C2613" s="12" t="s">
        <v>182</v>
      </c>
      <c r="D2613" t="s">
        <v>187</v>
      </c>
      <c r="E2613" t="s">
        <v>6</v>
      </c>
      <c r="F2613" t="s">
        <v>16</v>
      </c>
      <c r="G2613" t="s">
        <v>188</v>
      </c>
      <c r="H2613" s="94">
        <v>0.7</v>
      </c>
      <c r="I2613" t="s">
        <v>62</v>
      </c>
      <c r="J2613" t="s">
        <v>11</v>
      </c>
      <c r="K2613" t="s">
        <v>189</v>
      </c>
    </row>
    <row r="2614" spans="1:11" x14ac:dyDescent="0.25">
      <c r="A2614" t="s">
        <v>135</v>
      </c>
      <c r="B2614" t="s">
        <v>168</v>
      </c>
      <c r="C2614" s="12" t="s">
        <v>182</v>
      </c>
      <c r="D2614" t="s">
        <v>187</v>
      </c>
      <c r="E2614" t="s">
        <v>6</v>
      </c>
      <c r="F2614" t="s">
        <v>16</v>
      </c>
      <c r="G2614" t="s">
        <v>188</v>
      </c>
      <c r="H2614" s="94">
        <v>0.7</v>
      </c>
      <c r="I2614" t="s">
        <v>62</v>
      </c>
      <c r="J2614" t="s">
        <v>11</v>
      </c>
      <c r="K2614" t="s">
        <v>190</v>
      </c>
    </row>
    <row r="2615" spans="1:11" x14ac:dyDescent="0.25">
      <c r="A2615" t="s">
        <v>135</v>
      </c>
      <c r="B2615" t="s">
        <v>168</v>
      </c>
      <c r="C2615" s="12" t="s">
        <v>182</v>
      </c>
      <c r="D2615" t="s">
        <v>187</v>
      </c>
      <c r="E2615" t="s">
        <v>6</v>
      </c>
      <c r="F2615" t="s">
        <v>16</v>
      </c>
      <c r="G2615" t="s">
        <v>188</v>
      </c>
      <c r="H2615" s="94">
        <v>0.7</v>
      </c>
      <c r="I2615" t="s">
        <v>60</v>
      </c>
      <c r="J2615" t="s">
        <v>13</v>
      </c>
      <c r="K2615" t="s">
        <v>189</v>
      </c>
    </row>
    <row r="2616" spans="1:11" x14ac:dyDescent="0.25">
      <c r="A2616" t="s">
        <v>135</v>
      </c>
      <c r="B2616" t="s">
        <v>168</v>
      </c>
      <c r="C2616" s="12" t="s">
        <v>182</v>
      </c>
      <c r="D2616" t="s">
        <v>187</v>
      </c>
      <c r="E2616" t="s">
        <v>6</v>
      </c>
      <c r="F2616" t="s">
        <v>16</v>
      </c>
      <c r="G2616" t="s">
        <v>188</v>
      </c>
      <c r="H2616" s="94">
        <v>0.7</v>
      </c>
      <c r="I2616" t="s">
        <v>60</v>
      </c>
      <c r="J2616" t="s">
        <v>13</v>
      </c>
      <c r="K2616" t="s">
        <v>190</v>
      </c>
    </row>
    <row r="2617" spans="1:11" x14ac:dyDescent="0.25">
      <c r="A2617" t="s">
        <v>135</v>
      </c>
      <c r="B2617" t="s">
        <v>168</v>
      </c>
      <c r="C2617" s="12" t="s">
        <v>182</v>
      </c>
      <c r="D2617" t="s">
        <v>187</v>
      </c>
      <c r="E2617" t="s">
        <v>6</v>
      </c>
      <c r="F2617" t="s">
        <v>16</v>
      </c>
      <c r="G2617" t="s">
        <v>188</v>
      </c>
      <c r="H2617" s="94">
        <v>0.7</v>
      </c>
      <c r="I2617" t="s">
        <v>60</v>
      </c>
      <c r="J2617" t="s">
        <v>63</v>
      </c>
      <c r="K2617" t="s">
        <v>189</v>
      </c>
    </row>
    <row r="2618" spans="1:11" x14ac:dyDescent="0.25">
      <c r="A2618" t="s">
        <v>135</v>
      </c>
      <c r="B2618" t="s">
        <v>168</v>
      </c>
      <c r="C2618" s="12" t="s">
        <v>182</v>
      </c>
      <c r="D2618" t="s">
        <v>187</v>
      </c>
      <c r="E2618" t="s">
        <v>6</v>
      </c>
      <c r="F2618" t="s">
        <v>16</v>
      </c>
      <c r="G2618" t="s">
        <v>188</v>
      </c>
      <c r="H2618" s="94">
        <v>0.7</v>
      </c>
      <c r="I2618" t="s">
        <v>60</v>
      </c>
      <c r="J2618" t="s">
        <v>63</v>
      </c>
      <c r="K2618" t="s">
        <v>190</v>
      </c>
    </row>
    <row r="2619" spans="1:11" x14ac:dyDescent="0.25">
      <c r="A2619" t="s">
        <v>135</v>
      </c>
      <c r="B2619" t="s">
        <v>168</v>
      </c>
      <c r="C2619" s="12" t="s">
        <v>182</v>
      </c>
      <c r="D2619" t="s">
        <v>187</v>
      </c>
      <c r="E2619" t="s">
        <v>6</v>
      </c>
      <c r="F2619" t="s">
        <v>16</v>
      </c>
      <c r="G2619" t="s">
        <v>188</v>
      </c>
      <c r="H2619" s="94">
        <v>0.7</v>
      </c>
      <c r="I2619" t="s">
        <v>60</v>
      </c>
      <c r="J2619" t="s">
        <v>11</v>
      </c>
      <c r="K2619" t="s">
        <v>189</v>
      </c>
    </row>
    <row r="2620" spans="1:11" x14ac:dyDescent="0.25">
      <c r="A2620" t="s">
        <v>135</v>
      </c>
      <c r="B2620" t="s">
        <v>168</v>
      </c>
      <c r="C2620" s="12" t="s">
        <v>182</v>
      </c>
      <c r="D2620" t="s">
        <v>187</v>
      </c>
      <c r="E2620" t="s">
        <v>6</v>
      </c>
      <c r="F2620" t="s">
        <v>16</v>
      </c>
      <c r="G2620" t="s">
        <v>188</v>
      </c>
      <c r="H2620" s="94">
        <v>0.7</v>
      </c>
      <c r="I2620" t="s">
        <v>60</v>
      </c>
      <c r="J2620" t="s">
        <v>11</v>
      </c>
      <c r="K2620" t="s">
        <v>190</v>
      </c>
    </row>
    <row r="2621" spans="1:11" x14ac:dyDescent="0.25">
      <c r="A2621" t="s">
        <v>135</v>
      </c>
      <c r="B2621" t="s">
        <v>168</v>
      </c>
      <c r="C2621" s="12" t="s">
        <v>182</v>
      </c>
      <c r="D2621" t="s">
        <v>187</v>
      </c>
      <c r="E2621" t="s">
        <v>6</v>
      </c>
      <c r="F2621" t="s">
        <v>8</v>
      </c>
      <c r="G2621" t="s">
        <v>188</v>
      </c>
      <c r="H2621" s="94">
        <v>0.34</v>
      </c>
      <c r="I2621" t="s">
        <v>107</v>
      </c>
      <c r="J2621" t="s">
        <v>13</v>
      </c>
      <c r="K2621" t="s">
        <v>189</v>
      </c>
    </row>
    <row r="2622" spans="1:11" x14ac:dyDescent="0.25">
      <c r="A2622" t="s">
        <v>135</v>
      </c>
      <c r="B2622" t="s">
        <v>168</v>
      </c>
      <c r="C2622" s="12" t="s">
        <v>182</v>
      </c>
      <c r="D2622" t="s">
        <v>187</v>
      </c>
      <c r="E2622" t="s">
        <v>6</v>
      </c>
      <c r="F2622" t="s">
        <v>8</v>
      </c>
      <c r="G2622" t="s">
        <v>188</v>
      </c>
      <c r="H2622" s="94">
        <v>0.34</v>
      </c>
      <c r="I2622" t="s">
        <v>107</v>
      </c>
      <c r="J2622" t="s">
        <v>13</v>
      </c>
      <c r="K2622" t="s">
        <v>190</v>
      </c>
    </row>
    <row r="2623" spans="1:11" x14ac:dyDescent="0.25">
      <c r="A2623" t="s">
        <v>135</v>
      </c>
      <c r="B2623" t="s">
        <v>168</v>
      </c>
      <c r="C2623" s="12" t="s">
        <v>182</v>
      </c>
      <c r="D2623" t="s">
        <v>187</v>
      </c>
      <c r="E2623" t="s">
        <v>6</v>
      </c>
      <c r="F2623" t="s">
        <v>8</v>
      </c>
      <c r="G2623" t="s">
        <v>188</v>
      </c>
      <c r="H2623" s="94">
        <v>0.34</v>
      </c>
      <c r="I2623" t="s">
        <v>107</v>
      </c>
      <c r="J2623" t="s">
        <v>63</v>
      </c>
      <c r="K2623" t="s">
        <v>189</v>
      </c>
    </row>
    <row r="2624" spans="1:11" x14ac:dyDescent="0.25">
      <c r="A2624" t="s">
        <v>135</v>
      </c>
      <c r="B2624" t="s">
        <v>168</v>
      </c>
      <c r="C2624" s="12" t="s">
        <v>182</v>
      </c>
      <c r="D2624" t="s">
        <v>187</v>
      </c>
      <c r="E2624" t="s">
        <v>6</v>
      </c>
      <c r="F2624" t="s">
        <v>8</v>
      </c>
      <c r="G2624" t="s">
        <v>188</v>
      </c>
      <c r="H2624" s="94">
        <v>0.34</v>
      </c>
      <c r="I2624" t="s">
        <v>107</v>
      </c>
      <c r="J2624" t="s">
        <v>63</v>
      </c>
      <c r="K2624" t="s">
        <v>190</v>
      </c>
    </row>
    <row r="2625" spans="1:11" x14ac:dyDescent="0.25">
      <c r="A2625" t="s">
        <v>135</v>
      </c>
      <c r="B2625" t="s">
        <v>168</v>
      </c>
      <c r="C2625" s="12" t="s">
        <v>182</v>
      </c>
      <c r="D2625" t="s">
        <v>187</v>
      </c>
      <c r="E2625" t="s">
        <v>6</v>
      </c>
      <c r="F2625" t="s">
        <v>8</v>
      </c>
      <c r="G2625" t="s">
        <v>188</v>
      </c>
      <c r="H2625" s="94">
        <v>0.34</v>
      </c>
      <c r="I2625" t="s">
        <v>107</v>
      </c>
      <c r="J2625" t="s">
        <v>11</v>
      </c>
      <c r="K2625" t="s">
        <v>189</v>
      </c>
    </row>
    <row r="2626" spans="1:11" x14ac:dyDescent="0.25">
      <c r="A2626" t="s">
        <v>135</v>
      </c>
      <c r="B2626" t="s">
        <v>168</v>
      </c>
      <c r="C2626" s="12" t="s">
        <v>182</v>
      </c>
      <c r="D2626" t="s">
        <v>187</v>
      </c>
      <c r="E2626" t="s">
        <v>6</v>
      </c>
      <c r="F2626" t="s">
        <v>8</v>
      </c>
      <c r="G2626" t="s">
        <v>188</v>
      </c>
      <c r="H2626" s="94">
        <v>0.34</v>
      </c>
      <c r="I2626" t="s">
        <v>107</v>
      </c>
      <c r="J2626" t="s">
        <v>11</v>
      </c>
      <c r="K2626" t="s">
        <v>190</v>
      </c>
    </row>
    <row r="2627" spans="1:11" x14ac:dyDescent="0.25">
      <c r="A2627" t="s">
        <v>135</v>
      </c>
      <c r="B2627" t="s">
        <v>168</v>
      </c>
      <c r="C2627" s="12" t="s">
        <v>182</v>
      </c>
      <c r="D2627" t="s">
        <v>187</v>
      </c>
      <c r="E2627" t="s">
        <v>6</v>
      </c>
      <c r="F2627" t="s">
        <v>8</v>
      </c>
      <c r="G2627" t="s">
        <v>188</v>
      </c>
      <c r="H2627" s="94">
        <v>0.34</v>
      </c>
      <c r="I2627" t="s">
        <v>62</v>
      </c>
      <c r="J2627" t="s">
        <v>13</v>
      </c>
      <c r="K2627" t="s">
        <v>189</v>
      </c>
    </row>
    <row r="2628" spans="1:11" x14ac:dyDescent="0.25">
      <c r="A2628" t="s">
        <v>135</v>
      </c>
      <c r="B2628" t="s">
        <v>168</v>
      </c>
      <c r="C2628" s="12" t="s">
        <v>182</v>
      </c>
      <c r="D2628" t="s">
        <v>187</v>
      </c>
      <c r="E2628" t="s">
        <v>6</v>
      </c>
      <c r="F2628" t="s">
        <v>8</v>
      </c>
      <c r="G2628" t="s">
        <v>188</v>
      </c>
      <c r="H2628" s="94">
        <v>0.34</v>
      </c>
      <c r="I2628" t="s">
        <v>62</v>
      </c>
      <c r="J2628" t="s">
        <v>13</v>
      </c>
      <c r="K2628" t="s">
        <v>190</v>
      </c>
    </row>
    <row r="2629" spans="1:11" x14ac:dyDescent="0.25">
      <c r="A2629" t="s">
        <v>135</v>
      </c>
      <c r="B2629" t="s">
        <v>168</v>
      </c>
      <c r="C2629" s="12" t="s">
        <v>182</v>
      </c>
      <c r="D2629" t="s">
        <v>187</v>
      </c>
      <c r="E2629" t="s">
        <v>6</v>
      </c>
      <c r="F2629" t="s">
        <v>8</v>
      </c>
      <c r="G2629" t="s">
        <v>188</v>
      </c>
      <c r="H2629" s="94">
        <v>0.34</v>
      </c>
      <c r="I2629" t="s">
        <v>62</v>
      </c>
      <c r="J2629" t="s">
        <v>63</v>
      </c>
      <c r="K2629" t="s">
        <v>189</v>
      </c>
    </row>
    <row r="2630" spans="1:11" x14ac:dyDescent="0.25">
      <c r="A2630" t="s">
        <v>135</v>
      </c>
      <c r="B2630" t="s">
        <v>168</v>
      </c>
      <c r="C2630" s="12" t="s">
        <v>182</v>
      </c>
      <c r="D2630" t="s">
        <v>187</v>
      </c>
      <c r="E2630" t="s">
        <v>6</v>
      </c>
      <c r="F2630" t="s">
        <v>8</v>
      </c>
      <c r="G2630" t="s">
        <v>188</v>
      </c>
      <c r="H2630" s="94">
        <v>0.34</v>
      </c>
      <c r="I2630" t="s">
        <v>62</v>
      </c>
      <c r="J2630" t="s">
        <v>63</v>
      </c>
      <c r="K2630" t="s">
        <v>190</v>
      </c>
    </row>
    <row r="2631" spans="1:11" x14ac:dyDescent="0.25">
      <c r="A2631" t="s">
        <v>135</v>
      </c>
      <c r="B2631" t="s">
        <v>168</v>
      </c>
      <c r="C2631" s="12" t="s">
        <v>182</v>
      </c>
      <c r="D2631" t="s">
        <v>187</v>
      </c>
      <c r="E2631" t="s">
        <v>6</v>
      </c>
      <c r="F2631" t="s">
        <v>8</v>
      </c>
      <c r="G2631" t="s">
        <v>188</v>
      </c>
      <c r="H2631" s="94">
        <v>0.34</v>
      </c>
      <c r="I2631" t="s">
        <v>62</v>
      </c>
      <c r="J2631" t="s">
        <v>11</v>
      </c>
      <c r="K2631" t="s">
        <v>189</v>
      </c>
    </row>
    <row r="2632" spans="1:11" x14ac:dyDescent="0.25">
      <c r="A2632" t="s">
        <v>135</v>
      </c>
      <c r="B2632" t="s">
        <v>168</v>
      </c>
      <c r="C2632" s="12" t="s">
        <v>182</v>
      </c>
      <c r="D2632" t="s">
        <v>187</v>
      </c>
      <c r="E2632" t="s">
        <v>6</v>
      </c>
      <c r="F2632" t="s">
        <v>8</v>
      </c>
      <c r="G2632" t="s">
        <v>188</v>
      </c>
      <c r="H2632" s="94">
        <v>0.34</v>
      </c>
      <c r="I2632" t="s">
        <v>62</v>
      </c>
      <c r="J2632" t="s">
        <v>11</v>
      </c>
      <c r="K2632" t="s">
        <v>190</v>
      </c>
    </row>
    <row r="2633" spans="1:11" x14ac:dyDescent="0.25">
      <c r="A2633" t="s">
        <v>135</v>
      </c>
      <c r="B2633" t="s">
        <v>168</v>
      </c>
      <c r="C2633" s="12" t="s">
        <v>182</v>
      </c>
      <c r="D2633" t="s">
        <v>187</v>
      </c>
      <c r="E2633" t="s">
        <v>6</v>
      </c>
      <c r="F2633" t="s">
        <v>8</v>
      </c>
      <c r="G2633" t="s">
        <v>188</v>
      </c>
      <c r="H2633" s="94">
        <v>0.34</v>
      </c>
      <c r="I2633" t="s">
        <v>60</v>
      </c>
      <c r="J2633" t="s">
        <v>13</v>
      </c>
      <c r="K2633" t="s">
        <v>189</v>
      </c>
    </row>
    <row r="2634" spans="1:11" x14ac:dyDescent="0.25">
      <c r="A2634" t="s">
        <v>135</v>
      </c>
      <c r="B2634" t="s">
        <v>168</v>
      </c>
      <c r="C2634" s="12" t="s">
        <v>182</v>
      </c>
      <c r="D2634" t="s">
        <v>187</v>
      </c>
      <c r="E2634" t="s">
        <v>6</v>
      </c>
      <c r="F2634" t="s">
        <v>8</v>
      </c>
      <c r="G2634" t="s">
        <v>188</v>
      </c>
      <c r="H2634" s="94">
        <v>0.34</v>
      </c>
      <c r="I2634" t="s">
        <v>60</v>
      </c>
      <c r="J2634" t="s">
        <v>13</v>
      </c>
      <c r="K2634" t="s">
        <v>190</v>
      </c>
    </row>
    <row r="2635" spans="1:11" x14ac:dyDescent="0.25">
      <c r="A2635" t="s">
        <v>135</v>
      </c>
      <c r="B2635" t="s">
        <v>168</v>
      </c>
      <c r="C2635" s="12" t="s">
        <v>182</v>
      </c>
      <c r="D2635" t="s">
        <v>187</v>
      </c>
      <c r="E2635" t="s">
        <v>6</v>
      </c>
      <c r="F2635" t="s">
        <v>8</v>
      </c>
      <c r="G2635" t="s">
        <v>188</v>
      </c>
      <c r="H2635" s="94">
        <v>0.34</v>
      </c>
      <c r="I2635" t="s">
        <v>60</v>
      </c>
      <c r="J2635" t="s">
        <v>63</v>
      </c>
      <c r="K2635" t="s">
        <v>189</v>
      </c>
    </row>
    <row r="2636" spans="1:11" x14ac:dyDescent="0.25">
      <c r="A2636" t="s">
        <v>135</v>
      </c>
      <c r="B2636" t="s">
        <v>168</v>
      </c>
      <c r="C2636" s="12" t="s">
        <v>182</v>
      </c>
      <c r="D2636" t="s">
        <v>187</v>
      </c>
      <c r="E2636" t="s">
        <v>6</v>
      </c>
      <c r="F2636" t="s">
        <v>8</v>
      </c>
      <c r="G2636" t="s">
        <v>188</v>
      </c>
      <c r="H2636" s="94">
        <v>0.34</v>
      </c>
      <c r="I2636" t="s">
        <v>60</v>
      </c>
      <c r="J2636" t="s">
        <v>63</v>
      </c>
      <c r="K2636" t="s">
        <v>190</v>
      </c>
    </row>
    <row r="2637" spans="1:11" x14ac:dyDescent="0.25">
      <c r="A2637" t="s">
        <v>135</v>
      </c>
      <c r="B2637" t="s">
        <v>168</v>
      </c>
      <c r="C2637" s="12" t="s">
        <v>182</v>
      </c>
      <c r="D2637" t="s">
        <v>187</v>
      </c>
      <c r="E2637" t="s">
        <v>6</v>
      </c>
      <c r="F2637" t="s">
        <v>8</v>
      </c>
      <c r="G2637" t="s">
        <v>188</v>
      </c>
      <c r="H2637" s="94">
        <v>0.34</v>
      </c>
      <c r="I2637" t="s">
        <v>60</v>
      </c>
      <c r="J2637" t="s">
        <v>11</v>
      </c>
      <c r="K2637" t="s">
        <v>189</v>
      </c>
    </row>
    <row r="2638" spans="1:11" x14ac:dyDescent="0.25">
      <c r="A2638" t="s">
        <v>135</v>
      </c>
      <c r="B2638" t="s">
        <v>168</v>
      </c>
      <c r="C2638" s="12" t="s">
        <v>182</v>
      </c>
      <c r="D2638" t="s">
        <v>187</v>
      </c>
      <c r="E2638" t="s">
        <v>6</v>
      </c>
      <c r="F2638" t="s">
        <v>8</v>
      </c>
      <c r="G2638" t="s">
        <v>188</v>
      </c>
      <c r="H2638" s="94">
        <v>0.34</v>
      </c>
      <c r="I2638" t="s">
        <v>60</v>
      </c>
      <c r="J2638" t="s">
        <v>11</v>
      </c>
      <c r="K2638" t="s">
        <v>190</v>
      </c>
    </row>
    <row r="2639" spans="1:11" x14ac:dyDescent="0.25">
      <c r="A2639" t="s">
        <v>135</v>
      </c>
      <c r="B2639" t="s">
        <v>168</v>
      </c>
      <c r="C2639" s="12" t="s">
        <v>182</v>
      </c>
      <c r="D2639" t="s">
        <v>187</v>
      </c>
      <c r="E2639" t="s">
        <v>6</v>
      </c>
      <c r="F2639" t="s">
        <v>8</v>
      </c>
      <c r="G2639" t="s">
        <v>188</v>
      </c>
      <c r="H2639" s="94">
        <v>0.7</v>
      </c>
      <c r="I2639" t="s">
        <v>107</v>
      </c>
      <c r="J2639" t="s">
        <v>13</v>
      </c>
      <c r="K2639" t="s">
        <v>189</v>
      </c>
    </row>
    <row r="2640" spans="1:11" x14ac:dyDescent="0.25">
      <c r="A2640" t="s">
        <v>135</v>
      </c>
      <c r="B2640" t="s">
        <v>168</v>
      </c>
      <c r="C2640" s="12" t="s">
        <v>182</v>
      </c>
      <c r="D2640" t="s">
        <v>187</v>
      </c>
      <c r="E2640" t="s">
        <v>6</v>
      </c>
      <c r="F2640" t="s">
        <v>8</v>
      </c>
      <c r="G2640" t="s">
        <v>188</v>
      </c>
      <c r="H2640" s="94">
        <v>0.7</v>
      </c>
      <c r="I2640" t="s">
        <v>107</v>
      </c>
      <c r="J2640" t="s">
        <v>13</v>
      </c>
      <c r="K2640" t="s">
        <v>190</v>
      </c>
    </row>
    <row r="2641" spans="1:11" x14ac:dyDescent="0.25">
      <c r="A2641" t="s">
        <v>135</v>
      </c>
      <c r="B2641" t="s">
        <v>168</v>
      </c>
      <c r="C2641" s="12" t="s">
        <v>182</v>
      </c>
      <c r="D2641" t="s">
        <v>187</v>
      </c>
      <c r="E2641" t="s">
        <v>6</v>
      </c>
      <c r="F2641" t="s">
        <v>8</v>
      </c>
      <c r="G2641" t="s">
        <v>188</v>
      </c>
      <c r="H2641" s="94">
        <v>0.7</v>
      </c>
      <c r="I2641" t="s">
        <v>107</v>
      </c>
      <c r="J2641" t="s">
        <v>63</v>
      </c>
      <c r="K2641" t="s">
        <v>189</v>
      </c>
    </row>
    <row r="2642" spans="1:11" x14ac:dyDescent="0.25">
      <c r="A2642" t="s">
        <v>135</v>
      </c>
      <c r="B2642" t="s">
        <v>168</v>
      </c>
      <c r="C2642" s="12" t="s">
        <v>182</v>
      </c>
      <c r="D2642" t="s">
        <v>187</v>
      </c>
      <c r="E2642" t="s">
        <v>6</v>
      </c>
      <c r="F2642" t="s">
        <v>8</v>
      </c>
      <c r="G2642" t="s">
        <v>188</v>
      </c>
      <c r="H2642" s="94">
        <v>0.7</v>
      </c>
      <c r="I2642" t="s">
        <v>107</v>
      </c>
      <c r="J2642" t="s">
        <v>63</v>
      </c>
      <c r="K2642" t="s">
        <v>190</v>
      </c>
    </row>
    <row r="2643" spans="1:11" x14ac:dyDescent="0.25">
      <c r="A2643" t="s">
        <v>135</v>
      </c>
      <c r="B2643" t="s">
        <v>168</v>
      </c>
      <c r="C2643" s="12" t="s">
        <v>182</v>
      </c>
      <c r="D2643" t="s">
        <v>187</v>
      </c>
      <c r="E2643" t="s">
        <v>6</v>
      </c>
      <c r="F2643" t="s">
        <v>8</v>
      </c>
      <c r="G2643" t="s">
        <v>188</v>
      </c>
      <c r="H2643" s="94">
        <v>0.7</v>
      </c>
      <c r="I2643" t="s">
        <v>107</v>
      </c>
      <c r="J2643" t="s">
        <v>11</v>
      </c>
      <c r="K2643" t="s">
        <v>189</v>
      </c>
    </row>
    <row r="2644" spans="1:11" x14ac:dyDescent="0.25">
      <c r="A2644" t="s">
        <v>135</v>
      </c>
      <c r="B2644" t="s">
        <v>168</v>
      </c>
      <c r="C2644" s="12" t="s">
        <v>182</v>
      </c>
      <c r="D2644" t="s">
        <v>187</v>
      </c>
      <c r="E2644" t="s">
        <v>6</v>
      </c>
      <c r="F2644" t="s">
        <v>8</v>
      </c>
      <c r="G2644" t="s">
        <v>188</v>
      </c>
      <c r="H2644" s="94">
        <v>0.7</v>
      </c>
      <c r="I2644" t="s">
        <v>107</v>
      </c>
      <c r="J2644" t="s">
        <v>11</v>
      </c>
      <c r="K2644" t="s">
        <v>190</v>
      </c>
    </row>
    <row r="2645" spans="1:11" x14ac:dyDescent="0.25">
      <c r="A2645" t="s">
        <v>135</v>
      </c>
      <c r="B2645" t="s">
        <v>168</v>
      </c>
      <c r="C2645" s="12" t="s">
        <v>182</v>
      </c>
      <c r="D2645" t="s">
        <v>187</v>
      </c>
      <c r="E2645" t="s">
        <v>6</v>
      </c>
      <c r="F2645" t="s">
        <v>8</v>
      </c>
      <c r="G2645" t="s">
        <v>188</v>
      </c>
      <c r="H2645" s="94">
        <v>0.7</v>
      </c>
      <c r="I2645" t="s">
        <v>62</v>
      </c>
      <c r="J2645" t="s">
        <v>13</v>
      </c>
      <c r="K2645" t="s">
        <v>189</v>
      </c>
    </row>
    <row r="2646" spans="1:11" x14ac:dyDescent="0.25">
      <c r="A2646" t="s">
        <v>135</v>
      </c>
      <c r="B2646" t="s">
        <v>168</v>
      </c>
      <c r="C2646" s="12" t="s">
        <v>182</v>
      </c>
      <c r="D2646" t="s">
        <v>187</v>
      </c>
      <c r="E2646" t="s">
        <v>6</v>
      </c>
      <c r="F2646" t="s">
        <v>8</v>
      </c>
      <c r="G2646" t="s">
        <v>188</v>
      </c>
      <c r="H2646" s="94">
        <v>0.7</v>
      </c>
      <c r="I2646" t="s">
        <v>62</v>
      </c>
      <c r="J2646" t="s">
        <v>13</v>
      </c>
      <c r="K2646" t="s">
        <v>190</v>
      </c>
    </row>
    <row r="2647" spans="1:11" x14ac:dyDescent="0.25">
      <c r="A2647" t="s">
        <v>135</v>
      </c>
      <c r="B2647" t="s">
        <v>168</v>
      </c>
      <c r="C2647" s="12" t="s">
        <v>182</v>
      </c>
      <c r="D2647" t="s">
        <v>187</v>
      </c>
      <c r="E2647" t="s">
        <v>6</v>
      </c>
      <c r="F2647" t="s">
        <v>8</v>
      </c>
      <c r="G2647" t="s">
        <v>188</v>
      </c>
      <c r="H2647" s="94">
        <v>0.7</v>
      </c>
      <c r="I2647" t="s">
        <v>62</v>
      </c>
      <c r="J2647" t="s">
        <v>63</v>
      </c>
      <c r="K2647" t="s">
        <v>189</v>
      </c>
    </row>
    <row r="2648" spans="1:11" x14ac:dyDescent="0.25">
      <c r="A2648" t="s">
        <v>135</v>
      </c>
      <c r="B2648" t="s">
        <v>168</v>
      </c>
      <c r="C2648" s="12" t="s">
        <v>182</v>
      </c>
      <c r="D2648" t="s">
        <v>187</v>
      </c>
      <c r="E2648" t="s">
        <v>6</v>
      </c>
      <c r="F2648" t="s">
        <v>8</v>
      </c>
      <c r="G2648" t="s">
        <v>188</v>
      </c>
      <c r="H2648" s="94">
        <v>0.7</v>
      </c>
      <c r="I2648" t="s">
        <v>62</v>
      </c>
      <c r="J2648" t="s">
        <v>63</v>
      </c>
      <c r="K2648" t="s">
        <v>190</v>
      </c>
    </row>
    <row r="2649" spans="1:11" x14ac:dyDescent="0.25">
      <c r="A2649" t="s">
        <v>135</v>
      </c>
      <c r="B2649" t="s">
        <v>168</v>
      </c>
      <c r="C2649" s="12" t="s">
        <v>182</v>
      </c>
      <c r="D2649" t="s">
        <v>187</v>
      </c>
      <c r="E2649" t="s">
        <v>6</v>
      </c>
      <c r="F2649" t="s">
        <v>8</v>
      </c>
      <c r="G2649" t="s">
        <v>188</v>
      </c>
      <c r="H2649" s="94">
        <v>0.7</v>
      </c>
      <c r="I2649" t="s">
        <v>62</v>
      </c>
      <c r="J2649" t="s">
        <v>11</v>
      </c>
      <c r="K2649" t="s">
        <v>189</v>
      </c>
    </row>
    <row r="2650" spans="1:11" x14ac:dyDescent="0.25">
      <c r="A2650" t="s">
        <v>135</v>
      </c>
      <c r="B2650" t="s">
        <v>168</v>
      </c>
      <c r="C2650" s="12" t="s">
        <v>182</v>
      </c>
      <c r="D2650" t="s">
        <v>187</v>
      </c>
      <c r="E2650" t="s">
        <v>6</v>
      </c>
      <c r="F2650" t="s">
        <v>8</v>
      </c>
      <c r="G2650" t="s">
        <v>188</v>
      </c>
      <c r="H2650" s="94">
        <v>0.7</v>
      </c>
      <c r="I2650" t="s">
        <v>62</v>
      </c>
      <c r="J2650" t="s">
        <v>11</v>
      </c>
      <c r="K2650" t="s">
        <v>190</v>
      </c>
    </row>
    <row r="2651" spans="1:11" x14ac:dyDescent="0.25">
      <c r="A2651" t="s">
        <v>135</v>
      </c>
      <c r="B2651" t="s">
        <v>168</v>
      </c>
      <c r="C2651" s="12" t="s">
        <v>182</v>
      </c>
      <c r="D2651" t="s">
        <v>187</v>
      </c>
      <c r="E2651" t="s">
        <v>6</v>
      </c>
      <c r="F2651" t="s">
        <v>8</v>
      </c>
      <c r="G2651" t="s">
        <v>188</v>
      </c>
      <c r="H2651" s="94">
        <v>0.7</v>
      </c>
      <c r="I2651" t="s">
        <v>60</v>
      </c>
      <c r="J2651" t="s">
        <v>13</v>
      </c>
      <c r="K2651" t="s">
        <v>189</v>
      </c>
    </row>
    <row r="2652" spans="1:11" x14ac:dyDescent="0.25">
      <c r="A2652" t="s">
        <v>135</v>
      </c>
      <c r="B2652" t="s">
        <v>168</v>
      </c>
      <c r="C2652" s="12" t="s">
        <v>182</v>
      </c>
      <c r="D2652" t="s">
        <v>187</v>
      </c>
      <c r="E2652" t="s">
        <v>6</v>
      </c>
      <c r="F2652" t="s">
        <v>8</v>
      </c>
      <c r="G2652" t="s">
        <v>188</v>
      </c>
      <c r="H2652" s="94">
        <v>0.7</v>
      </c>
      <c r="I2652" t="s">
        <v>60</v>
      </c>
      <c r="J2652" t="s">
        <v>13</v>
      </c>
      <c r="K2652" t="s">
        <v>190</v>
      </c>
    </row>
    <row r="2653" spans="1:11" x14ac:dyDescent="0.25">
      <c r="A2653" t="s">
        <v>135</v>
      </c>
      <c r="B2653" t="s">
        <v>168</v>
      </c>
      <c r="C2653" s="12" t="s">
        <v>182</v>
      </c>
      <c r="D2653" t="s">
        <v>187</v>
      </c>
      <c r="E2653" t="s">
        <v>6</v>
      </c>
      <c r="F2653" t="s">
        <v>8</v>
      </c>
      <c r="G2653" t="s">
        <v>188</v>
      </c>
      <c r="H2653" s="94">
        <v>0.7</v>
      </c>
      <c r="I2653" t="s">
        <v>60</v>
      </c>
      <c r="J2653" t="s">
        <v>63</v>
      </c>
      <c r="K2653" t="s">
        <v>189</v>
      </c>
    </row>
    <row r="2654" spans="1:11" x14ac:dyDescent="0.25">
      <c r="A2654" t="s">
        <v>135</v>
      </c>
      <c r="B2654" t="s">
        <v>168</v>
      </c>
      <c r="C2654" s="12" t="s">
        <v>182</v>
      </c>
      <c r="D2654" t="s">
        <v>187</v>
      </c>
      <c r="E2654" t="s">
        <v>6</v>
      </c>
      <c r="F2654" t="s">
        <v>8</v>
      </c>
      <c r="G2654" t="s">
        <v>188</v>
      </c>
      <c r="H2654" s="94">
        <v>0.7</v>
      </c>
      <c r="I2654" t="s">
        <v>60</v>
      </c>
      <c r="J2654" t="s">
        <v>63</v>
      </c>
      <c r="K2654" t="s">
        <v>190</v>
      </c>
    </row>
    <row r="2655" spans="1:11" x14ac:dyDescent="0.25">
      <c r="A2655" t="s">
        <v>135</v>
      </c>
      <c r="B2655" t="s">
        <v>168</v>
      </c>
      <c r="C2655" s="12" t="s">
        <v>182</v>
      </c>
      <c r="D2655" t="s">
        <v>187</v>
      </c>
      <c r="E2655" t="s">
        <v>6</v>
      </c>
      <c r="F2655" t="s">
        <v>8</v>
      </c>
      <c r="G2655" t="s">
        <v>188</v>
      </c>
      <c r="H2655" s="94">
        <v>0.7</v>
      </c>
      <c r="I2655" t="s">
        <v>60</v>
      </c>
      <c r="J2655" t="s">
        <v>11</v>
      </c>
      <c r="K2655" t="s">
        <v>189</v>
      </c>
    </row>
    <row r="2656" spans="1:11" x14ac:dyDescent="0.25">
      <c r="A2656" t="s">
        <v>135</v>
      </c>
      <c r="B2656" t="s">
        <v>168</v>
      </c>
      <c r="C2656" s="12" t="s">
        <v>182</v>
      </c>
      <c r="D2656" t="s">
        <v>187</v>
      </c>
      <c r="E2656" t="s">
        <v>6</v>
      </c>
      <c r="F2656" t="s">
        <v>8</v>
      </c>
      <c r="G2656" t="s">
        <v>188</v>
      </c>
      <c r="H2656" s="94">
        <v>0.7</v>
      </c>
      <c r="I2656" t="s">
        <v>60</v>
      </c>
      <c r="J2656" t="s">
        <v>11</v>
      </c>
      <c r="K2656" t="s">
        <v>190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44E14-F821-4367-9B7E-A8D44BB5856D}">
  <sheetPr codeName="shtBackend"/>
  <dimension ref="A1:AT21"/>
  <sheetViews>
    <sheetView workbookViewId="0"/>
  </sheetViews>
  <sheetFormatPr defaultRowHeight="13.8" x14ac:dyDescent="0.25"/>
  <cols>
    <col min="1" max="1" width="17.796875" style="13" bestFit="1" customWidth="1"/>
    <col min="2" max="2" width="31.19921875" style="13" bestFit="1" customWidth="1"/>
    <col min="3" max="3" width="42.19921875" style="16" bestFit="1" customWidth="1"/>
    <col min="4" max="4" width="12.09765625" bestFit="1" customWidth="1"/>
    <col min="5" max="5" width="16.59765625" bestFit="1" customWidth="1"/>
    <col min="6" max="6" width="11.796875" bestFit="1" customWidth="1"/>
    <col min="7" max="7" width="8.19921875" bestFit="1" customWidth="1"/>
    <col min="8" max="8" width="13.8984375" bestFit="1" customWidth="1"/>
    <col min="9" max="9" width="10.69921875" bestFit="1" customWidth="1"/>
    <col min="10" max="10" width="9.8984375" bestFit="1" customWidth="1"/>
    <col min="11" max="11" width="12.09765625" bestFit="1" customWidth="1"/>
    <col min="12" max="12" width="16.3984375" bestFit="1" customWidth="1"/>
    <col min="13" max="13" width="13.19921875" bestFit="1" customWidth="1"/>
    <col min="21" max="23" width="16.3984375" customWidth="1"/>
    <col min="24" max="24" width="8.19921875" bestFit="1" customWidth="1"/>
    <col min="25" max="27" width="16.3984375" customWidth="1"/>
    <col min="28" max="28" width="8.19921875" bestFit="1" customWidth="1"/>
    <col min="29" max="30" width="16.3984375" customWidth="1"/>
    <col min="42" max="42" width="30.8984375" bestFit="1" customWidth="1"/>
    <col min="43" max="43" width="17.8984375" customWidth="1"/>
    <col min="44" max="44" width="9.8984375" bestFit="1" customWidth="1"/>
    <col min="45" max="45" width="17.69921875" style="12" customWidth="1"/>
  </cols>
  <sheetData>
    <row r="1" spans="1:46" ht="66" x14ac:dyDescent="0.25">
      <c r="A1" s="15" t="s">
        <v>77</v>
      </c>
      <c r="B1" s="15" t="s">
        <v>25</v>
      </c>
      <c r="C1" s="15" t="s">
        <v>129</v>
      </c>
      <c r="D1" s="1" t="s">
        <v>0</v>
      </c>
      <c r="E1" s="1" t="s">
        <v>1</v>
      </c>
      <c r="F1" s="1" t="s">
        <v>2</v>
      </c>
      <c r="G1" s="1" t="s">
        <v>3</v>
      </c>
      <c r="H1" s="1" t="s">
        <v>5</v>
      </c>
      <c r="I1" s="1" t="s">
        <v>7</v>
      </c>
      <c r="J1" s="1" t="s">
        <v>76</v>
      </c>
      <c r="K1" s="18" t="s">
        <v>74</v>
      </c>
      <c r="L1" s="1" t="s">
        <v>9</v>
      </c>
      <c r="M1" s="2" t="s">
        <v>10</v>
      </c>
      <c r="N1" s="2" t="s">
        <v>175</v>
      </c>
      <c r="O1" s="2" t="s">
        <v>146</v>
      </c>
      <c r="P1" s="2" t="s">
        <v>148</v>
      </c>
      <c r="Q1" s="2" t="s">
        <v>149</v>
      </c>
      <c r="R1" s="2" t="s">
        <v>150</v>
      </c>
      <c r="U1" s="1" t="s">
        <v>0</v>
      </c>
      <c r="V1" s="1" t="s">
        <v>1</v>
      </c>
      <c r="W1" s="1" t="s">
        <v>2</v>
      </c>
      <c r="X1" s="1" t="s">
        <v>3</v>
      </c>
      <c r="Y1" s="1" t="s">
        <v>5</v>
      </c>
      <c r="Z1" s="1" t="s">
        <v>7</v>
      </c>
      <c r="AA1" s="1" t="s">
        <v>76</v>
      </c>
      <c r="AB1" s="18" t="s">
        <v>74</v>
      </c>
      <c r="AC1" s="1" t="s">
        <v>9</v>
      </c>
      <c r="AD1" s="2" t="s">
        <v>10</v>
      </c>
      <c r="AE1" s="2" t="s">
        <v>175</v>
      </c>
      <c r="AF1" s="2" t="s">
        <v>146</v>
      </c>
      <c r="AG1" s="2" t="s">
        <v>148</v>
      </c>
      <c r="AH1" s="2" t="s">
        <v>149</v>
      </c>
      <c r="AI1" s="2" t="s">
        <v>150</v>
      </c>
      <c r="AP1" s="3" t="s">
        <v>25</v>
      </c>
      <c r="AQ1" s="3" t="s">
        <v>1</v>
      </c>
      <c r="AR1" s="3" t="s">
        <v>18</v>
      </c>
      <c r="AS1" s="71" t="s">
        <v>74</v>
      </c>
    </row>
    <row r="2" spans="1:46" x14ac:dyDescent="0.25">
      <c r="A2" t="s">
        <v>169</v>
      </c>
      <c r="B2" s="14" t="s">
        <v>130</v>
      </c>
      <c r="C2" s="90" t="s">
        <v>177</v>
      </c>
      <c r="D2" t="s">
        <v>132</v>
      </c>
      <c r="E2" t="s">
        <v>14</v>
      </c>
      <c r="F2" s="12" t="s">
        <v>109</v>
      </c>
      <c r="G2" t="s">
        <v>4</v>
      </c>
      <c r="H2" t="s">
        <v>12</v>
      </c>
      <c r="I2" t="s">
        <v>72</v>
      </c>
      <c r="J2" t="s">
        <v>166</v>
      </c>
      <c r="K2" t="s">
        <v>191</v>
      </c>
      <c r="L2" t="s">
        <v>107</v>
      </c>
      <c r="M2" t="s">
        <v>13</v>
      </c>
      <c r="U2" t="s">
        <v>132</v>
      </c>
      <c r="V2" t="s">
        <v>167</v>
      </c>
      <c r="W2" t="s">
        <v>109</v>
      </c>
      <c r="X2" t="s">
        <v>4</v>
      </c>
      <c r="Y2" t="s">
        <v>6</v>
      </c>
      <c r="Z2" t="s">
        <v>72</v>
      </c>
      <c r="AA2" t="s">
        <v>180</v>
      </c>
      <c r="AB2">
        <v>5</v>
      </c>
      <c r="AC2" t="s">
        <v>62</v>
      </c>
      <c r="AD2" t="s">
        <v>13</v>
      </c>
      <c r="AP2" s="68" t="s">
        <v>17</v>
      </c>
      <c r="AQ2" t="s">
        <v>14</v>
      </c>
      <c r="AR2" t="s">
        <v>69</v>
      </c>
      <c r="AS2" s="12" t="s">
        <v>104</v>
      </c>
    </row>
    <row r="3" spans="1:46" x14ac:dyDescent="0.25">
      <c r="A3" t="s">
        <v>170</v>
      </c>
      <c r="B3" s="14" t="s">
        <v>131</v>
      </c>
      <c r="C3" s="90" t="s">
        <v>176</v>
      </c>
      <c r="E3" t="s">
        <v>167</v>
      </c>
      <c r="H3" t="s">
        <v>6</v>
      </c>
      <c r="I3" s="17" t="s">
        <v>16</v>
      </c>
      <c r="J3" t="s">
        <v>180</v>
      </c>
      <c r="K3" t="s">
        <v>192</v>
      </c>
      <c r="L3" t="s">
        <v>62</v>
      </c>
      <c r="M3" t="s">
        <v>63</v>
      </c>
      <c r="AP3" s="68" t="s">
        <v>17</v>
      </c>
      <c r="AQ3" t="s">
        <v>14</v>
      </c>
      <c r="AR3" t="s">
        <v>19</v>
      </c>
      <c r="AS3" s="12" t="s">
        <v>79</v>
      </c>
    </row>
    <row r="4" spans="1:46" x14ac:dyDescent="0.25">
      <c r="A4" t="s">
        <v>171</v>
      </c>
      <c r="B4" s="14" t="s">
        <v>132</v>
      </c>
      <c r="C4" s="90" t="s">
        <v>176</v>
      </c>
      <c r="E4" t="s">
        <v>168</v>
      </c>
      <c r="I4" t="s">
        <v>8</v>
      </c>
      <c r="J4" t="s">
        <v>181</v>
      </c>
      <c r="K4" t="s">
        <v>193</v>
      </c>
      <c r="L4" t="s">
        <v>60</v>
      </c>
      <c r="M4" t="s">
        <v>11</v>
      </c>
      <c r="AP4" s="68" t="s">
        <v>17</v>
      </c>
      <c r="AQ4" t="s">
        <v>14</v>
      </c>
      <c r="AR4" t="s">
        <v>19</v>
      </c>
      <c r="AS4" s="12" t="s">
        <v>80</v>
      </c>
    </row>
    <row r="5" spans="1:46" x14ac:dyDescent="0.25">
      <c r="A5" t="s">
        <v>172</v>
      </c>
      <c r="B5" s="14" t="s">
        <v>133</v>
      </c>
      <c r="C5" s="90" t="s">
        <v>178</v>
      </c>
      <c r="K5" t="s">
        <v>194</v>
      </c>
      <c r="U5" t="s">
        <v>61</v>
      </c>
      <c r="V5" s="65" t="str">
        <f>U2&amp;V2&amp;W2&amp;X2&amp;Y2&amp;Z2&amp;AA2&amp;AB2&amp;AC2&amp;AD2</f>
        <v>KetchupPortugalOctoberEURSemi-AutomatedOldBucket5Medium-scaleLow</v>
      </c>
      <c r="AP5" s="68" t="s">
        <v>17</v>
      </c>
      <c r="AQ5" t="s">
        <v>15</v>
      </c>
      <c r="AR5" t="s">
        <v>19</v>
      </c>
      <c r="AS5" s="12" t="s">
        <v>103</v>
      </c>
    </row>
    <row r="6" spans="1:46" x14ac:dyDescent="0.25">
      <c r="A6" t="s">
        <v>173</v>
      </c>
      <c r="B6" s="14" t="s">
        <v>134</v>
      </c>
      <c r="C6" s="90" t="s">
        <v>176</v>
      </c>
      <c r="K6" t="s">
        <v>196</v>
      </c>
      <c r="AP6" s="68" t="s">
        <v>17</v>
      </c>
      <c r="AQ6" t="s">
        <v>15</v>
      </c>
      <c r="AR6" t="s">
        <v>19</v>
      </c>
      <c r="AS6" s="12" t="s">
        <v>80</v>
      </c>
    </row>
    <row r="7" spans="1:46" ht="16.2" thickBot="1" x14ac:dyDescent="0.3">
      <c r="A7" t="s">
        <v>174</v>
      </c>
      <c r="B7" s="14" t="s">
        <v>135</v>
      </c>
      <c r="C7" s="90" t="s">
        <v>179</v>
      </c>
      <c r="K7" t="s">
        <v>195</v>
      </c>
      <c r="U7" s="101" t="s">
        <v>100</v>
      </c>
      <c r="V7" s="101"/>
      <c r="W7" s="101"/>
      <c r="Y7" s="101" t="s">
        <v>102</v>
      </c>
      <c r="Z7" s="101"/>
      <c r="AA7" s="101"/>
      <c r="AC7" s="110" t="s">
        <v>96</v>
      </c>
      <c r="AD7" s="110"/>
      <c r="AE7" s="110"/>
      <c r="AP7" s="68" t="s">
        <v>73</v>
      </c>
      <c r="AQ7" t="s">
        <v>106</v>
      </c>
      <c r="AR7" t="s">
        <v>110</v>
      </c>
      <c r="AS7" s="12" t="s">
        <v>111</v>
      </c>
    </row>
    <row r="8" spans="1:46" ht="16.2" thickTop="1" x14ac:dyDescent="0.25">
      <c r="A8" s="90"/>
      <c r="B8" s="90"/>
      <c r="C8" s="90"/>
      <c r="U8" s="20"/>
      <c r="V8" s="20"/>
      <c r="W8" s="20"/>
      <c r="Y8" s="48"/>
      <c r="Z8" s="48"/>
      <c r="AA8" s="48"/>
      <c r="AC8" s="39"/>
      <c r="AD8" s="39"/>
      <c r="AE8" s="39"/>
      <c r="AP8" s="68" t="s">
        <v>73</v>
      </c>
      <c r="AQ8" t="s">
        <v>106</v>
      </c>
      <c r="AR8" t="s">
        <v>110</v>
      </c>
      <c r="AS8" s="12" t="s">
        <v>112</v>
      </c>
    </row>
    <row r="9" spans="1:46" ht="52.8" x14ac:dyDescent="0.25">
      <c r="A9" s="90"/>
      <c r="B9" s="90"/>
      <c r="C9" s="90"/>
      <c r="U9" s="22" t="s">
        <v>81</v>
      </c>
      <c r="V9" s="22" t="s">
        <v>82</v>
      </c>
      <c r="W9" s="23" t="s">
        <v>83</v>
      </c>
      <c r="Y9" s="34" t="s">
        <v>81</v>
      </c>
      <c r="Z9" s="34" t="s">
        <v>93</v>
      </c>
      <c r="AA9" s="23" t="s">
        <v>83</v>
      </c>
      <c r="AC9" s="34" t="s">
        <v>81</v>
      </c>
      <c r="AD9" s="34" t="s">
        <v>93</v>
      </c>
      <c r="AE9" s="23" t="s">
        <v>83</v>
      </c>
      <c r="AP9" s="68" t="s">
        <v>73</v>
      </c>
      <c r="AQ9" t="s">
        <v>106</v>
      </c>
      <c r="AR9" t="s">
        <v>110</v>
      </c>
      <c r="AS9" s="12" t="s">
        <v>113</v>
      </c>
      <c r="AT9" s="69"/>
    </row>
    <row r="10" spans="1:46" x14ac:dyDescent="0.25">
      <c r="A10" s="90"/>
      <c r="B10" s="90"/>
      <c r="C10" s="90"/>
      <c r="U10" s="5" t="s">
        <v>84</v>
      </c>
      <c r="V10" s="40" t="e">
        <f>W10/$W$14</f>
        <v>#N/A</v>
      </c>
      <c r="W10" s="46" t="e">
        <f>AA10+AE10</f>
        <v>#N/A</v>
      </c>
      <c r="Y10" s="5" t="s">
        <v>20</v>
      </c>
      <c r="Z10" s="49" t="e">
        <f>AA10/$AA$13</f>
        <v>#N/A</v>
      </c>
      <c r="AA10" s="50" t="e">
        <f>VLOOKUP($V$5,Data!$A:$Y,18,0)</f>
        <v>#N/A</v>
      </c>
      <c r="AC10" s="5" t="s">
        <v>20</v>
      </c>
      <c r="AD10" s="40" t="e">
        <f>AE10/$AE$13</f>
        <v>#N/A</v>
      </c>
      <c r="AE10" s="50" t="e">
        <f>VLOOKUP($V$5,Data!$A:$Y,22,0)</f>
        <v>#N/A</v>
      </c>
      <c r="AP10" s="68" t="s">
        <v>73</v>
      </c>
      <c r="AQ10" t="s">
        <v>106</v>
      </c>
      <c r="AR10" t="s">
        <v>114</v>
      </c>
      <c r="AS10" s="12" t="s">
        <v>126</v>
      </c>
    </row>
    <row r="11" spans="1:46" x14ac:dyDescent="0.25">
      <c r="A11" s="90"/>
      <c r="B11" s="90"/>
      <c r="C11" s="90"/>
      <c r="U11" s="4" t="s">
        <v>85</v>
      </c>
      <c r="V11" s="40" t="e">
        <f>W11/$W$14</f>
        <v>#N/A</v>
      </c>
      <c r="W11" s="46" t="e">
        <f t="shared" ref="W11:W12" si="0">AA11+AE11</f>
        <v>#N/A</v>
      </c>
      <c r="Y11" s="4" t="s">
        <v>21</v>
      </c>
      <c r="Z11" s="49" t="e">
        <f t="shared" ref="Z11:Z12" si="1">AA11/$AA$13</f>
        <v>#N/A</v>
      </c>
      <c r="AA11" s="50" t="e">
        <f>VLOOKUP($V$5,Data!$A:$Y,19,0)</f>
        <v>#N/A</v>
      </c>
      <c r="AC11" s="4" t="s">
        <v>21</v>
      </c>
      <c r="AD11" s="40" t="e">
        <f t="shared" ref="AD11:AD12" si="2">AE11/$AE$13</f>
        <v>#N/A</v>
      </c>
      <c r="AE11" s="50" t="e">
        <f>VLOOKUP($V$5,Data!$A:$Y,23,0)</f>
        <v>#N/A</v>
      </c>
      <c r="AP11" s="68" t="s">
        <v>73</v>
      </c>
      <c r="AQ11" t="s">
        <v>106</v>
      </c>
      <c r="AR11" t="s">
        <v>115</v>
      </c>
      <c r="AS11" s="12" t="s">
        <v>127</v>
      </c>
    </row>
    <row r="12" spans="1:46" x14ac:dyDescent="0.25">
      <c r="A12" s="90"/>
      <c r="B12" s="90"/>
      <c r="C12" s="90"/>
      <c r="U12" s="4" t="s">
        <v>86</v>
      </c>
      <c r="V12" s="40" t="e">
        <f t="shared" ref="V12:V13" si="3">W12/$W$14</f>
        <v>#N/A</v>
      </c>
      <c r="W12" s="46" t="e">
        <f t="shared" si="0"/>
        <v>#N/A</v>
      </c>
      <c r="Y12" s="4" t="s">
        <v>22</v>
      </c>
      <c r="Z12" s="49" t="e">
        <f t="shared" si="1"/>
        <v>#N/A</v>
      </c>
      <c r="AA12" s="50" t="e">
        <f>VLOOKUP($V$5,Data!$A:$Y,20,0)</f>
        <v>#N/A</v>
      </c>
      <c r="AC12" s="4" t="s">
        <v>22</v>
      </c>
      <c r="AD12" s="40" t="e">
        <f t="shared" si="2"/>
        <v>#N/A</v>
      </c>
      <c r="AE12" s="50" t="e">
        <f>VLOOKUP($V$5,Data!$A:$Y,24,0)</f>
        <v>#N/A</v>
      </c>
      <c r="AP12" s="68" t="s">
        <v>75</v>
      </c>
      <c r="AQ12" t="s">
        <v>106</v>
      </c>
      <c r="AR12" t="s">
        <v>116</v>
      </c>
      <c r="AS12" s="12" t="s">
        <v>117</v>
      </c>
    </row>
    <row r="13" spans="1:46" ht="14.4" thickBot="1" x14ac:dyDescent="0.3">
      <c r="A13" s="90"/>
      <c r="B13" s="90"/>
      <c r="C13" s="90"/>
      <c r="U13" s="4" t="s">
        <v>87</v>
      </c>
      <c r="V13" s="40" t="e">
        <f t="shared" si="3"/>
        <v>#N/A</v>
      </c>
      <c r="W13" s="46" t="e">
        <f>AA14+AE14</f>
        <v>#N/A</v>
      </c>
      <c r="Y13" s="36" t="s">
        <v>94</v>
      </c>
      <c r="Z13" s="42" t="e">
        <f>SUM(Z10:Z12)</f>
        <v>#N/A</v>
      </c>
      <c r="AA13" s="51" t="e">
        <f>SUM(AA10:AA12)</f>
        <v>#N/A</v>
      </c>
      <c r="AC13" s="36" t="s">
        <v>97</v>
      </c>
      <c r="AD13" s="42" t="e">
        <f>SUM(AD10:AD12)</f>
        <v>#N/A</v>
      </c>
      <c r="AE13" s="43" t="e">
        <f>SUM(AE10:AE12)</f>
        <v>#N/A</v>
      </c>
      <c r="AP13" s="68" t="s">
        <v>75</v>
      </c>
      <c r="AQ13" t="s">
        <v>106</v>
      </c>
      <c r="AR13" t="s">
        <v>118</v>
      </c>
      <c r="AS13" s="12" t="s">
        <v>119</v>
      </c>
    </row>
    <row r="14" spans="1:46" ht="14.4" thickBot="1" x14ac:dyDescent="0.3">
      <c r="A14" s="90"/>
      <c r="B14" s="90"/>
      <c r="C14" s="90"/>
      <c r="U14" s="25" t="s">
        <v>88</v>
      </c>
      <c r="V14" s="47" t="e">
        <f>SUM(V10:V13)</f>
        <v>#N/A</v>
      </c>
      <c r="W14" s="32" t="e">
        <f>SUM(W10:W13)</f>
        <v>#N/A</v>
      </c>
      <c r="Y14" s="104" t="s">
        <v>23</v>
      </c>
      <c r="Z14" s="105"/>
      <c r="AA14" s="44" t="e">
        <f>VLOOKUP($V$5,Data!$A:$Y,21,0)</f>
        <v>#N/A</v>
      </c>
      <c r="AC14" s="104" t="s">
        <v>24</v>
      </c>
      <c r="AD14" s="105"/>
      <c r="AE14" s="44" t="e">
        <f>VLOOKUP($V$5,Data!$A:$Y,25,0)</f>
        <v>#N/A</v>
      </c>
      <c r="AP14" s="68" t="s">
        <v>75</v>
      </c>
      <c r="AQ14" t="s">
        <v>106</v>
      </c>
      <c r="AR14" t="s">
        <v>120</v>
      </c>
      <c r="AS14" s="12" t="s">
        <v>121</v>
      </c>
    </row>
    <row r="15" spans="1:46" ht="26.4" x14ac:dyDescent="0.25">
      <c r="A15" s="90"/>
      <c r="B15" s="90"/>
      <c r="C15" s="90"/>
      <c r="U15" s="21"/>
      <c r="V15" s="21"/>
      <c r="W15" s="21"/>
      <c r="Y15" s="106" t="s">
        <v>95</v>
      </c>
      <c r="Z15" s="106"/>
      <c r="AA15" s="45" t="e">
        <f>AA14+AA13</f>
        <v>#N/A</v>
      </c>
      <c r="AC15" s="106" t="s">
        <v>98</v>
      </c>
      <c r="AD15" s="106"/>
      <c r="AE15" s="45" t="e">
        <f>AE14+AE13</f>
        <v>#N/A</v>
      </c>
      <c r="AP15" s="68" t="s">
        <v>122</v>
      </c>
      <c r="AQ15" s="70" t="s">
        <v>108</v>
      </c>
      <c r="AR15" t="s">
        <v>123</v>
      </c>
      <c r="AS15" s="12" t="s">
        <v>105</v>
      </c>
    </row>
    <row r="16" spans="1:46" ht="27" thickBot="1" x14ac:dyDescent="0.3">
      <c r="A16" s="90"/>
      <c r="B16" s="90"/>
      <c r="C16" s="90"/>
      <c r="U16" s="52" t="s">
        <v>89</v>
      </c>
      <c r="V16" s="111" t="s">
        <v>13</v>
      </c>
      <c r="W16" s="53">
        <f>IF(V16="High",20%,IF(V16="Medium",15%,10%))</f>
        <v>0.1</v>
      </c>
      <c r="AP16" s="68" t="s">
        <v>122</v>
      </c>
      <c r="AQ16" s="70" t="s">
        <v>108</v>
      </c>
      <c r="AR16" t="s">
        <v>123</v>
      </c>
      <c r="AS16" s="12" t="s">
        <v>124</v>
      </c>
    </row>
    <row r="17" spans="1:45" ht="27" thickBot="1" x14ac:dyDescent="0.3">
      <c r="A17" s="90"/>
      <c r="B17" s="90"/>
      <c r="C17" s="90"/>
      <c r="U17" s="52" t="s">
        <v>101</v>
      </c>
      <c r="V17" s="112"/>
      <c r="W17" s="54" t="e">
        <f>(W16*W14)+W14</f>
        <v>#N/A</v>
      </c>
      <c r="AP17" s="68" t="s">
        <v>122</v>
      </c>
      <c r="AQ17" s="70" t="s">
        <v>108</v>
      </c>
      <c r="AR17" t="s">
        <v>125</v>
      </c>
      <c r="AS17" s="12" t="s">
        <v>128</v>
      </c>
    </row>
    <row r="18" spans="1:45" x14ac:dyDescent="0.25">
      <c r="A18" s="90"/>
      <c r="B18" s="90"/>
      <c r="C18" s="90"/>
      <c r="U18" s="55"/>
      <c r="V18" s="55"/>
      <c r="W18" s="56"/>
    </row>
    <row r="19" spans="1:45" ht="14.4" thickBot="1" x14ac:dyDescent="0.3">
      <c r="U19" s="57" t="s">
        <v>91</v>
      </c>
      <c r="V19" s="58"/>
      <c r="W19" s="59"/>
    </row>
    <row r="20" spans="1:45" x14ac:dyDescent="0.25">
      <c r="U20" s="60"/>
      <c r="V20" s="61"/>
      <c r="W20" s="62"/>
    </row>
    <row r="21" spans="1:45" ht="40.200000000000003" thickBot="1" x14ac:dyDescent="0.3">
      <c r="U21" s="108" t="s">
        <v>92</v>
      </c>
      <c r="V21" s="109"/>
      <c r="W21" s="63" t="str">
        <f>IF(W19="","Please enter purchase price in cell D31",W19-W17)</f>
        <v>Please enter purchase price in cell D31</v>
      </c>
    </row>
  </sheetData>
  <protectedRanges>
    <protectedRange algorithmName="SHA-512" hashValue="wcO2i0pskNkL6l5Rg3vDPdsZixfDcIAPVvxsSGQAUxM64jpe5ALMfhRiYT04R7dnrSDLpesGHzmbVYwi7u0Rcg==" saltValue="VN0IfzVFo/3LIHDmdZcq1w==" spinCount="100000" sqref="AP2:AP6" name="Summary"/>
    <protectedRange algorithmName="SHA-512" hashValue="wcO2i0pskNkL6l5Rg3vDPdsZixfDcIAPVvxsSGQAUxM64jpe5ALMfhRiYT04R7dnrSDLpesGHzmbVYwi7u0Rcg==" saltValue="VN0IfzVFo/3LIHDmdZcq1w==" spinCount="100000" sqref="AP7:AP11" name="Summary_1"/>
  </protectedRanges>
  <mergeCells count="9">
    <mergeCell ref="U21:V21"/>
    <mergeCell ref="Y7:AA7"/>
    <mergeCell ref="Y14:Z14"/>
    <mergeCell ref="Y15:Z15"/>
    <mergeCell ref="AC7:AE7"/>
    <mergeCell ref="AC14:AD14"/>
    <mergeCell ref="AC15:AD15"/>
    <mergeCell ref="U7:W7"/>
    <mergeCell ref="V16:V17"/>
  </mergeCells>
  <phoneticPr fontId="6" type="noConversion"/>
  <dataValidations disablePrompts="1" count="1">
    <dataValidation type="list" allowBlank="1" showInputMessage="1" showErrorMessage="1" sqref="V16" xr:uid="{FE975915-FC20-4443-93FA-1B0B434CF7DB}">
      <formula1>"High, Medium, Low"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52F1A-103B-44FA-80DD-D0D611BFEBE4}">
  <sheetPr codeName="shtMapping"/>
  <dimension ref="A1:E114"/>
  <sheetViews>
    <sheetView topLeftCell="A89" workbookViewId="0">
      <selection activeCell="A93" sqref="A93"/>
    </sheetView>
  </sheetViews>
  <sheetFormatPr defaultColWidth="18.69921875" defaultRowHeight="13.8" x14ac:dyDescent="0.25"/>
  <cols>
    <col min="1" max="1" width="40.5" bestFit="1" customWidth="1"/>
    <col min="2" max="2" width="35.3984375" customWidth="1"/>
    <col min="3" max="3" width="19.5" bestFit="1" customWidth="1"/>
    <col min="4" max="4" width="26.8984375" customWidth="1"/>
  </cols>
  <sheetData>
    <row r="1" spans="1:5" x14ac:dyDescent="0.25">
      <c r="A1" t="s">
        <v>25</v>
      </c>
      <c r="B1" t="s">
        <v>26</v>
      </c>
      <c r="C1" t="s">
        <v>27</v>
      </c>
      <c r="D1" t="s">
        <v>28</v>
      </c>
      <c r="E1" t="s">
        <v>78</v>
      </c>
    </row>
    <row r="2" spans="1:5" x14ac:dyDescent="0.25">
      <c r="A2" s="8" t="s">
        <v>131</v>
      </c>
      <c r="B2" s="1" t="s">
        <v>0</v>
      </c>
      <c r="C2" t="s">
        <v>29</v>
      </c>
      <c r="D2" t="s">
        <v>38</v>
      </c>
      <c r="E2" cm="1">
        <f t="array" aca="1" ref="E2" ca="1">COLUMN(INDIRECT(D2&amp;"1"))</f>
        <v>3</v>
      </c>
    </row>
    <row r="3" spans="1:5" x14ac:dyDescent="0.25">
      <c r="A3" s="8" t="s">
        <v>131</v>
      </c>
      <c r="B3" s="1" t="s">
        <v>1</v>
      </c>
      <c r="C3" t="s">
        <v>30</v>
      </c>
      <c r="D3" t="s">
        <v>39</v>
      </c>
      <c r="E3" cm="1">
        <f t="array" aca="1" ref="E3" ca="1">COLUMN(INDIRECT(D3&amp;"1"))</f>
        <v>4</v>
      </c>
    </row>
    <row r="4" spans="1:5" x14ac:dyDescent="0.25">
      <c r="A4" s="8" t="s">
        <v>131</v>
      </c>
      <c r="B4" s="1" t="s">
        <v>2</v>
      </c>
      <c r="C4" t="s">
        <v>31</v>
      </c>
      <c r="D4" t="s">
        <v>40</v>
      </c>
      <c r="E4" cm="1">
        <f t="array" aca="1" ref="E4" ca="1">COLUMN(INDIRECT(D4&amp;"1"))</f>
        <v>5</v>
      </c>
    </row>
    <row r="5" spans="1:5" x14ac:dyDescent="0.25">
      <c r="A5" s="8" t="s">
        <v>131</v>
      </c>
      <c r="B5" s="1" t="s">
        <v>3</v>
      </c>
      <c r="C5" t="s">
        <v>32</v>
      </c>
      <c r="D5" t="s">
        <v>41</v>
      </c>
      <c r="E5" cm="1">
        <f t="array" aca="1" ref="E5" ca="1">COLUMN(INDIRECT(D5&amp;"1"))</f>
        <v>6</v>
      </c>
    </row>
    <row r="6" spans="1:5" x14ac:dyDescent="0.25">
      <c r="A6" s="8" t="s">
        <v>131</v>
      </c>
      <c r="B6" s="1" t="s">
        <v>136</v>
      </c>
      <c r="C6" t="s">
        <v>33</v>
      </c>
      <c r="D6" t="s">
        <v>42</v>
      </c>
      <c r="E6" cm="1">
        <f t="array" aca="1" ref="E6" ca="1">COLUMN(INDIRECT(D6&amp;"1"))</f>
        <v>7</v>
      </c>
    </row>
    <row r="7" spans="1:5" x14ac:dyDescent="0.25">
      <c r="A7" s="8" t="s">
        <v>131</v>
      </c>
      <c r="B7" s="1" t="s">
        <v>7</v>
      </c>
      <c r="C7" t="s">
        <v>34</v>
      </c>
      <c r="D7" t="s">
        <v>43</v>
      </c>
      <c r="E7" cm="1">
        <f t="array" aca="1" ref="E7" ca="1">COLUMN(INDIRECT(D7&amp;"1"))</f>
        <v>8</v>
      </c>
    </row>
    <row r="8" spans="1:5" x14ac:dyDescent="0.25">
      <c r="A8" s="8" t="s">
        <v>131</v>
      </c>
      <c r="B8" s="1" t="s">
        <v>76</v>
      </c>
      <c r="C8" t="s">
        <v>35</v>
      </c>
      <c r="D8" t="s">
        <v>44</v>
      </c>
      <c r="E8" cm="1">
        <f t="array" aca="1" ref="E8" ca="1">COLUMN(INDIRECT(D8&amp;"1"))</f>
        <v>9</v>
      </c>
    </row>
    <row r="9" spans="1:5" x14ac:dyDescent="0.25">
      <c r="A9" s="8" t="s">
        <v>131</v>
      </c>
      <c r="B9" s="1" t="s">
        <v>137</v>
      </c>
      <c r="C9" t="s">
        <v>36</v>
      </c>
      <c r="D9" t="s">
        <v>45</v>
      </c>
      <c r="E9" cm="1">
        <f t="array" aca="1" ref="E9" ca="1">COLUMN(INDIRECT(D9&amp;"1"))</f>
        <v>10</v>
      </c>
    </row>
    <row r="10" spans="1:5" x14ac:dyDescent="0.25">
      <c r="A10" s="8" t="s">
        <v>131</v>
      </c>
      <c r="B10" s="2" t="s">
        <v>9</v>
      </c>
      <c r="C10" t="s">
        <v>37</v>
      </c>
      <c r="D10" t="s">
        <v>51</v>
      </c>
      <c r="E10" cm="1">
        <f t="array" aca="1" ref="E10" ca="1">COLUMN(INDIRECT(D10&amp;"1"))</f>
        <v>11</v>
      </c>
    </row>
    <row r="11" spans="1:5" x14ac:dyDescent="0.25">
      <c r="A11" s="8" t="s">
        <v>131</v>
      </c>
      <c r="B11" s="2" t="s">
        <v>10</v>
      </c>
      <c r="C11" t="s">
        <v>70</v>
      </c>
      <c r="D11" t="s">
        <v>52</v>
      </c>
      <c r="E11" cm="1">
        <f t="array" aca="1" ref="E11" ca="1">COLUMN(INDIRECT(D11&amp;"1"))</f>
        <v>12</v>
      </c>
    </row>
    <row r="12" spans="1:5" x14ac:dyDescent="0.25">
      <c r="A12" s="8" t="s">
        <v>131</v>
      </c>
      <c r="B12" s="4" t="s">
        <v>20</v>
      </c>
      <c r="C12" t="s">
        <v>46</v>
      </c>
      <c r="D12" t="s">
        <v>57</v>
      </c>
      <c r="E12" cm="1">
        <f t="array" aca="1" ref="E12" ca="1">COLUMN(INDIRECT(D12&amp;"1"))</f>
        <v>18</v>
      </c>
    </row>
    <row r="13" spans="1:5" x14ac:dyDescent="0.25">
      <c r="A13" s="8" t="s">
        <v>131</v>
      </c>
      <c r="B13" s="4" t="s">
        <v>21</v>
      </c>
      <c r="C13" t="s">
        <v>47</v>
      </c>
      <c r="D13" t="s">
        <v>58</v>
      </c>
      <c r="E13" cm="1">
        <f t="array" aca="1" ref="E13" ca="1">COLUMN(INDIRECT(D13&amp;"1"))</f>
        <v>19</v>
      </c>
    </row>
    <row r="14" spans="1:5" x14ac:dyDescent="0.25">
      <c r="A14" s="8" t="s">
        <v>131</v>
      </c>
      <c r="B14" s="4" t="s">
        <v>22</v>
      </c>
      <c r="C14" t="s">
        <v>48</v>
      </c>
      <c r="D14" t="s">
        <v>59</v>
      </c>
      <c r="E14" cm="1">
        <f t="array" aca="1" ref="E14" ca="1">COLUMN(INDIRECT(D14&amp;"1"))</f>
        <v>20</v>
      </c>
    </row>
    <row r="15" spans="1:5" x14ac:dyDescent="0.25">
      <c r="A15" s="8" t="s">
        <v>131</v>
      </c>
      <c r="B15" s="4" t="s">
        <v>23</v>
      </c>
      <c r="C15" t="s">
        <v>49</v>
      </c>
      <c r="D15" t="s">
        <v>161</v>
      </c>
      <c r="E15" cm="1">
        <f t="array" aca="1" ref="E15" ca="1">COLUMN(INDIRECT(D15&amp;"1"))</f>
        <v>21</v>
      </c>
    </row>
    <row r="16" spans="1:5" x14ac:dyDescent="0.25">
      <c r="A16" s="8" t="s">
        <v>131</v>
      </c>
      <c r="B16" s="4" t="s">
        <v>20</v>
      </c>
      <c r="C16" t="s">
        <v>64</v>
      </c>
      <c r="D16" t="s">
        <v>162</v>
      </c>
      <c r="E16" cm="1">
        <f t="array" aca="1" ref="E16" ca="1">COLUMN(INDIRECT(D16&amp;"1"))</f>
        <v>22</v>
      </c>
    </row>
    <row r="17" spans="1:5" x14ac:dyDescent="0.25">
      <c r="A17" s="8" t="s">
        <v>131</v>
      </c>
      <c r="B17" s="4" t="s">
        <v>21</v>
      </c>
      <c r="C17" t="s">
        <v>65</v>
      </c>
      <c r="D17" t="s">
        <v>163</v>
      </c>
      <c r="E17" cm="1">
        <f t="array" aca="1" ref="E17" ca="1">COLUMN(INDIRECT(D17&amp;"1"))</f>
        <v>23</v>
      </c>
    </row>
    <row r="18" spans="1:5" x14ac:dyDescent="0.25">
      <c r="A18" s="8" t="s">
        <v>131</v>
      </c>
      <c r="B18" s="4" t="s">
        <v>22</v>
      </c>
      <c r="C18" t="s">
        <v>138</v>
      </c>
      <c r="D18" t="s">
        <v>164</v>
      </c>
      <c r="E18" cm="1">
        <f t="array" aca="1" ref="E18" ca="1">COLUMN(INDIRECT(D18&amp;"1"))</f>
        <v>24</v>
      </c>
    </row>
    <row r="19" spans="1:5" x14ac:dyDescent="0.25">
      <c r="A19" s="8" t="s">
        <v>131</v>
      </c>
      <c r="B19" s="91" t="s">
        <v>24</v>
      </c>
      <c r="C19" t="s">
        <v>139</v>
      </c>
      <c r="D19" t="s">
        <v>165</v>
      </c>
      <c r="E19" cm="1">
        <f t="array" aca="1" ref="E19" ca="1">COLUMN(INDIRECT(D19&amp;"1"))</f>
        <v>25</v>
      </c>
    </row>
    <row r="20" spans="1:5" x14ac:dyDescent="0.25">
      <c r="A20" s="9" t="s">
        <v>132</v>
      </c>
      <c r="B20" s="1" t="s">
        <v>0</v>
      </c>
      <c r="C20" t="s">
        <v>29</v>
      </c>
      <c r="D20" t="s">
        <v>38</v>
      </c>
      <c r="E20" cm="1">
        <f t="array" aca="1" ref="E20" ca="1">COLUMN(INDIRECT(D20&amp;"1"))</f>
        <v>3</v>
      </c>
    </row>
    <row r="21" spans="1:5" x14ac:dyDescent="0.25">
      <c r="A21" s="9" t="s">
        <v>132</v>
      </c>
      <c r="B21" s="1" t="s">
        <v>1</v>
      </c>
      <c r="C21" t="s">
        <v>30</v>
      </c>
      <c r="D21" t="s">
        <v>39</v>
      </c>
      <c r="E21" cm="1">
        <f t="array" aca="1" ref="E21" ca="1">COLUMN(INDIRECT(D21&amp;"1"))</f>
        <v>4</v>
      </c>
    </row>
    <row r="22" spans="1:5" x14ac:dyDescent="0.25">
      <c r="A22" s="9" t="s">
        <v>132</v>
      </c>
      <c r="B22" s="1" t="s">
        <v>2</v>
      </c>
      <c r="C22" t="s">
        <v>31</v>
      </c>
      <c r="D22" t="s">
        <v>40</v>
      </c>
      <c r="E22" cm="1">
        <f t="array" aca="1" ref="E22" ca="1">COLUMN(INDIRECT(D22&amp;"1"))</f>
        <v>5</v>
      </c>
    </row>
    <row r="23" spans="1:5" x14ac:dyDescent="0.25">
      <c r="A23" s="9" t="s">
        <v>132</v>
      </c>
      <c r="B23" s="1" t="s">
        <v>3</v>
      </c>
      <c r="C23" t="s">
        <v>32</v>
      </c>
      <c r="D23" t="s">
        <v>41</v>
      </c>
      <c r="E23" cm="1">
        <f t="array" aca="1" ref="E23" ca="1">COLUMN(INDIRECT(D23&amp;"1"))</f>
        <v>6</v>
      </c>
    </row>
    <row r="24" spans="1:5" x14ac:dyDescent="0.25">
      <c r="A24" s="9" t="s">
        <v>132</v>
      </c>
      <c r="B24" s="1" t="s">
        <v>140</v>
      </c>
      <c r="C24" t="s">
        <v>33</v>
      </c>
      <c r="D24" t="s">
        <v>42</v>
      </c>
      <c r="E24" cm="1">
        <f t="array" aca="1" ref="E24" ca="1">COLUMN(INDIRECT(D24&amp;"1"))</f>
        <v>7</v>
      </c>
    </row>
    <row r="25" spans="1:5" x14ac:dyDescent="0.25">
      <c r="A25" s="9" t="s">
        <v>132</v>
      </c>
      <c r="B25" s="1" t="s">
        <v>7</v>
      </c>
      <c r="C25" t="s">
        <v>34</v>
      </c>
      <c r="D25" t="s">
        <v>43</v>
      </c>
      <c r="E25" cm="1">
        <f t="array" aca="1" ref="E25" ca="1">COLUMN(INDIRECT(D25&amp;"1"))</f>
        <v>8</v>
      </c>
    </row>
    <row r="26" spans="1:5" x14ac:dyDescent="0.25">
      <c r="A26" s="9" t="s">
        <v>132</v>
      </c>
      <c r="B26" s="1" t="s">
        <v>76</v>
      </c>
      <c r="C26" t="s">
        <v>35</v>
      </c>
      <c r="D26" t="s">
        <v>44</v>
      </c>
      <c r="E26" cm="1">
        <f t="array" aca="1" ref="E26" ca="1">COLUMN(INDIRECT(D26&amp;"1"))</f>
        <v>9</v>
      </c>
    </row>
    <row r="27" spans="1:5" x14ac:dyDescent="0.25">
      <c r="A27" s="9" t="s">
        <v>132</v>
      </c>
      <c r="B27" s="1" t="s">
        <v>137</v>
      </c>
      <c r="C27" t="s">
        <v>36</v>
      </c>
      <c r="D27" t="s">
        <v>45</v>
      </c>
      <c r="E27" cm="1">
        <f t="array" aca="1" ref="E27" ca="1">COLUMN(INDIRECT(D27&amp;"1"))</f>
        <v>10</v>
      </c>
    </row>
    <row r="28" spans="1:5" x14ac:dyDescent="0.25">
      <c r="A28" s="9" t="s">
        <v>132</v>
      </c>
      <c r="B28" s="2" t="s">
        <v>9</v>
      </c>
      <c r="C28" t="s">
        <v>37</v>
      </c>
      <c r="D28" t="s">
        <v>51</v>
      </c>
      <c r="E28" cm="1">
        <f t="array" aca="1" ref="E28" ca="1">COLUMN(INDIRECT(D28&amp;"1"))</f>
        <v>11</v>
      </c>
    </row>
    <row r="29" spans="1:5" x14ac:dyDescent="0.25">
      <c r="A29" s="9" t="s">
        <v>132</v>
      </c>
      <c r="B29" s="2" t="s">
        <v>10</v>
      </c>
      <c r="C29" t="s">
        <v>70</v>
      </c>
      <c r="D29" t="s">
        <v>52</v>
      </c>
    </row>
    <row r="30" spans="1:5" x14ac:dyDescent="0.25">
      <c r="A30" s="9" t="s">
        <v>132</v>
      </c>
      <c r="B30" s="5" t="s">
        <v>20</v>
      </c>
      <c r="C30" t="s">
        <v>46</v>
      </c>
      <c r="D30" t="s">
        <v>57</v>
      </c>
      <c r="E30" cm="1">
        <f t="array" aca="1" ref="E30" ca="1">COLUMN(INDIRECT(D30&amp;"1"))</f>
        <v>18</v>
      </c>
    </row>
    <row r="31" spans="1:5" x14ac:dyDescent="0.25">
      <c r="A31" s="9" t="s">
        <v>132</v>
      </c>
      <c r="B31" s="4" t="s">
        <v>21</v>
      </c>
      <c r="C31" t="s">
        <v>47</v>
      </c>
      <c r="D31" t="s">
        <v>58</v>
      </c>
      <c r="E31" cm="1">
        <f t="array" aca="1" ref="E31" ca="1">COLUMN(INDIRECT(D31&amp;"1"))</f>
        <v>19</v>
      </c>
    </row>
    <row r="32" spans="1:5" x14ac:dyDescent="0.25">
      <c r="A32" s="9" t="s">
        <v>132</v>
      </c>
      <c r="B32" s="4" t="s">
        <v>22</v>
      </c>
      <c r="C32" t="s">
        <v>48</v>
      </c>
      <c r="D32" t="s">
        <v>59</v>
      </c>
      <c r="E32" cm="1">
        <f t="array" aca="1" ref="E32" ca="1">COLUMN(INDIRECT(D32&amp;"1"))</f>
        <v>20</v>
      </c>
    </row>
    <row r="33" spans="1:5" x14ac:dyDescent="0.25">
      <c r="A33" s="9" t="s">
        <v>132</v>
      </c>
      <c r="B33" s="4" t="s">
        <v>23</v>
      </c>
      <c r="C33" t="s">
        <v>49</v>
      </c>
      <c r="D33" t="s">
        <v>161</v>
      </c>
      <c r="E33" cm="1">
        <f t="array" aca="1" ref="E33" ca="1">COLUMN(INDIRECT(D33&amp;"1"))</f>
        <v>21</v>
      </c>
    </row>
    <row r="34" spans="1:5" x14ac:dyDescent="0.25">
      <c r="A34" s="9" t="s">
        <v>132</v>
      </c>
      <c r="B34" s="5" t="s">
        <v>20</v>
      </c>
      <c r="C34" t="s">
        <v>50</v>
      </c>
      <c r="D34" t="s">
        <v>162</v>
      </c>
      <c r="E34" cm="1">
        <f t="array" aca="1" ref="E34" ca="1">COLUMN(INDIRECT(D34&amp;"1"))</f>
        <v>22</v>
      </c>
    </row>
    <row r="35" spans="1:5" x14ac:dyDescent="0.25">
      <c r="A35" s="9" t="s">
        <v>132</v>
      </c>
      <c r="B35" s="4" t="s">
        <v>21</v>
      </c>
      <c r="C35" t="s">
        <v>64</v>
      </c>
      <c r="D35" t="s">
        <v>163</v>
      </c>
      <c r="E35" cm="1">
        <f t="array" aca="1" ref="E35" ca="1">COLUMN(INDIRECT(D35&amp;"1"))</f>
        <v>23</v>
      </c>
    </row>
    <row r="36" spans="1:5" x14ac:dyDescent="0.25">
      <c r="A36" s="9" t="s">
        <v>132</v>
      </c>
      <c r="B36" s="4" t="s">
        <v>22</v>
      </c>
      <c r="C36" t="s">
        <v>65</v>
      </c>
      <c r="D36" t="s">
        <v>164</v>
      </c>
      <c r="E36" cm="1">
        <f t="array" aca="1" ref="E36" ca="1">COLUMN(INDIRECT(D36&amp;"1"))</f>
        <v>24</v>
      </c>
    </row>
    <row r="37" spans="1:5" x14ac:dyDescent="0.25">
      <c r="A37" s="9" t="s">
        <v>132</v>
      </c>
      <c r="B37" s="4" t="s">
        <v>24</v>
      </c>
      <c r="C37" t="s">
        <v>141</v>
      </c>
      <c r="D37" t="s">
        <v>165</v>
      </c>
      <c r="E37" cm="1">
        <f t="array" aca="1" ref="E37" ca="1">COLUMN(INDIRECT(D37&amp;"1"))</f>
        <v>25</v>
      </c>
    </row>
    <row r="38" spans="1:5" x14ac:dyDescent="0.25">
      <c r="A38" t="s">
        <v>134</v>
      </c>
      <c r="B38" s="1" t="s">
        <v>0</v>
      </c>
      <c r="C38" t="s">
        <v>29</v>
      </c>
      <c r="D38" t="s">
        <v>38</v>
      </c>
      <c r="E38" cm="1">
        <f t="array" aca="1" ref="E38" ca="1">COLUMN(INDIRECT(D38&amp;"1"))</f>
        <v>3</v>
      </c>
    </row>
    <row r="39" spans="1:5" x14ac:dyDescent="0.25">
      <c r="A39" t="s">
        <v>134</v>
      </c>
      <c r="B39" s="1" t="s">
        <v>1</v>
      </c>
      <c r="C39" t="s">
        <v>30</v>
      </c>
      <c r="D39" t="s">
        <v>39</v>
      </c>
      <c r="E39" cm="1">
        <f t="array" aca="1" ref="E39" ca="1">COLUMN(INDIRECT(D39&amp;"1"))</f>
        <v>4</v>
      </c>
    </row>
    <row r="40" spans="1:5" x14ac:dyDescent="0.25">
      <c r="A40" t="s">
        <v>134</v>
      </c>
      <c r="B40" s="1" t="s">
        <v>2</v>
      </c>
      <c r="C40" t="s">
        <v>31</v>
      </c>
      <c r="D40" t="s">
        <v>40</v>
      </c>
      <c r="E40" cm="1">
        <f t="array" aca="1" ref="E40" ca="1">COLUMN(INDIRECT(D40&amp;"1"))</f>
        <v>5</v>
      </c>
    </row>
    <row r="41" spans="1:5" x14ac:dyDescent="0.25">
      <c r="A41" t="s">
        <v>134</v>
      </c>
      <c r="B41" s="1" t="s">
        <v>3</v>
      </c>
      <c r="C41" t="s">
        <v>32</v>
      </c>
      <c r="D41" t="s">
        <v>41</v>
      </c>
      <c r="E41" cm="1">
        <f t="array" aca="1" ref="E41" ca="1">COLUMN(INDIRECT(D41&amp;"1"))</f>
        <v>6</v>
      </c>
    </row>
    <row r="42" spans="1:5" x14ac:dyDescent="0.25">
      <c r="A42" t="s">
        <v>134</v>
      </c>
      <c r="B42" s="1" t="s">
        <v>136</v>
      </c>
      <c r="C42" t="s">
        <v>33</v>
      </c>
      <c r="D42" t="s">
        <v>42</v>
      </c>
      <c r="E42" cm="1">
        <f t="array" aca="1" ref="E42" ca="1">COLUMN(INDIRECT(D42&amp;"1"))</f>
        <v>7</v>
      </c>
    </row>
    <row r="43" spans="1:5" x14ac:dyDescent="0.25">
      <c r="A43" t="s">
        <v>134</v>
      </c>
      <c r="B43" s="1" t="s">
        <v>7</v>
      </c>
      <c r="C43" t="s">
        <v>34</v>
      </c>
      <c r="D43" t="s">
        <v>43</v>
      </c>
      <c r="E43" cm="1">
        <f t="array" aca="1" ref="E43" ca="1">COLUMN(INDIRECT(D43&amp;"1"))</f>
        <v>8</v>
      </c>
    </row>
    <row r="44" spans="1:5" x14ac:dyDescent="0.25">
      <c r="A44" t="s">
        <v>134</v>
      </c>
      <c r="B44" s="1" t="s">
        <v>76</v>
      </c>
      <c r="C44" t="s">
        <v>35</v>
      </c>
      <c r="D44" t="s">
        <v>44</v>
      </c>
      <c r="E44" cm="1">
        <f t="array" aca="1" ref="E44" ca="1">COLUMN(INDIRECT(D44&amp;"1"))</f>
        <v>9</v>
      </c>
    </row>
    <row r="45" spans="1:5" x14ac:dyDescent="0.25">
      <c r="A45" t="s">
        <v>134</v>
      </c>
      <c r="B45" s="1" t="s">
        <v>142</v>
      </c>
      <c r="C45" t="s">
        <v>36</v>
      </c>
      <c r="D45" t="s">
        <v>45</v>
      </c>
      <c r="E45" cm="1">
        <f t="array" aca="1" ref="E45" ca="1">COLUMN(INDIRECT(D45&amp;"1"))</f>
        <v>10</v>
      </c>
    </row>
    <row r="46" spans="1:5" x14ac:dyDescent="0.25">
      <c r="A46" t="s">
        <v>134</v>
      </c>
      <c r="B46" s="2" t="s">
        <v>9</v>
      </c>
      <c r="C46" t="s">
        <v>37</v>
      </c>
      <c r="D46" t="s">
        <v>51</v>
      </c>
      <c r="E46" cm="1">
        <f t="array" aca="1" ref="E46" ca="1">COLUMN(INDIRECT(D46&amp;"1"))</f>
        <v>11</v>
      </c>
    </row>
    <row r="47" spans="1:5" x14ac:dyDescent="0.25">
      <c r="A47" t="s">
        <v>134</v>
      </c>
      <c r="B47" s="2" t="s">
        <v>10</v>
      </c>
      <c r="C47" t="s">
        <v>70</v>
      </c>
      <c r="D47" t="s">
        <v>52</v>
      </c>
    </row>
    <row r="48" spans="1:5" x14ac:dyDescent="0.25">
      <c r="A48" t="s">
        <v>134</v>
      </c>
      <c r="B48" s="4" t="s">
        <v>20</v>
      </c>
      <c r="C48" t="s">
        <v>46</v>
      </c>
      <c r="D48" t="s">
        <v>57</v>
      </c>
      <c r="E48" cm="1">
        <f t="array" aca="1" ref="E48" ca="1">COLUMN(INDIRECT(D48&amp;"1"))</f>
        <v>18</v>
      </c>
    </row>
    <row r="49" spans="1:5" x14ac:dyDescent="0.25">
      <c r="A49" t="s">
        <v>134</v>
      </c>
      <c r="B49" s="4" t="s">
        <v>21</v>
      </c>
      <c r="C49" t="s">
        <v>47</v>
      </c>
      <c r="D49" t="s">
        <v>58</v>
      </c>
      <c r="E49" cm="1">
        <f t="array" aca="1" ref="E49" ca="1">COLUMN(INDIRECT(D49&amp;"1"))</f>
        <v>19</v>
      </c>
    </row>
    <row r="50" spans="1:5" x14ac:dyDescent="0.25">
      <c r="A50" t="s">
        <v>134</v>
      </c>
      <c r="B50" s="4" t="s">
        <v>22</v>
      </c>
      <c r="C50" t="s">
        <v>48</v>
      </c>
      <c r="D50" t="s">
        <v>59</v>
      </c>
      <c r="E50" cm="1">
        <f t="array" aca="1" ref="E50" ca="1">COLUMN(INDIRECT(D50&amp;"1"))</f>
        <v>20</v>
      </c>
    </row>
    <row r="51" spans="1:5" x14ac:dyDescent="0.25">
      <c r="A51" t="s">
        <v>134</v>
      </c>
      <c r="B51" s="4" t="s">
        <v>23</v>
      </c>
      <c r="C51" t="s">
        <v>49</v>
      </c>
      <c r="D51" t="s">
        <v>161</v>
      </c>
      <c r="E51" cm="1">
        <f t="array" aca="1" ref="E51" ca="1">COLUMN(INDIRECT(D51&amp;"1"))</f>
        <v>21</v>
      </c>
    </row>
    <row r="52" spans="1:5" x14ac:dyDescent="0.25">
      <c r="A52" t="s">
        <v>134</v>
      </c>
      <c r="B52" s="4" t="s">
        <v>20</v>
      </c>
      <c r="C52" t="s">
        <v>50</v>
      </c>
      <c r="D52" t="s">
        <v>162</v>
      </c>
      <c r="E52" cm="1">
        <f t="array" aca="1" ref="E52" ca="1">COLUMN(INDIRECT(D52&amp;"1"))</f>
        <v>22</v>
      </c>
    </row>
    <row r="53" spans="1:5" x14ac:dyDescent="0.25">
      <c r="A53" t="s">
        <v>134</v>
      </c>
      <c r="B53" s="4" t="s">
        <v>21</v>
      </c>
      <c r="C53" t="s">
        <v>64</v>
      </c>
      <c r="D53" t="s">
        <v>163</v>
      </c>
      <c r="E53" cm="1">
        <f t="array" aca="1" ref="E53" ca="1">COLUMN(INDIRECT(D53&amp;"1"))</f>
        <v>23</v>
      </c>
    </row>
    <row r="54" spans="1:5" x14ac:dyDescent="0.25">
      <c r="A54" t="s">
        <v>134</v>
      </c>
      <c r="B54" s="4" t="s">
        <v>22</v>
      </c>
      <c r="C54" t="s">
        <v>65</v>
      </c>
      <c r="D54" t="s">
        <v>164</v>
      </c>
      <c r="E54" cm="1">
        <f t="array" aca="1" ref="E54" ca="1">COLUMN(INDIRECT(D54&amp;"1"))</f>
        <v>24</v>
      </c>
    </row>
    <row r="55" spans="1:5" x14ac:dyDescent="0.25">
      <c r="A55" t="s">
        <v>134</v>
      </c>
      <c r="B55" s="4" t="s">
        <v>24</v>
      </c>
      <c r="C55" t="s">
        <v>141</v>
      </c>
      <c r="D55" t="s">
        <v>165</v>
      </c>
      <c r="E55" cm="1">
        <f t="array" aca="1" ref="E55" ca="1">COLUMN(INDIRECT(D55&amp;"1"))</f>
        <v>25</v>
      </c>
    </row>
    <row r="56" spans="1:5" x14ac:dyDescent="0.25">
      <c r="A56" s="10" t="s">
        <v>133</v>
      </c>
      <c r="B56" s="1" t="s">
        <v>0</v>
      </c>
      <c r="C56" t="s">
        <v>29</v>
      </c>
      <c r="D56" t="s">
        <v>38</v>
      </c>
      <c r="E56" cm="1">
        <f t="array" aca="1" ref="E56" ca="1">COLUMN(INDIRECT(D56&amp;"1"))</f>
        <v>3</v>
      </c>
    </row>
    <row r="57" spans="1:5" x14ac:dyDescent="0.25">
      <c r="A57" s="10" t="s">
        <v>133</v>
      </c>
      <c r="B57" s="1" t="s">
        <v>1</v>
      </c>
      <c r="C57" t="s">
        <v>30</v>
      </c>
      <c r="D57" t="s">
        <v>39</v>
      </c>
      <c r="E57" cm="1">
        <f t="array" aca="1" ref="E57" ca="1">COLUMN(INDIRECT(D57&amp;"1"))</f>
        <v>4</v>
      </c>
    </row>
    <row r="58" spans="1:5" x14ac:dyDescent="0.25">
      <c r="A58" s="10" t="s">
        <v>133</v>
      </c>
      <c r="B58" s="1" t="s">
        <v>2</v>
      </c>
      <c r="C58" t="s">
        <v>31</v>
      </c>
      <c r="D58" t="s">
        <v>40</v>
      </c>
      <c r="E58" cm="1">
        <f t="array" aca="1" ref="E58" ca="1">COLUMN(INDIRECT(D58&amp;"1"))</f>
        <v>5</v>
      </c>
    </row>
    <row r="59" spans="1:5" x14ac:dyDescent="0.25">
      <c r="A59" s="10" t="s">
        <v>133</v>
      </c>
      <c r="B59" s="1" t="s">
        <v>3</v>
      </c>
      <c r="C59" t="s">
        <v>32</v>
      </c>
      <c r="D59" t="s">
        <v>41</v>
      </c>
      <c r="E59" cm="1">
        <f t="array" aca="1" ref="E59" ca="1">COLUMN(INDIRECT(D59&amp;"1"))</f>
        <v>6</v>
      </c>
    </row>
    <row r="60" spans="1:5" x14ac:dyDescent="0.25">
      <c r="A60" s="10" t="s">
        <v>133</v>
      </c>
      <c r="B60" s="1" t="s">
        <v>143</v>
      </c>
      <c r="C60" t="s">
        <v>33</v>
      </c>
      <c r="D60" t="s">
        <v>42</v>
      </c>
      <c r="E60" cm="1">
        <f t="array" aca="1" ref="E60" ca="1">COLUMN(INDIRECT(D60&amp;"1"))</f>
        <v>7</v>
      </c>
    </row>
    <row r="61" spans="1:5" x14ac:dyDescent="0.25">
      <c r="A61" s="10" t="s">
        <v>133</v>
      </c>
      <c r="B61" s="1" t="s">
        <v>7</v>
      </c>
      <c r="C61" t="s">
        <v>34</v>
      </c>
      <c r="D61" t="s">
        <v>43</v>
      </c>
      <c r="E61" cm="1">
        <f t="array" aca="1" ref="E61" ca="1">COLUMN(INDIRECT(D61&amp;"1"))</f>
        <v>8</v>
      </c>
    </row>
    <row r="62" spans="1:5" x14ac:dyDescent="0.25">
      <c r="A62" s="10" t="s">
        <v>133</v>
      </c>
      <c r="B62" s="1" t="s">
        <v>76</v>
      </c>
      <c r="C62" t="s">
        <v>35</v>
      </c>
      <c r="D62" t="s">
        <v>44</v>
      </c>
      <c r="E62" cm="1">
        <f t="array" aca="1" ref="E62" ca="1">COLUMN(INDIRECT(D62&amp;"1"))</f>
        <v>9</v>
      </c>
    </row>
    <row r="63" spans="1:5" x14ac:dyDescent="0.25">
      <c r="A63" s="10" t="s">
        <v>133</v>
      </c>
      <c r="B63" s="1" t="s">
        <v>142</v>
      </c>
      <c r="C63" t="s">
        <v>36</v>
      </c>
      <c r="D63" t="s">
        <v>45</v>
      </c>
      <c r="E63" cm="1">
        <f t="array" aca="1" ref="E63" ca="1">COLUMN(INDIRECT(D63&amp;"1"))</f>
        <v>10</v>
      </c>
    </row>
    <row r="64" spans="1:5" x14ac:dyDescent="0.25">
      <c r="A64" s="10" t="s">
        <v>133</v>
      </c>
      <c r="B64" s="2" t="s">
        <v>9</v>
      </c>
      <c r="C64" t="s">
        <v>37</v>
      </c>
      <c r="D64" t="s">
        <v>51</v>
      </c>
      <c r="E64" cm="1">
        <f t="array" aca="1" ref="E64" ca="1">COLUMN(INDIRECT(D64&amp;"1"))</f>
        <v>11</v>
      </c>
    </row>
    <row r="65" spans="1:5" x14ac:dyDescent="0.25">
      <c r="A65" s="10" t="s">
        <v>133</v>
      </c>
      <c r="B65" s="2" t="s">
        <v>10</v>
      </c>
      <c r="C65" t="s">
        <v>70</v>
      </c>
      <c r="D65" t="s">
        <v>52</v>
      </c>
    </row>
    <row r="66" spans="1:5" x14ac:dyDescent="0.25">
      <c r="A66" s="10" t="s">
        <v>133</v>
      </c>
      <c r="B66" s="4" t="s">
        <v>20</v>
      </c>
      <c r="C66" t="s">
        <v>47</v>
      </c>
      <c r="D66" t="s">
        <v>57</v>
      </c>
      <c r="E66" cm="1">
        <f t="array" aca="1" ref="E66" ca="1">COLUMN(INDIRECT(D66&amp;"1"))</f>
        <v>18</v>
      </c>
    </row>
    <row r="67" spans="1:5" x14ac:dyDescent="0.25">
      <c r="A67" s="10" t="s">
        <v>133</v>
      </c>
      <c r="B67" s="4" t="s">
        <v>21</v>
      </c>
      <c r="C67" t="s">
        <v>48</v>
      </c>
      <c r="D67" t="s">
        <v>58</v>
      </c>
      <c r="E67" cm="1">
        <f t="array" aca="1" ref="E67" ca="1">COLUMN(INDIRECT(D67&amp;"1"))</f>
        <v>19</v>
      </c>
    </row>
    <row r="68" spans="1:5" x14ac:dyDescent="0.25">
      <c r="A68" s="10" t="s">
        <v>133</v>
      </c>
      <c r="B68" s="4" t="s">
        <v>22</v>
      </c>
      <c r="C68" t="s">
        <v>66</v>
      </c>
      <c r="D68" t="s">
        <v>59</v>
      </c>
      <c r="E68" cm="1">
        <f t="array" aca="1" ref="E68" ca="1">COLUMN(INDIRECT(D68&amp;"1"))</f>
        <v>20</v>
      </c>
    </row>
    <row r="69" spans="1:5" x14ac:dyDescent="0.25">
      <c r="A69" s="10" t="s">
        <v>133</v>
      </c>
      <c r="B69" s="4" t="s">
        <v>23</v>
      </c>
      <c r="C69" t="s">
        <v>67</v>
      </c>
      <c r="D69" t="s">
        <v>161</v>
      </c>
      <c r="E69" cm="1">
        <f t="array" aca="1" ref="E69" ca="1">COLUMN(INDIRECT(D69&amp;"1"))</f>
        <v>21</v>
      </c>
    </row>
    <row r="70" spans="1:5" x14ac:dyDescent="0.25">
      <c r="A70" s="10" t="s">
        <v>133</v>
      </c>
      <c r="B70" s="4" t="s">
        <v>20</v>
      </c>
      <c r="C70" t="s">
        <v>64</v>
      </c>
      <c r="D70" t="s">
        <v>162</v>
      </c>
      <c r="E70" cm="1">
        <f t="array" aca="1" ref="E70" ca="1">COLUMN(INDIRECT(D70&amp;"1"))</f>
        <v>22</v>
      </c>
    </row>
    <row r="71" spans="1:5" x14ac:dyDescent="0.25">
      <c r="A71" s="10" t="s">
        <v>133</v>
      </c>
      <c r="B71" s="4" t="s">
        <v>21</v>
      </c>
      <c r="C71" t="s">
        <v>65</v>
      </c>
      <c r="D71" t="s">
        <v>163</v>
      </c>
      <c r="E71" cm="1">
        <f t="array" aca="1" ref="E71" ca="1">COLUMN(INDIRECT(D71&amp;"1"))</f>
        <v>23</v>
      </c>
    </row>
    <row r="72" spans="1:5" x14ac:dyDescent="0.25">
      <c r="A72" s="10" t="s">
        <v>133</v>
      </c>
      <c r="B72" s="4" t="s">
        <v>22</v>
      </c>
      <c r="C72" t="s">
        <v>138</v>
      </c>
      <c r="D72" t="s">
        <v>164</v>
      </c>
      <c r="E72" cm="1">
        <f t="array" aca="1" ref="E72" ca="1">COLUMN(INDIRECT(D72&amp;"1"))</f>
        <v>24</v>
      </c>
    </row>
    <row r="73" spans="1:5" x14ac:dyDescent="0.25">
      <c r="A73" s="10" t="s">
        <v>133</v>
      </c>
      <c r="B73" s="4" t="s">
        <v>24</v>
      </c>
      <c r="C73" t="s">
        <v>139</v>
      </c>
      <c r="D73" t="s">
        <v>165</v>
      </c>
      <c r="E73" cm="1">
        <f t="array" aca="1" ref="E73" ca="1">COLUMN(INDIRECT(D73&amp;"1"))</f>
        <v>25</v>
      </c>
    </row>
    <row r="74" spans="1:5" x14ac:dyDescent="0.25">
      <c r="A74" s="11" t="s">
        <v>135</v>
      </c>
      <c r="B74" s="92" t="s">
        <v>0</v>
      </c>
      <c r="C74" t="s">
        <v>29</v>
      </c>
      <c r="D74" t="s">
        <v>38</v>
      </c>
      <c r="E74" cm="1">
        <f t="array" aca="1" ref="E74" ca="1">COLUMN(INDIRECT(D74&amp;"1"))</f>
        <v>3</v>
      </c>
    </row>
    <row r="75" spans="1:5" x14ac:dyDescent="0.25">
      <c r="A75" s="11" t="s">
        <v>135</v>
      </c>
      <c r="B75" s="92" t="s">
        <v>1</v>
      </c>
      <c r="C75" t="s">
        <v>30</v>
      </c>
      <c r="D75" t="s">
        <v>39</v>
      </c>
      <c r="E75" cm="1">
        <f t="array" aca="1" ref="E75" ca="1">COLUMN(INDIRECT(D75&amp;"1"))</f>
        <v>4</v>
      </c>
    </row>
    <row r="76" spans="1:5" x14ac:dyDescent="0.25">
      <c r="A76" s="11" t="s">
        <v>135</v>
      </c>
      <c r="B76" s="92" t="s">
        <v>2</v>
      </c>
      <c r="C76" t="s">
        <v>31</v>
      </c>
      <c r="D76" t="s">
        <v>40</v>
      </c>
      <c r="E76" cm="1">
        <f t="array" aca="1" ref="E76" ca="1">COLUMN(INDIRECT(D76&amp;"1"))</f>
        <v>5</v>
      </c>
    </row>
    <row r="77" spans="1:5" x14ac:dyDescent="0.25">
      <c r="A77" s="11" t="s">
        <v>135</v>
      </c>
      <c r="B77" s="92" t="s">
        <v>3</v>
      </c>
      <c r="C77" t="s">
        <v>32</v>
      </c>
      <c r="D77" t="s">
        <v>41</v>
      </c>
      <c r="E77" cm="1">
        <f t="array" aca="1" ref="E77" ca="1">COLUMN(INDIRECT(D77&amp;"1"))</f>
        <v>6</v>
      </c>
    </row>
    <row r="78" spans="1:5" x14ac:dyDescent="0.25">
      <c r="A78" s="11" t="s">
        <v>135</v>
      </c>
      <c r="B78" s="92" t="s">
        <v>144</v>
      </c>
      <c r="C78" t="s">
        <v>33</v>
      </c>
      <c r="D78" t="s">
        <v>42</v>
      </c>
      <c r="E78" cm="1">
        <f t="array" aca="1" ref="E78" ca="1">COLUMN(INDIRECT(D78&amp;"1"))</f>
        <v>7</v>
      </c>
    </row>
    <row r="79" spans="1:5" x14ac:dyDescent="0.25">
      <c r="A79" s="11" t="s">
        <v>135</v>
      </c>
      <c r="B79" s="92" t="s">
        <v>7</v>
      </c>
      <c r="C79" t="s">
        <v>34</v>
      </c>
      <c r="D79" t="s">
        <v>43</v>
      </c>
      <c r="E79" cm="1">
        <f t="array" aca="1" ref="E79" ca="1">COLUMN(INDIRECT(D79&amp;"1"))</f>
        <v>8</v>
      </c>
    </row>
    <row r="80" spans="1:5" x14ac:dyDescent="0.25">
      <c r="A80" s="11" t="s">
        <v>135</v>
      </c>
      <c r="B80" s="92" t="s">
        <v>76</v>
      </c>
      <c r="C80" t="s">
        <v>35</v>
      </c>
      <c r="D80" t="s">
        <v>44</v>
      </c>
      <c r="E80" cm="1">
        <f t="array" aca="1" ref="E80" ca="1">COLUMN(INDIRECT(D80&amp;"1"))</f>
        <v>9</v>
      </c>
    </row>
    <row r="81" spans="1:5" x14ac:dyDescent="0.25">
      <c r="A81" s="11" t="s">
        <v>135</v>
      </c>
      <c r="B81" s="92" t="s">
        <v>145</v>
      </c>
      <c r="C81" t="s">
        <v>36</v>
      </c>
      <c r="D81" t="s">
        <v>45</v>
      </c>
      <c r="E81" cm="1">
        <f t="array" aca="1" ref="E81" ca="1">COLUMN(INDIRECT(D81&amp;"1"))</f>
        <v>10</v>
      </c>
    </row>
    <row r="82" spans="1:5" x14ac:dyDescent="0.25">
      <c r="A82" s="11" t="s">
        <v>135</v>
      </c>
      <c r="B82" s="93" t="s">
        <v>9</v>
      </c>
      <c r="C82" t="s">
        <v>37</v>
      </c>
      <c r="D82" t="s">
        <v>51</v>
      </c>
      <c r="E82" cm="1">
        <f t="array" aca="1" ref="E82" ca="1">COLUMN(INDIRECT(D82&amp;"1"))</f>
        <v>11</v>
      </c>
    </row>
    <row r="83" spans="1:5" x14ac:dyDescent="0.25">
      <c r="A83" s="11" t="s">
        <v>135</v>
      </c>
      <c r="B83" s="92" t="s">
        <v>10</v>
      </c>
      <c r="C83" t="s">
        <v>70</v>
      </c>
      <c r="D83" t="s">
        <v>52</v>
      </c>
    </row>
    <row r="84" spans="1:5" x14ac:dyDescent="0.25">
      <c r="A84" s="11" t="s">
        <v>135</v>
      </c>
      <c r="B84" s="93" t="s">
        <v>146</v>
      </c>
      <c r="C84" t="s">
        <v>147</v>
      </c>
      <c r="D84" t="s">
        <v>53</v>
      </c>
    </row>
    <row r="85" spans="1:5" x14ac:dyDescent="0.25">
      <c r="A85" s="11" t="s">
        <v>135</v>
      </c>
      <c r="B85" s="4" t="s">
        <v>20</v>
      </c>
      <c r="C85" t="s">
        <v>47</v>
      </c>
      <c r="D85" t="s">
        <v>57</v>
      </c>
      <c r="E85" cm="1">
        <f t="array" aca="1" ref="E85" ca="1">COLUMN(INDIRECT(D85&amp;"1"))</f>
        <v>18</v>
      </c>
    </row>
    <row r="86" spans="1:5" x14ac:dyDescent="0.25">
      <c r="A86" s="11" t="s">
        <v>135</v>
      </c>
      <c r="B86" s="4" t="s">
        <v>21</v>
      </c>
      <c r="C86" t="s">
        <v>48</v>
      </c>
      <c r="D86" t="s">
        <v>58</v>
      </c>
      <c r="E86" cm="1">
        <f t="array" aca="1" ref="E86" ca="1">COLUMN(INDIRECT(D86&amp;"1"))</f>
        <v>19</v>
      </c>
    </row>
    <row r="87" spans="1:5" x14ac:dyDescent="0.25">
      <c r="A87" s="11" t="s">
        <v>135</v>
      </c>
      <c r="B87" s="4" t="s">
        <v>22</v>
      </c>
      <c r="C87" t="s">
        <v>66</v>
      </c>
      <c r="D87" t="s">
        <v>59</v>
      </c>
      <c r="E87" cm="1">
        <f t="array" aca="1" ref="E87" ca="1">COLUMN(INDIRECT(D87&amp;"1"))</f>
        <v>20</v>
      </c>
    </row>
    <row r="88" spans="1:5" x14ac:dyDescent="0.25">
      <c r="A88" s="11" t="s">
        <v>135</v>
      </c>
      <c r="B88" s="4" t="s">
        <v>23</v>
      </c>
      <c r="C88" t="s">
        <v>67</v>
      </c>
      <c r="D88" t="s">
        <v>161</v>
      </c>
      <c r="E88" cm="1">
        <f t="array" aca="1" ref="E88" ca="1">COLUMN(INDIRECT(D88&amp;"1"))</f>
        <v>21</v>
      </c>
    </row>
    <row r="89" spans="1:5" x14ac:dyDescent="0.25">
      <c r="A89" s="11" t="s">
        <v>135</v>
      </c>
      <c r="B89" s="4" t="s">
        <v>20</v>
      </c>
      <c r="C89" t="s">
        <v>50</v>
      </c>
      <c r="D89" t="s">
        <v>162</v>
      </c>
      <c r="E89" cm="1">
        <f t="array" aca="1" ref="E89" ca="1">COLUMN(INDIRECT(D89&amp;"1"))</f>
        <v>22</v>
      </c>
    </row>
    <row r="90" spans="1:5" x14ac:dyDescent="0.25">
      <c r="A90" s="11" t="s">
        <v>135</v>
      </c>
      <c r="B90" s="4" t="s">
        <v>21</v>
      </c>
      <c r="C90" t="s">
        <v>64</v>
      </c>
      <c r="D90" t="s">
        <v>163</v>
      </c>
      <c r="E90" cm="1">
        <f t="array" aca="1" ref="E90" ca="1">COLUMN(INDIRECT(D90&amp;"1"))</f>
        <v>23</v>
      </c>
    </row>
    <row r="91" spans="1:5" x14ac:dyDescent="0.25">
      <c r="A91" s="11" t="s">
        <v>135</v>
      </c>
      <c r="B91" s="4" t="s">
        <v>22</v>
      </c>
      <c r="C91" t="s">
        <v>65</v>
      </c>
      <c r="D91" t="s">
        <v>164</v>
      </c>
      <c r="E91" cm="1">
        <f t="array" aca="1" ref="E91" ca="1">COLUMN(INDIRECT(D91&amp;"1"))</f>
        <v>24</v>
      </c>
    </row>
    <row r="92" spans="1:5" x14ac:dyDescent="0.25">
      <c r="A92" s="11" t="s">
        <v>135</v>
      </c>
      <c r="B92" s="4" t="s">
        <v>24</v>
      </c>
      <c r="C92" t="s">
        <v>141</v>
      </c>
      <c r="D92" t="s">
        <v>165</v>
      </c>
      <c r="E92" cm="1">
        <f t="array" aca="1" ref="E92" ca="1">COLUMN(INDIRECT(D92&amp;"1"))</f>
        <v>25</v>
      </c>
    </row>
    <row r="93" spans="1:5" x14ac:dyDescent="0.25">
      <c r="A93" s="11" t="s">
        <v>130</v>
      </c>
      <c r="B93" s="1" t="s">
        <v>0</v>
      </c>
      <c r="C93" t="s">
        <v>29</v>
      </c>
      <c r="D93" t="s">
        <v>38</v>
      </c>
      <c r="E93" cm="1">
        <f t="array" aca="1" ref="E93" ca="1">COLUMN(INDIRECT(D93&amp;"1"))</f>
        <v>3</v>
      </c>
    </row>
    <row r="94" spans="1:5" x14ac:dyDescent="0.25">
      <c r="A94" s="11" t="s">
        <v>130</v>
      </c>
      <c r="B94" s="1" t="s">
        <v>1</v>
      </c>
      <c r="C94" t="s">
        <v>30</v>
      </c>
      <c r="D94" t="s">
        <v>39</v>
      </c>
      <c r="E94" cm="1">
        <f t="array" aca="1" ref="E94" ca="1">COLUMN(INDIRECT(D94&amp;"1"))</f>
        <v>4</v>
      </c>
    </row>
    <row r="95" spans="1:5" x14ac:dyDescent="0.25">
      <c r="A95" s="11" t="s">
        <v>130</v>
      </c>
      <c r="B95" s="1" t="s">
        <v>2</v>
      </c>
      <c r="C95" t="s">
        <v>31</v>
      </c>
      <c r="D95" t="s">
        <v>40</v>
      </c>
      <c r="E95" cm="1">
        <f t="array" aca="1" ref="E95" ca="1">COLUMN(INDIRECT(D95&amp;"1"))</f>
        <v>5</v>
      </c>
    </row>
    <row r="96" spans="1:5" x14ac:dyDescent="0.25">
      <c r="A96" s="11" t="s">
        <v>130</v>
      </c>
      <c r="B96" s="1" t="s">
        <v>3</v>
      </c>
      <c r="C96" t="s">
        <v>32</v>
      </c>
      <c r="D96" t="s">
        <v>41</v>
      </c>
      <c r="E96" cm="1">
        <f t="array" aca="1" ref="E96" ca="1">COLUMN(INDIRECT(D96&amp;"1"))</f>
        <v>6</v>
      </c>
    </row>
    <row r="97" spans="1:5" x14ac:dyDescent="0.25">
      <c r="A97" s="11" t="s">
        <v>130</v>
      </c>
      <c r="B97" s="1" t="s">
        <v>159</v>
      </c>
      <c r="C97" t="s">
        <v>33</v>
      </c>
      <c r="D97" t="s">
        <v>42</v>
      </c>
      <c r="E97" cm="1">
        <f t="array" aca="1" ref="E97" ca="1">COLUMN(INDIRECT(D97&amp;"1"))</f>
        <v>7</v>
      </c>
    </row>
    <row r="98" spans="1:5" x14ac:dyDescent="0.25">
      <c r="A98" s="11" t="s">
        <v>130</v>
      </c>
      <c r="B98" s="1" t="s">
        <v>7</v>
      </c>
      <c r="C98" t="s">
        <v>34</v>
      </c>
      <c r="D98" t="s">
        <v>43</v>
      </c>
      <c r="E98" cm="1">
        <f t="array" aca="1" ref="E98" ca="1">COLUMN(INDIRECT(D98&amp;"1"))</f>
        <v>8</v>
      </c>
    </row>
    <row r="99" spans="1:5" x14ac:dyDescent="0.25">
      <c r="A99" s="11" t="s">
        <v>130</v>
      </c>
      <c r="B99" s="1" t="s">
        <v>148</v>
      </c>
      <c r="C99" t="s">
        <v>35</v>
      </c>
      <c r="D99" t="s">
        <v>54</v>
      </c>
      <c r="E99" cm="1">
        <f t="array" aca="1" ref="E99" ca="1">COLUMN(INDIRECT(D99&amp;"1"))</f>
        <v>15</v>
      </c>
    </row>
    <row r="100" spans="1:5" x14ac:dyDescent="0.25">
      <c r="A100" s="11" t="s">
        <v>130</v>
      </c>
      <c r="B100" s="1" t="s">
        <v>76</v>
      </c>
      <c r="C100" t="s">
        <v>36</v>
      </c>
      <c r="D100" t="s">
        <v>44</v>
      </c>
      <c r="E100" cm="1">
        <f t="array" aca="1" ref="E100" ca="1">COLUMN(INDIRECT(D100&amp;"1"))</f>
        <v>9</v>
      </c>
    </row>
    <row r="101" spans="1:5" x14ac:dyDescent="0.25">
      <c r="A101" s="11" t="s">
        <v>130</v>
      </c>
      <c r="B101" s="1" t="s">
        <v>74</v>
      </c>
      <c r="C101" t="s">
        <v>37</v>
      </c>
      <c r="D101" t="s">
        <v>45</v>
      </c>
      <c r="E101" cm="1">
        <f t="array" aca="1" ref="E101" ca="1">COLUMN(INDIRECT(D101&amp;"1"))</f>
        <v>10</v>
      </c>
    </row>
    <row r="102" spans="1:5" x14ac:dyDescent="0.25">
      <c r="A102" s="11" t="s">
        <v>130</v>
      </c>
      <c r="B102" s="2" t="s">
        <v>149</v>
      </c>
      <c r="C102" t="s">
        <v>70</v>
      </c>
      <c r="D102" t="s">
        <v>55</v>
      </c>
      <c r="E102" cm="1">
        <f t="array" aca="1" ref="E102" ca="1">COLUMN(INDIRECT(D102&amp;"1"))</f>
        <v>16</v>
      </c>
    </row>
    <row r="103" spans="1:5" x14ac:dyDescent="0.25">
      <c r="A103" s="11" t="s">
        <v>130</v>
      </c>
      <c r="B103" s="2" t="s">
        <v>150</v>
      </c>
      <c r="C103" t="s">
        <v>147</v>
      </c>
      <c r="D103" t="s">
        <v>56</v>
      </c>
      <c r="E103" cm="1">
        <f t="array" aca="1" ref="E103" ca="1">COLUMN(INDIRECT(D103&amp;"1"))</f>
        <v>17</v>
      </c>
    </row>
    <row r="104" spans="1:5" ht="26.4" x14ac:dyDescent="0.25">
      <c r="A104" s="11" t="s">
        <v>130</v>
      </c>
      <c r="B104" s="2" t="s">
        <v>151</v>
      </c>
      <c r="C104" t="s">
        <v>152</v>
      </c>
      <c r="D104" t="s">
        <v>53</v>
      </c>
      <c r="E104" cm="1">
        <f t="array" aca="1" ref="E104" ca="1">COLUMN(INDIRECT(D104&amp;"1"))</f>
        <v>13</v>
      </c>
    </row>
    <row r="105" spans="1:5" x14ac:dyDescent="0.25">
      <c r="A105" s="11" t="s">
        <v>130</v>
      </c>
      <c r="B105" s="2" t="s">
        <v>9</v>
      </c>
      <c r="C105" t="s">
        <v>153</v>
      </c>
      <c r="D105" t="s">
        <v>51</v>
      </c>
      <c r="E105" cm="1">
        <f t="array" aca="1" ref="E105" ca="1">COLUMN(INDIRECT(D105&amp;"1"))</f>
        <v>11</v>
      </c>
    </row>
    <row r="106" spans="1:5" x14ac:dyDescent="0.25">
      <c r="A106" s="11" t="s">
        <v>130</v>
      </c>
      <c r="B106" s="2" t="s">
        <v>10</v>
      </c>
      <c r="C106" t="s">
        <v>154</v>
      </c>
      <c r="D106" t="s">
        <v>52</v>
      </c>
      <c r="E106" cm="1">
        <f t="array" aca="1" ref="E106" ca="1">COLUMN(INDIRECT(D106&amp;"1"))</f>
        <v>12</v>
      </c>
    </row>
    <row r="107" spans="1:5" x14ac:dyDescent="0.25">
      <c r="A107" s="11" t="s">
        <v>130</v>
      </c>
      <c r="B107" s="4" t="s">
        <v>20</v>
      </c>
      <c r="C107" t="s">
        <v>67</v>
      </c>
      <c r="D107" t="s">
        <v>57</v>
      </c>
    </row>
    <row r="108" spans="1:5" x14ac:dyDescent="0.25">
      <c r="A108" s="11" t="s">
        <v>130</v>
      </c>
      <c r="B108" s="4" t="s">
        <v>21</v>
      </c>
      <c r="C108" t="s">
        <v>68</v>
      </c>
      <c r="D108" t="s">
        <v>58</v>
      </c>
      <c r="E108" cm="1">
        <f t="array" aca="1" ref="E108" ca="1">COLUMN(INDIRECT(D108&amp;"1"))</f>
        <v>19</v>
      </c>
    </row>
    <row r="109" spans="1:5" x14ac:dyDescent="0.25">
      <c r="A109" s="11" t="s">
        <v>130</v>
      </c>
      <c r="B109" s="4" t="s">
        <v>22</v>
      </c>
      <c r="C109" t="s">
        <v>71</v>
      </c>
      <c r="D109" t="s">
        <v>59</v>
      </c>
      <c r="E109" cm="1">
        <f t="array" aca="1" ref="E109" ca="1">COLUMN(INDIRECT(D109&amp;"1"))</f>
        <v>20</v>
      </c>
    </row>
    <row r="110" spans="1:5" x14ac:dyDescent="0.25">
      <c r="A110" s="11" t="s">
        <v>130</v>
      </c>
      <c r="B110" s="4" t="s">
        <v>23</v>
      </c>
      <c r="C110" t="s">
        <v>155</v>
      </c>
      <c r="D110" t="s">
        <v>161</v>
      </c>
      <c r="E110" cm="1">
        <f t="array" aca="1" ref="E110" ca="1">COLUMN(INDIRECT(D110&amp;"1"))</f>
        <v>21</v>
      </c>
    </row>
    <row r="111" spans="1:5" x14ac:dyDescent="0.25">
      <c r="A111" s="11" t="s">
        <v>130</v>
      </c>
      <c r="B111" s="4" t="s">
        <v>20</v>
      </c>
      <c r="C111" t="s">
        <v>139</v>
      </c>
      <c r="D111" t="s">
        <v>162</v>
      </c>
      <c r="E111" cm="1">
        <f t="array" aca="1" ref="E111" ca="1">COLUMN(INDIRECT(D111&amp;"1"))</f>
        <v>22</v>
      </c>
    </row>
    <row r="112" spans="1:5" x14ac:dyDescent="0.25">
      <c r="A112" s="11" t="s">
        <v>130</v>
      </c>
      <c r="B112" s="4" t="s">
        <v>21</v>
      </c>
      <c r="C112" t="s">
        <v>156</v>
      </c>
      <c r="D112" t="s">
        <v>163</v>
      </c>
      <c r="E112" cm="1">
        <f t="array" aca="1" ref="E112" ca="1">COLUMN(INDIRECT(D112&amp;"1"))</f>
        <v>23</v>
      </c>
    </row>
    <row r="113" spans="1:5" x14ac:dyDescent="0.25">
      <c r="A113" s="11" t="s">
        <v>130</v>
      </c>
      <c r="B113" s="4" t="s">
        <v>22</v>
      </c>
      <c r="C113" t="s">
        <v>157</v>
      </c>
      <c r="D113" t="s">
        <v>164</v>
      </c>
      <c r="E113" cm="1">
        <f t="array" aca="1" ref="E113" ca="1">COLUMN(INDIRECT(D113&amp;"1"))</f>
        <v>24</v>
      </c>
    </row>
    <row r="114" spans="1:5" x14ac:dyDescent="0.25">
      <c r="A114" s="11" t="s">
        <v>130</v>
      </c>
      <c r="B114" s="4" t="s">
        <v>24</v>
      </c>
      <c r="C114" t="s">
        <v>158</v>
      </c>
      <c r="D114" t="s">
        <v>165</v>
      </c>
      <c r="E114" cm="1">
        <f t="array" aca="1" ref="E114" ca="1">COLUMN(INDIRECT(D114&amp;"1"))</f>
        <v>25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Dashboard</vt:lpstr>
      <vt:lpstr>Data</vt:lpstr>
      <vt:lpstr>Exceptions</vt:lpstr>
      <vt:lpstr>Backend</vt:lpstr>
      <vt:lpstr>Mapping</vt:lpstr>
      <vt:lpstr>AF</vt:lpstr>
      <vt:lpstr>rngB_Curr</vt:lpstr>
      <vt:lpstr>rngB_Product</vt:lpstr>
      <vt:lpstr>rngB_TP</vt:lpstr>
      <vt:lpstr>rngMargin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Vandna Kothiyal</dc:creator>
  <cp:lastModifiedBy>Devendra Tripathi</cp:lastModifiedBy>
  <dcterms:created xsi:type="dcterms:W3CDTF">2024-12-20T03:10:42Z</dcterms:created>
  <dcterms:modified xsi:type="dcterms:W3CDTF">2026-03-30T17:35:45Z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ckup">
    <vt:i4>1</vt:i4>
  </property>
</Properties>
</file>